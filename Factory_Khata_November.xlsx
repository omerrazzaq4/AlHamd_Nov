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546" documentId="8_{475843C5-500E-4738-B9D9-47939CD7324F}" xr6:coauthVersionLast="47" xr6:coauthVersionMax="47" xr10:uidLastSave="{64037DF6-6AF8-4AF4-8D63-7C3FA8913754}"/>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6" r:id="rId20"/>
    <pivotCache cacheId="70" r:id="rId21"/>
    <pivotCache cacheId="76" r:id="rId22"/>
    <pivotCache cacheId="81" r:id="rId23"/>
    <pivotCache cacheId="85" r:id="rId24"/>
    <pivotCache cacheId="89"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09" i="1" l="1"/>
  <c r="J209" i="1" a="1"/>
  <c r="J209" i="1" s="1"/>
  <c r="I193" i="1"/>
  <c r="J193" i="1" s="1" a="1"/>
  <c r="J193" i="1" s="1"/>
  <c r="H49" i="6"/>
  <c r="I49" i="6" s="1"/>
  <c r="H50" i="6"/>
  <c r="H51" i="6"/>
  <c r="I51" i="6" s="1"/>
  <c r="G49" i="6"/>
  <c r="G50" i="6"/>
  <c r="G51" i="6"/>
  <c r="G52" i="6"/>
  <c r="I50" i="6"/>
  <c r="I52" i="6"/>
  <c r="I197" i="1"/>
  <c r="J197" i="1" s="1" a="1"/>
  <c r="J197" i="1" s="1"/>
  <c r="I198" i="1"/>
  <c r="J198" i="1" s="1" a="1"/>
  <c r="J198" i="1" s="1"/>
  <c r="I199" i="1"/>
  <c r="J199" i="1" a="1"/>
  <c r="J199" i="1" s="1"/>
  <c r="I200" i="1"/>
  <c r="J200" i="1" s="1" a="1"/>
  <c r="J200" i="1" s="1"/>
  <c r="I201" i="1"/>
  <c r="J201" i="1" s="1" a="1"/>
  <c r="J201" i="1" s="1"/>
  <c r="I202" i="1"/>
  <c r="J202" i="1" s="1" a="1"/>
  <c r="J202" i="1" s="1"/>
  <c r="I203" i="1"/>
  <c r="J203" i="1" a="1"/>
  <c r="J203" i="1" s="1"/>
  <c r="I204" i="1"/>
  <c r="J204" i="1" a="1"/>
  <c r="J204" i="1" s="1"/>
  <c r="I205" i="1"/>
  <c r="J205" i="1" s="1" a="1"/>
  <c r="J205" i="1" s="1"/>
  <c r="I206" i="1"/>
  <c r="J206" i="1" s="1" a="1"/>
  <c r="J206" i="1" s="1"/>
  <c r="I207" i="1"/>
  <c r="J207" i="1" a="1"/>
  <c r="J207" i="1" s="1"/>
  <c r="I208" i="1"/>
  <c r="J208" i="1" s="1" a="1"/>
  <c r="J208" i="1" s="1"/>
  <c r="H47" i="6"/>
  <c r="I47" i="6" s="1"/>
  <c r="H48" i="6"/>
  <c r="I48" i="6" s="1"/>
  <c r="H45" i="6"/>
  <c r="I45" i="6" s="1"/>
  <c r="H46" i="6"/>
  <c r="I46" i="6" s="1"/>
  <c r="Z30" i="9" a="1"/>
  <c r="Z30" i="9" s="1"/>
  <c r="Z31" i="9" a="1"/>
  <c r="Z31" i="9" s="1"/>
  <c r="Z32" i="9" a="1"/>
  <c r="Z32" i="9" s="1"/>
  <c r="Z33" i="9" a="1"/>
  <c r="Z33" i="9" s="1"/>
  <c r="Z34" i="9" a="1"/>
  <c r="Z34" i="9" s="1"/>
  <c r="I189" i="1"/>
  <c r="J189" i="1" s="1" a="1"/>
  <c r="J189" i="1" s="1"/>
  <c r="I192" i="1"/>
  <c r="J192" i="1" a="1"/>
  <c r="J192" i="1" s="1"/>
  <c r="I194" i="1"/>
  <c r="J194" i="1" a="1"/>
  <c r="J194" i="1" s="1"/>
  <c r="I195" i="1"/>
  <c r="J195" i="1" s="1" a="1"/>
  <c r="J195" i="1" s="1"/>
  <c r="I196" i="1"/>
  <c r="J196" i="1" s="1" a="1"/>
  <c r="J196" i="1" s="1"/>
  <c r="H44" i="6"/>
  <c r="I44" i="6" s="1"/>
  <c r="G41" i="6"/>
  <c r="G42" i="6"/>
  <c r="G43" i="6"/>
  <c r="G44" i="6"/>
  <c r="G45" i="6"/>
  <c r="G46" i="6"/>
  <c r="G47" i="6"/>
  <c r="G48" i="6"/>
  <c r="I41" i="6"/>
  <c r="I42" i="6"/>
  <c r="I43" i="6"/>
  <c r="G159" i="1"/>
  <c r="I159" i="1" s="1"/>
  <c r="J159" i="1" s="1" a="1"/>
  <c r="J159" i="1" s="1"/>
  <c r="I183" i="1"/>
  <c r="J183" i="1" s="1" a="1"/>
  <c r="J183" i="1" s="1"/>
  <c r="I184" i="1"/>
  <c r="J184" i="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a="1"/>
  <c r="J171" i="1" s="1"/>
  <c r="I172" i="1"/>
  <c r="J172" i="1" s="1" a="1"/>
  <c r="J172" i="1" s="1"/>
  <c r="I173" i="1"/>
  <c r="J173" i="1" s="1" a="1"/>
  <c r="J173" i="1" s="1"/>
  <c r="I174" i="1"/>
  <c r="J174" i="1" a="1"/>
  <c r="J174" i="1" s="1"/>
  <c r="I175" i="1"/>
  <c r="J175" i="1" a="1"/>
  <c r="J175" i="1" s="1"/>
  <c r="I176" i="1"/>
  <c r="J176" i="1" s="1" a="1"/>
  <c r="J176" i="1" s="1"/>
  <c r="I177" i="1"/>
  <c r="J177" i="1" a="1"/>
  <c r="J177" i="1" s="1"/>
  <c r="I178" i="1"/>
  <c r="J178" i="1" a="1"/>
  <c r="J178" i="1" s="1"/>
  <c r="I179" i="1"/>
  <c r="J179" i="1" s="1" a="1"/>
  <c r="J179" i="1" s="1"/>
  <c r="I180" i="1"/>
  <c r="J180" i="1" a="1"/>
  <c r="J180" i="1" s="1"/>
  <c r="I181" i="1"/>
  <c r="J181" i="1" s="1" a="1"/>
  <c r="J181" i="1" s="1"/>
  <c r="I182" i="1"/>
  <c r="J182" i="1" s="1" a="1"/>
  <c r="J182" i="1" s="1"/>
  <c r="F173" i="1"/>
  <c r="H30" i="6"/>
  <c r="I30" i="6" s="1"/>
  <c r="H31" i="6"/>
  <c r="I31" i="6" s="1"/>
  <c r="G31" i="6"/>
  <c r="G30" i="6"/>
  <c r="G14" i="7"/>
  <c r="H14"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60" i="1"/>
  <c r="I162" i="1"/>
  <c r="J162" i="1" a="1"/>
  <c r="J162" i="1" s="1"/>
  <c r="I163" i="1"/>
  <c r="J163" i="1" s="1" a="1"/>
  <c r="J163" i="1" s="1"/>
  <c r="I164" i="1"/>
  <c r="J164" i="1" a="1"/>
  <c r="J164" i="1" s="1"/>
  <c r="I165" i="1"/>
  <c r="J165" i="1" s="1" a="1"/>
  <c r="J165" i="1" s="1"/>
  <c r="I166" i="1"/>
  <c r="J166" i="1" s="1" a="1"/>
  <c r="J166" i="1" s="1"/>
  <c r="I167" i="1"/>
  <c r="J167" i="1" s="1" a="1"/>
  <c r="J167" i="1" s="1"/>
  <c r="G161" i="1"/>
  <c r="H160" i="1"/>
  <c r="I149" i="1"/>
  <c r="J149" i="1" s="1" a="1"/>
  <c r="J149" i="1" s="1"/>
  <c r="I150" i="1"/>
  <c r="J150" i="1" s="1" a="1"/>
  <c r="J150" i="1" s="1"/>
  <c r="I151" i="1"/>
  <c r="J151" i="1" a="1"/>
  <c r="J151" i="1" s="1"/>
  <c r="I152" i="1"/>
  <c r="J152" i="1" a="1"/>
  <c r="J152" i="1" s="1"/>
  <c r="I153" i="1"/>
  <c r="J153" i="1" s="1" a="1"/>
  <c r="J153" i="1" s="1"/>
  <c r="I154" i="1"/>
  <c r="J154" i="1" s="1" a="1"/>
  <c r="J154" i="1" s="1"/>
  <c r="I155" i="1"/>
  <c r="J155" i="1" a="1"/>
  <c r="J155" i="1" s="1"/>
  <c r="B49" i="9" a="1"/>
  <c r="Y29" i="9" s="1" a="1"/>
  <c r="Y29" i="9" s="1"/>
  <c r="I83" i="1"/>
  <c r="J83" i="1" s="1" a="1"/>
  <c r="J83" i="1" s="1"/>
  <c r="I146" i="1"/>
  <c r="J146" i="1" a="1"/>
  <c r="J146" i="1" s="1"/>
  <c r="I147" i="1"/>
  <c r="J147" i="1" a="1"/>
  <c r="J147" i="1" s="1"/>
  <c r="I156" i="1"/>
  <c r="J156" i="1" s="1" a="1"/>
  <c r="J156" i="1" s="1"/>
  <c r="I157" i="1"/>
  <c r="J157" i="1" s="1" a="1"/>
  <c r="J157" i="1" s="1"/>
  <c r="I158" i="1"/>
  <c r="J158" i="1" a="1"/>
  <c r="J158" i="1" s="1"/>
  <c r="I136" i="1"/>
  <c r="J136" i="1" s="1" a="1"/>
  <c r="J136" i="1" s="1"/>
  <c r="I137" i="1"/>
  <c r="J137" i="1" s="1" a="1"/>
  <c r="J137" i="1" s="1"/>
  <c r="I138" i="1"/>
  <c r="J138" i="1" a="1"/>
  <c r="J138" i="1" s="1"/>
  <c r="I139" i="1"/>
  <c r="J139" i="1" a="1"/>
  <c r="J139" i="1" s="1"/>
  <c r="I140" i="1"/>
  <c r="J140" i="1" s="1" a="1"/>
  <c r="J140" i="1" s="1"/>
  <c r="I141" i="1"/>
  <c r="J141" i="1" s="1" a="1"/>
  <c r="J141" i="1" s="1"/>
  <c r="I142" i="1"/>
  <c r="J142" i="1" s="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L74" i="9"/>
  <c r="L75" i="9"/>
  <c r="L76" i="9"/>
  <c r="L77" i="9"/>
  <c r="L78" i="9"/>
  <c r="I131" i="1"/>
  <c r="J131" i="1" s="1" a="1"/>
  <c r="J131" i="1" s="1"/>
  <c r="H24" i="6"/>
  <c r="I24" i="6" s="1"/>
  <c r="G24" i="6"/>
  <c r="G25" i="6"/>
  <c r="C9" i="8"/>
  <c r="G11" i="7"/>
  <c r="H11" i="7" s="1"/>
  <c r="G12" i="7"/>
  <c r="H12" i="7" s="1"/>
  <c r="G13" i="7"/>
  <c r="H13" i="7" s="1"/>
  <c r="H22" i="6"/>
  <c r="I22" i="6" s="1"/>
  <c r="H23" i="6"/>
  <c r="I23" i="6" s="1"/>
  <c r="G22" i="6"/>
  <c r="G23" i="6"/>
  <c r="I128" i="1"/>
  <c r="J128" i="1" s="1" a="1"/>
  <c r="J128" i="1" s="1"/>
  <c r="I129" i="1"/>
  <c r="J129" i="1" s="1" a="1"/>
  <c r="J129" i="1" s="1"/>
  <c r="I130" i="1"/>
  <c r="J130" i="1" a="1"/>
  <c r="J130" i="1" s="1"/>
  <c r="I119" i="1"/>
  <c r="J119" i="1" s="1" a="1"/>
  <c r="J119" i="1" s="1"/>
  <c r="I120" i="1"/>
  <c r="J120" i="1" s="1" a="1"/>
  <c r="J120" i="1" s="1"/>
  <c r="I127" i="1"/>
  <c r="J127" i="1" a="1"/>
  <c r="J127" i="1" s="1"/>
  <c r="I132" i="1"/>
  <c r="J132" i="1" a="1"/>
  <c r="J132" i="1" s="1"/>
  <c r="I133" i="1"/>
  <c r="J133" i="1" s="1" a="1"/>
  <c r="J133" i="1" s="1"/>
  <c r="I134" i="1"/>
  <c r="J134" i="1" s="1" a="1"/>
  <c r="J134" i="1" s="1"/>
  <c r="I135" i="1"/>
  <c r="J135" i="1" a="1"/>
  <c r="J135" i="1" s="1"/>
  <c r="G10" i="7"/>
  <c r="H10" i="7" s="1"/>
  <c r="G9" i="7"/>
  <c r="H9" i="7" s="1"/>
  <c r="G8" i="7"/>
  <c r="H8" i="7" s="1"/>
  <c r="H21" i="6"/>
  <c r="I21" i="6" s="1"/>
  <c r="H20" i="6"/>
  <c r="I20" i="6" s="1"/>
  <c r="G20" i="6"/>
  <c r="G21" i="6"/>
  <c r="F12" i="15"/>
  <c r="G12" i="15"/>
  <c r="H12" i="15" s="1"/>
  <c r="G13" i="15"/>
  <c r="H13" i="15" s="1"/>
  <c r="F8" i="15"/>
  <c r="G8" i="15"/>
  <c r="I121" i="1"/>
  <c r="J121" i="1" s="1" a="1"/>
  <c r="J121" i="1" s="1"/>
  <c r="I122" i="1"/>
  <c r="J122" i="1" s="1" a="1"/>
  <c r="J122" i="1" s="1"/>
  <c r="I123" i="1"/>
  <c r="J123" i="1" s="1" a="1"/>
  <c r="J123" i="1" s="1"/>
  <c r="I124" i="1"/>
  <c r="J124" i="1" s="1" a="1"/>
  <c r="J124" i="1" s="1"/>
  <c r="I125" i="1"/>
  <c r="J125" i="1" s="1" a="1"/>
  <c r="J125" i="1" s="1"/>
  <c r="I126" i="1"/>
  <c r="J126" i="1" s="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a="1"/>
  <c r="J112" i="1" s="1"/>
  <c r="I113" i="1"/>
  <c r="J113" i="1" s="1" a="1"/>
  <c r="J113" i="1" s="1"/>
  <c r="I114" i="1"/>
  <c r="J114" i="1" s="1" a="1"/>
  <c r="J114" i="1" s="1"/>
  <c r="I115" i="1"/>
  <c r="J115" i="1" a="1"/>
  <c r="J115" i="1" s="1"/>
  <c r="I116" i="1"/>
  <c r="J116" i="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a="1"/>
  <c r="J108" i="1" s="1"/>
  <c r="I109" i="1"/>
  <c r="J109" i="1" s="1" a="1"/>
  <c r="J109" i="1" s="1"/>
  <c r="I110" i="1"/>
  <c r="J110" i="1" s="1" a="1"/>
  <c r="J110" i="1" s="1"/>
  <c r="I111" i="1"/>
  <c r="J111" i="1" a="1"/>
  <c r="J111" i="1" s="1"/>
  <c r="F11" i="15"/>
  <c r="F10" i="15"/>
  <c r="H12" i="6"/>
  <c r="I12" i="6" s="1"/>
  <c r="I36" i="12"/>
  <c r="H11" i="6"/>
  <c r="I11" i="6" s="1"/>
  <c r="G11" i="6"/>
  <c r="G12" i="6"/>
  <c r="I90" i="1"/>
  <c r="J90" i="1" a="1"/>
  <c r="J90" i="1" s="1"/>
  <c r="I91" i="1"/>
  <c r="J91" i="1" s="1" a="1"/>
  <c r="J91" i="1" s="1"/>
  <c r="I92" i="1"/>
  <c r="J92" i="1" s="1" a="1"/>
  <c r="J92" i="1" s="1"/>
  <c r="I93" i="1"/>
  <c r="J93" i="1" a="1"/>
  <c r="J93" i="1" s="1"/>
  <c r="I94" i="1"/>
  <c r="J94" i="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B30" i="9"/>
  <c r="B27" i="20" s="1"/>
  <c r="R31" i="9" a="1"/>
  <c r="R31" i="9" s="1"/>
  <c r="S31" i="9" a="1"/>
  <c r="S31" i="9" s="1"/>
  <c r="T31" i="9" a="1"/>
  <c r="T31" i="9" s="1"/>
  <c r="U31" i="9" a="1"/>
  <c r="U31" i="9" s="1"/>
  <c r="AB31" i="9"/>
  <c r="B28" i="20" s="1"/>
  <c r="R32" i="9" a="1"/>
  <c r="R32" i="9" s="1"/>
  <c r="S32" i="9" a="1"/>
  <c r="S32" i="9" s="1"/>
  <c r="T32" i="9" a="1"/>
  <c r="T32" i="9" s="1"/>
  <c r="U32" i="9" a="1"/>
  <c r="U32" i="9" s="1"/>
  <c r="AB32" i="9"/>
  <c r="R33" i="9" a="1"/>
  <c r="R33" i="9" s="1"/>
  <c r="S33" i="9" a="1"/>
  <c r="S33" i="9" s="1"/>
  <c r="T33" i="9" a="1"/>
  <c r="T33" i="9" s="1"/>
  <c r="U33" i="9" a="1"/>
  <c r="U33" i="9" s="1"/>
  <c r="AB33" i="9"/>
  <c r="R34" i="9" a="1"/>
  <c r="R34" i="9" s="1"/>
  <c r="S34" i="9" a="1"/>
  <c r="S34" i="9" s="1"/>
  <c r="T34" i="9" a="1"/>
  <c r="T34" i="9" s="1"/>
  <c r="U34" i="9" a="1"/>
  <c r="U34" i="9" s="1"/>
  <c r="AB34" i="9"/>
  <c r="R35" i="9" a="1"/>
  <c r="R35" i="9" s="1"/>
  <c r="S35" i="9" a="1"/>
  <c r="S35" i="9" s="1"/>
  <c r="T35" i="9" a="1"/>
  <c r="T35" i="9" s="1"/>
  <c r="U35" i="9" a="1"/>
  <c r="U35" i="9" s="1"/>
  <c r="AB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20" i="15"/>
  <c r="F6" i="15"/>
  <c r="B84" i="9" a="1"/>
  <c r="B84" i="9" s="1"/>
  <c r="E21" i="7"/>
  <c r="E46" i="7"/>
  <c r="C5" i="8"/>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7" i="20"/>
  <c r="A28" i="20"/>
  <c r="Q5" i="9" a="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G58" i="2" s="1"/>
  <c r="F27" i="2"/>
  <c r="H27" i="2" s="1"/>
  <c r="I27" i="2" s="1"/>
  <c r="D27" i="2" s="1"/>
  <c r="E27" i="2"/>
  <c r="E59" i="2"/>
  <c r="F59" i="2"/>
  <c r="H59" i="2" s="1"/>
  <c r="I59" i="2" s="1"/>
  <c r="D59" i="2" s="1"/>
  <c r="F28" i="2"/>
  <c r="H28" i="2" s="1"/>
  <c r="I28" i="2" s="1"/>
  <c r="D28" i="2" s="1"/>
  <c r="E28" i="2"/>
  <c r="E60" i="2"/>
  <c r="F60" i="2"/>
  <c r="G60" i="2" s="1"/>
  <c r="E61" i="2"/>
  <c r="F61" i="2"/>
  <c r="H61" i="2"/>
  <c r="I61" i="2" s="1"/>
  <c r="D61" i="2" s="1"/>
  <c r="E62" i="2"/>
  <c r="F62" i="2"/>
  <c r="H62" i="2" s="1"/>
  <c r="I62" i="2" s="1"/>
  <c r="D62" i="2" s="1"/>
  <c r="E63" i="2"/>
  <c r="F63" i="2"/>
  <c r="H63" i="2" s="1"/>
  <c r="I63" i="2" s="1"/>
  <c r="D63" i="2" s="1"/>
  <c r="E64" i="2"/>
  <c r="F64" i="2"/>
  <c r="G64" i="2" s="1"/>
  <c r="E65" i="2"/>
  <c r="G65" i="2" s="1"/>
  <c r="F65" i="2"/>
  <c r="E66" i="2"/>
  <c r="F66" i="2"/>
  <c r="G66" i="2" s="1"/>
  <c r="H198" i="1" s="1"/>
  <c r="H66" i="2"/>
  <c r="I66" i="2" s="1"/>
  <c r="D66" i="2" s="1"/>
  <c r="E67" i="2"/>
  <c r="F67" i="2"/>
  <c r="G67" i="2" s="1"/>
  <c r="H199" i="1" s="1"/>
  <c r="E68" i="2"/>
  <c r="F68" i="2"/>
  <c r="H68" i="2" s="1"/>
  <c r="I68" i="2" s="1"/>
  <c r="D68" i="2" s="1"/>
  <c r="E69" i="2"/>
  <c r="F69" i="2"/>
  <c r="E70" i="2"/>
  <c r="F70" i="2"/>
  <c r="G70" i="2" s="1"/>
  <c r="H70" i="2"/>
  <c r="I70" i="2" s="1"/>
  <c r="D70" i="2" s="1"/>
  <c r="E71" i="2"/>
  <c r="F71" i="2"/>
  <c r="G71" i="2" s="1"/>
  <c r="H208" i="1" s="1"/>
  <c r="E72" i="2"/>
  <c r="F72" i="2"/>
  <c r="E73" i="2"/>
  <c r="F73" i="2"/>
  <c r="H73" i="2" s="1"/>
  <c r="I73" i="2" s="1"/>
  <c r="D73" i="2" s="1"/>
  <c r="E45" i="2"/>
  <c r="F45" i="2"/>
  <c r="G45" i="2" s="1"/>
  <c r="H154" i="1" s="1"/>
  <c r="H45" i="2"/>
  <c r="I45" i="2"/>
  <c r="D45" i="2" s="1"/>
  <c r="E46" i="2"/>
  <c r="F46" i="2"/>
  <c r="G46" i="2" s="1"/>
  <c r="H149" i="1" s="1"/>
  <c r="H46" i="2"/>
  <c r="I46" i="2" s="1"/>
  <c r="D46" i="2" s="1"/>
  <c r="E47" i="2"/>
  <c r="F47" i="2"/>
  <c r="H47" i="2" s="1"/>
  <c r="I47" i="2" s="1"/>
  <c r="D47" i="2" s="1"/>
  <c r="E48" i="2"/>
  <c r="F48" i="2"/>
  <c r="F20" i="2"/>
  <c r="H20" i="2"/>
  <c r="I20" i="2" s="1"/>
  <c r="D20" i="2" s="1"/>
  <c r="E20" i="2"/>
  <c r="E49" i="2"/>
  <c r="F49" i="2"/>
  <c r="G49" i="2" s="1"/>
  <c r="F21" i="2"/>
  <c r="H21" i="2" s="1"/>
  <c r="I21" i="2" s="1"/>
  <c r="D21" i="2" s="1"/>
  <c r="E21" i="2"/>
  <c r="E50" i="2"/>
  <c r="F50" i="2"/>
  <c r="H50" i="2" s="1"/>
  <c r="I50" i="2" s="1"/>
  <c r="D50" i="2" s="1"/>
  <c r="E51" i="2"/>
  <c r="F51" i="2"/>
  <c r="G51" i="2" s="1"/>
  <c r="H157" i="1" s="1"/>
  <c r="H51" i="2"/>
  <c r="I51" i="2"/>
  <c r="D51" i="2"/>
  <c r="E52" i="2"/>
  <c r="F52" i="2"/>
  <c r="H52" i="2" s="1"/>
  <c r="I52" i="2" s="1"/>
  <c r="D52" i="2" s="1"/>
  <c r="E53" i="2"/>
  <c r="F53" i="2"/>
  <c r="G53" i="2" s="1"/>
  <c r="H170" i="1" s="1"/>
  <c r="H53" i="2"/>
  <c r="I53" i="2" s="1"/>
  <c r="D53" i="2" s="1"/>
  <c r="E54" i="2"/>
  <c r="F54" i="2"/>
  <c r="G54" i="2" s="1"/>
  <c r="F24" i="2"/>
  <c r="H24" i="2" s="1"/>
  <c r="I24" i="2" s="1"/>
  <c r="D24" i="2" s="1"/>
  <c r="E24" i="2"/>
  <c r="E55" i="2"/>
  <c r="F55" i="2"/>
  <c r="G55" i="2" s="1"/>
  <c r="H55" i="2"/>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c r="I5" i="2" s="1"/>
  <c r="D5" i="2" s="1"/>
  <c r="E5" i="2"/>
  <c r="E34" i="2"/>
  <c r="F34" i="2"/>
  <c r="G34" i="2" s="1"/>
  <c r="H131" i="1" s="1"/>
  <c r="H34" i="2"/>
  <c r="I34" i="2"/>
  <c r="D34" i="2" s="1"/>
  <c r="F18" i="2"/>
  <c r="G18" i="2" s="1"/>
  <c r="H102" i="1" s="1"/>
  <c r="H18" i="2"/>
  <c r="I18" i="2" s="1"/>
  <c r="D18" i="2" s="1"/>
  <c r="E18" i="2"/>
  <c r="E35" i="2"/>
  <c r="F35" i="2"/>
  <c r="H35" i="2" s="1"/>
  <c r="I35" i="2" s="1"/>
  <c r="D35" i="2" s="1"/>
  <c r="E36" i="2"/>
  <c r="F36" i="2"/>
  <c r="H36" i="2"/>
  <c r="I36" i="2"/>
  <c r="D36" i="2"/>
  <c r="F22" i="2"/>
  <c r="H22" i="2" s="1"/>
  <c r="I22" i="2" s="1"/>
  <c r="D22" i="2" s="1"/>
  <c r="E22" i="2"/>
  <c r="F7" i="2"/>
  <c r="E7" i="2"/>
  <c r="E37" i="2"/>
  <c r="F37" i="2"/>
  <c r="G37" i="2" s="1"/>
  <c r="H136" i="1" s="1"/>
  <c r="E39" i="2"/>
  <c r="F39" i="2"/>
  <c r="H39" i="2" s="1"/>
  <c r="I39" i="2" s="1"/>
  <c r="D39" i="2" s="1"/>
  <c r="E40" i="2"/>
  <c r="F40" i="2"/>
  <c r="H40" i="2" s="1"/>
  <c r="I40" i="2" s="1"/>
  <c r="D40" i="2" s="1"/>
  <c r="E41" i="2"/>
  <c r="F41" i="2"/>
  <c r="G41" i="2" s="1"/>
  <c r="H143" i="1" s="1"/>
  <c r="H41" i="2"/>
  <c r="I41" i="2" s="1"/>
  <c r="D41" i="2" s="1"/>
  <c r="E42" i="2"/>
  <c r="F42" i="2"/>
  <c r="H42" i="2" s="1"/>
  <c r="I42" i="2" s="1"/>
  <c r="D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G23" i="2" s="1"/>
  <c r="F15" i="2"/>
  <c r="H15" i="2" s="1"/>
  <c r="I15" i="2" s="1"/>
  <c r="D15" i="2" s="1"/>
  <c r="E15" i="2"/>
  <c r="F16" i="2"/>
  <c r="E16" i="2"/>
  <c r="F26" i="2"/>
  <c r="H26" i="2" s="1"/>
  <c r="I26" i="2" s="1"/>
  <c r="D26" i="2" s="1"/>
  <c r="E26" i="2"/>
  <c r="F29" i="2"/>
  <c r="H29" i="2"/>
  <c r="I29" i="2" s="1"/>
  <c r="D29" i="2" s="1"/>
  <c r="E29" i="2"/>
  <c r="F30" i="2"/>
  <c r="G30" i="2" s="1"/>
  <c r="H30" i="2"/>
  <c r="I30" i="2" s="1"/>
  <c r="D30" i="2" s="1"/>
  <c r="F31" i="2"/>
  <c r="H31" i="2"/>
  <c r="I31" i="2"/>
  <c r="D31" i="2" s="1"/>
  <c r="E31" i="2"/>
  <c r="F32" i="2"/>
  <c r="H32" i="2" s="1"/>
  <c r="I32" i="2" s="1"/>
  <c r="D32" i="2" s="1"/>
  <c r="F14" i="2"/>
  <c r="H14" i="2" s="1"/>
  <c r="I14" i="2" s="1"/>
  <c r="D14" i="2" s="1"/>
  <c r="E14" i="2"/>
  <c r="E30" i="2"/>
  <c r="E32" i="2"/>
  <c r="N4" i="17"/>
  <c r="F12" i="2"/>
  <c r="E12" i="2"/>
  <c r="F11" i="2"/>
  <c r="H11" i="2" s="1"/>
  <c r="I11" i="2" s="1"/>
  <c r="E11" i="2"/>
  <c r="E17" i="2"/>
  <c r="F17" i="2"/>
  <c r="G17" i="2" s="1"/>
  <c r="F9" i="2"/>
  <c r="E9" i="2"/>
  <c r="E8" i="2"/>
  <c r="F8" i="2"/>
  <c r="G8" i="2" s="1"/>
  <c r="H8" i="2"/>
  <c r="I8" i="2"/>
  <c r="D8" i="2" s="1"/>
  <c r="E10" i="2"/>
  <c r="E4" i="2"/>
  <c r="G4" i="2" s="1"/>
  <c r="C8" i="8"/>
  <c r="F10" i="2"/>
  <c r="H10" i="2" s="1"/>
  <c r="I10" i="2" s="1"/>
  <c r="D10" i="2" s="1"/>
  <c r="F4" i="2"/>
  <c r="H4" i="2" s="1"/>
  <c r="I4" i="2" s="1"/>
  <c r="D4" i="2" s="1"/>
  <c r="N3" i="7"/>
  <c r="N5" i="7"/>
  <c r="E6" i="11"/>
  <c r="D6" i="11"/>
  <c r="F3" i="2"/>
  <c r="J15" i="14"/>
  <c r="H92" i="2"/>
  <c r="I92" i="2"/>
  <c r="D92" i="2"/>
  <c r="G76" i="2"/>
  <c r="G88" i="2"/>
  <c r="G81" i="2"/>
  <c r="G87" i="2"/>
  <c r="H94" i="2"/>
  <c r="I94" i="2"/>
  <c r="D94" i="2"/>
  <c r="G91" i="2"/>
  <c r="G90" i="2"/>
  <c r="H89" i="2"/>
  <c r="I89" i="2"/>
  <c r="D89" i="2"/>
  <c r="E15" i="7"/>
  <c r="G83" i="2"/>
  <c r="G80" i="2"/>
  <c r="H98" i="2"/>
  <c r="I98" i="2"/>
  <c r="D98" i="2"/>
  <c r="H93" i="2"/>
  <c r="I93" i="2"/>
  <c r="D93" i="2"/>
  <c r="G85" i="2"/>
  <c r="H88" i="2"/>
  <c r="I88" i="2"/>
  <c r="D88" i="2"/>
  <c r="H95" i="2"/>
  <c r="I95" i="2"/>
  <c r="D95" i="2"/>
  <c r="G84" i="2"/>
  <c r="H97" i="2"/>
  <c r="I97" i="2"/>
  <c r="D97" i="2"/>
  <c r="G86" i="2"/>
  <c r="G77" i="2"/>
  <c r="G75" i="2"/>
  <c r="G74" i="2"/>
  <c r="G82" i="2"/>
  <c r="G78" i="2"/>
  <c r="H85" i="2"/>
  <c r="I85" i="2"/>
  <c r="D85" i="2"/>
  <c r="G79" i="2"/>
  <c r="H82" i="2"/>
  <c r="I82" i="2"/>
  <c r="D82" i="2"/>
  <c r="H74" i="2"/>
  <c r="I74" i="2"/>
  <c r="D74" i="2"/>
  <c r="H81" i="2"/>
  <c r="I81" i="2"/>
  <c r="D81" i="2"/>
  <c r="H76" i="2"/>
  <c r="I76" i="2"/>
  <c r="D76" i="2"/>
  <c r="G73" i="2"/>
  <c r="H65" i="2"/>
  <c r="I65" i="2"/>
  <c r="D65" i="2"/>
  <c r="B2" i="2"/>
  <c r="C367" i="17"/>
  <c r="K4" i="17" s="1"/>
  <c r="C16" i="10"/>
  <c r="J30" i="15"/>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c r="D2" i="17"/>
  <c r="N5"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H48" i="2"/>
  <c r="I48" i="2" s="1"/>
  <c r="D48" i="2" s="1"/>
  <c r="G48" i="2"/>
  <c r="H151" i="1"/>
  <c r="H57" i="2"/>
  <c r="I57" i="2" s="1"/>
  <c r="D57" i="2" s="1"/>
  <c r="G14" i="2"/>
  <c r="H100" i="1" s="1"/>
  <c r="H152" i="1"/>
  <c r="H16" i="2"/>
  <c r="I16" i="2" s="1"/>
  <c r="D16" i="2" s="1"/>
  <c r="G9" i="2"/>
  <c r="H89" i="1"/>
  <c r="H69" i="2"/>
  <c r="I69" i="2"/>
  <c r="D69" i="2"/>
  <c r="G57" i="2"/>
  <c r="H204" i="1" s="1"/>
  <c r="G50" i="2"/>
  <c r="H156" i="1" s="1"/>
  <c r="G13" i="2"/>
  <c r="H95" i="1"/>
  <c r="G50" i="9" a="1"/>
  <c r="G50" i="9" s="1"/>
  <c r="J57" i="9" a="1"/>
  <c r="J57" i="9" s="1"/>
  <c r="Z19" i="9" a="1"/>
  <c r="Z19" i="9" s="1"/>
  <c r="G29" i="2"/>
  <c r="H119" i="1" s="1"/>
  <c r="Z25" i="9" a="1"/>
  <c r="Z25" i="9" s="1"/>
  <c r="Z12" i="9" a="1"/>
  <c r="Z12" i="9" s="1"/>
  <c r="Z23" i="9" a="1"/>
  <c r="Z23" i="9" s="1"/>
  <c r="Z11" i="9" a="1"/>
  <c r="Z11" i="9" s="1"/>
  <c r="Z22" i="9" a="1"/>
  <c r="Z22" i="9" s="1"/>
  <c r="Z10" i="9" a="1"/>
  <c r="Z10" i="9" s="1"/>
  <c r="Z21" i="9" a="1"/>
  <c r="Z21" i="9" s="1"/>
  <c r="Z9" i="9" a="1"/>
  <c r="Z9" i="9" s="1"/>
  <c r="Z20" i="9" a="1"/>
  <c r="Z20" i="9" s="1"/>
  <c r="Z8" i="9" a="1"/>
  <c r="Z8" i="9" s="1"/>
  <c r="Z7" i="9" a="1"/>
  <c r="Z7" i="9" s="1"/>
  <c r="Z18" i="9" a="1"/>
  <c r="Z18" i="9" s="1"/>
  <c r="Z6" i="9" a="1"/>
  <c r="Z6" i="9" s="1"/>
  <c r="Z17" i="9" a="1"/>
  <c r="Z17" i="9" s="1"/>
  <c r="Z28" i="9" a="1"/>
  <c r="Z28" i="9" s="1"/>
  <c r="Z16" i="9" a="1"/>
  <c r="Z16" i="9" s="1"/>
  <c r="Z15" i="9" a="1"/>
  <c r="Z15" i="9" s="1"/>
  <c r="Z13" i="9" a="1"/>
  <c r="Z13" i="9" s="1"/>
  <c r="C12" i="10"/>
  <c r="A21" i="21"/>
  <c r="B21" i="21" s="1"/>
  <c r="I62" i="9" a="1"/>
  <c r="I62" i="9" s="1"/>
  <c r="F97" i="9"/>
  <c r="U18" i="9" s="1" a="1"/>
  <c r="U18" i="9" s="1"/>
  <c r="D85" i="9"/>
  <c r="S6" i="9" a="1"/>
  <c r="S6" i="9" s="1"/>
  <c r="H13" i="2"/>
  <c r="I13" i="2" s="1"/>
  <c r="D13" i="2" s="1"/>
  <c r="H17" i="2"/>
  <c r="I17" i="2" s="1"/>
  <c r="D17" i="2" s="1"/>
  <c r="H9" i="2"/>
  <c r="I9" i="2"/>
  <c r="D9" i="2" s="1"/>
  <c r="G35" i="2"/>
  <c r="H134" i="1" s="1"/>
  <c r="E103" i="9"/>
  <c r="T24" i="9" s="1" a="1"/>
  <c r="T24" i="9" s="1"/>
  <c r="E85" i="9"/>
  <c r="J98" i="9"/>
  <c r="Y19" i="9" s="1" a="1"/>
  <c r="Y19" i="9" s="1"/>
  <c r="C91" i="9"/>
  <c r="X26" i="9" a="1"/>
  <c r="X26" i="9" s="1"/>
  <c r="D103" i="9"/>
  <c r="S24" i="9" s="1" a="1"/>
  <c r="S24" i="9" s="1"/>
  <c r="H64" i="9" a="1"/>
  <c r="H64" i="9" s="1"/>
  <c r="B15" i="9"/>
  <c r="E15" i="9" s="1"/>
  <c r="L97" i="9"/>
  <c r="H88" i="9"/>
  <c r="W9" i="9" s="1" a="1"/>
  <c r="W9" i="9" s="1"/>
  <c r="H69" i="9" a="1"/>
  <c r="H69" i="9" s="1"/>
  <c r="L72" i="9"/>
  <c r="G71" i="9" a="1"/>
  <c r="G71" i="9" s="1"/>
  <c r="J101" i="9"/>
  <c r="I50" i="9" a="1"/>
  <c r="I50" i="9" s="1"/>
  <c r="I94" i="9"/>
  <c r="X15" i="9" s="1" a="1"/>
  <c r="X15" i="9" s="1"/>
  <c r="S26" i="9" a="1"/>
  <c r="S26" i="9" s="1"/>
  <c r="B6" i="9"/>
  <c r="C6" i="9" s="1"/>
  <c r="J99" i="9"/>
  <c r="Y20" i="9" s="1" a="1"/>
  <c r="Y20" i="9" s="1"/>
  <c r="J97" i="9"/>
  <c r="Y18" i="9" s="1" a="1"/>
  <c r="Y18" i="9" s="1"/>
  <c r="G91" i="9"/>
  <c r="I64" i="9" a="1"/>
  <c r="I64" i="9" s="1"/>
  <c r="H92" i="9"/>
  <c r="W13" i="9" a="1"/>
  <c r="W13" i="9" s="1"/>
  <c r="J64" i="9" a="1"/>
  <c r="J64" i="9" s="1"/>
  <c r="L55" i="9"/>
  <c r="G93" i="9"/>
  <c r="F89" i="9"/>
  <c r="U10" i="9" s="1" a="1"/>
  <c r="U10" i="9" s="1"/>
  <c r="H101" i="9"/>
  <c r="W22" i="9" s="1" a="1"/>
  <c r="W22" i="9" s="1"/>
  <c r="G58" i="9" a="1"/>
  <c r="G58" i="9" s="1"/>
  <c r="L71" i="9"/>
  <c r="G52" i="9" a="1"/>
  <c r="G52" i="9" s="1"/>
  <c r="J94" i="9"/>
  <c r="Y15" i="9" s="1" a="1"/>
  <c r="Y15" i="9" s="1"/>
  <c r="H94" i="9"/>
  <c r="W15" i="9" s="1" a="1"/>
  <c r="W15" i="9" s="1"/>
  <c r="H98" i="9"/>
  <c r="W19" i="9" a="1"/>
  <c r="W19" i="9" s="1"/>
  <c r="X25" i="9" a="1"/>
  <c r="X25" i="9" s="1"/>
  <c r="C85" i="9"/>
  <c r="R6" i="9" s="1" a="1"/>
  <c r="R6" i="9" s="1"/>
  <c r="J88" i="9"/>
  <c r="Y9" i="9" s="1" a="1"/>
  <c r="Y9" i="9" s="1"/>
  <c r="H70" i="9" a="1"/>
  <c r="H70" i="9" s="1"/>
  <c r="F87" i="9"/>
  <c r="U8" i="9" a="1"/>
  <c r="U8" i="9" s="1"/>
  <c r="G98" i="9"/>
  <c r="V19" i="9" s="1" a="1"/>
  <c r="V19" i="9" s="1"/>
  <c r="C90" i="9"/>
  <c r="R11" i="9" s="1" a="1"/>
  <c r="R11" i="9" s="1"/>
  <c r="G62" i="9" a="1"/>
  <c r="G62" i="9" s="1"/>
  <c r="I59" i="9" a="1"/>
  <c r="I59" i="9" s="1"/>
  <c r="I100" i="9"/>
  <c r="X21" i="9" s="1" a="1"/>
  <c r="X21" i="9" s="1"/>
  <c r="H61" i="9" a="1"/>
  <c r="H61" i="9" s="1"/>
  <c r="H100" i="9"/>
  <c r="E90" i="9"/>
  <c r="T11" i="9" s="1" a="1"/>
  <c r="T11" i="9" s="1"/>
  <c r="W28" i="9" a="1"/>
  <c r="W28" i="9" s="1"/>
  <c r="L100" i="9"/>
  <c r="F88" i="9"/>
  <c r="U9" i="9" s="1" a="1"/>
  <c r="U9" i="9" s="1"/>
  <c r="T25" i="9" a="1"/>
  <c r="T25" i="9" s="1"/>
  <c r="I72" i="9" a="1"/>
  <c r="I72" i="9" s="1"/>
  <c r="I52" i="9" a="1"/>
  <c r="I52" i="9" s="1"/>
  <c r="L53" i="9"/>
  <c r="B9" i="9"/>
  <c r="C9" i="9" s="1"/>
  <c r="B12" i="9"/>
  <c r="E12" i="9" s="1"/>
  <c r="I66" i="9" a="1"/>
  <c r="I66" i="9" s="1"/>
  <c r="L96" i="9"/>
  <c r="F92" i="9"/>
  <c r="U13" i="9" s="1" a="1"/>
  <c r="U13" i="9" s="1"/>
  <c r="D102" i="9"/>
  <c r="S23" i="9" s="1" a="1"/>
  <c r="S23" i="9" s="1"/>
  <c r="G85" i="9"/>
  <c r="V6" i="9" a="1"/>
  <c r="V6" i="9" s="1"/>
  <c r="B18" i="9"/>
  <c r="C18" i="9" s="1"/>
  <c r="H57" i="9" a="1"/>
  <c r="H57" i="9" s="1"/>
  <c r="C98" i="9"/>
  <c r="R19" i="9" s="1" a="1"/>
  <c r="R19" i="9" s="1"/>
  <c r="I102" i="9"/>
  <c r="X23" i="9" s="1" a="1"/>
  <c r="X23" i="9" s="1"/>
  <c r="U26" i="9" a="1"/>
  <c r="U26" i="9" s="1"/>
  <c r="D90" i="9"/>
  <c r="S11" i="9" s="1" a="1"/>
  <c r="S11" i="9" s="1"/>
  <c r="C89" i="9"/>
  <c r="R10" i="9" s="1" a="1"/>
  <c r="R10" i="9" s="1"/>
  <c r="C87" i="9"/>
  <c r="R8" i="9" s="1" a="1"/>
  <c r="R8" i="9" s="1"/>
  <c r="L94" i="9"/>
  <c r="F95" i="9"/>
  <c r="U16" i="9" s="1" a="1"/>
  <c r="U16" i="9" s="1"/>
  <c r="F93" i="9"/>
  <c r="U14" i="9" s="1" a="1"/>
  <c r="U14" i="9" s="1"/>
  <c r="G90" i="9"/>
  <c r="D97" i="9"/>
  <c r="S18" i="9" s="1" a="1"/>
  <c r="S18" i="9" s="1"/>
  <c r="H93" i="9"/>
  <c r="W14" i="9" s="1" a="1"/>
  <c r="W14" i="9" s="1"/>
  <c r="F99" i="9"/>
  <c r="U20" i="9" s="1" a="1"/>
  <c r="U20" i="9" s="1"/>
  <c r="J55" i="9" a="1"/>
  <c r="J55" i="9" s="1"/>
  <c r="I60" i="9" a="1"/>
  <c r="I60" i="9" s="1"/>
  <c r="B17" i="9"/>
  <c r="E17" i="9" s="1"/>
  <c r="L89" i="9"/>
  <c r="H97" i="9"/>
  <c r="W18" i="9" s="1" a="1"/>
  <c r="W18" i="9" s="1"/>
  <c r="B3" i="9"/>
  <c r="I103" i="9"/>
  <c r="X24" i="9" s="1" a="1"/>
  <c r="X24" i="9" s="1"/>
  <c r="I99" i="9"/>
  <c r="X20" i="9" s="1" a="1"/>
  <c r="X20" i="9" s="1"/>
  <c r="Y25" i="9" a="1"/>
  <c r="Y25" i="9" s="1"/>
  <c r="H55" i="9" a="1"/>
  <c r="H55" i="9" s="1"/>
  <c r="D98" i="9"/>
  <c r="S19" i="9" s="1" a="1"/>
  <c r="S19" i="9" s="1"/>
  <c r="H103" i="9"/>
  <c r="E95" i="9"/>
  <c r="T16" i="9" a="1"/>
  <c r="T16" i="9" s="1"/>
  <c r="F90" i="9"/>
  <c r="U11" i="9" s="1" a="1"/>
  <c r="U11" i="9" s="1"/>
  <c r="H59" i="9" a="1"/>
  <c r="H59" i="9" s="1"/>
  <c r="V27" i="9" a="1"/>
  <c r="V27" i="9" s="1"/>
  <c r="D95" i="9"/>
  <c r="S16" i="9" s="1" a="1"/>
  <c r="S16" i="9" s="1"/>
  <c r="I87" i="9"/>
  <c r="X8" i="9" s="1" a="1"/>
  <c r="X8" i="9" s="1"/>
  <c r="I95" i="9"/>
  <c r="X16" i="9" s="1" a="1"/>
  <c r="X16" i="9" s="1"/>
  <c r="H87" i="9"/>
  <c r="W8" i="9" s="1" a="1"/>
  <c r="W8" i="9" s="1"/>
  <c r="F98" i="9"/>
  <c r="U19" i="9" s="1" a="1"/>
  <c r="U19" i="9" s="1"/>
  <c r="G88" i="9"/>
  <c r="V9" i="9" s="1" a="1"/>
  <c r="V9" i="9" s="1"/>
  <c r="J96" i="9"/>
  <c r="Y17" i="9" s="1" a="1"/>
  <c r="Y17" i="9" s="1"/>
  <c r="C102" i="9"/>
  <c r="R23" i="9" s="1" a="1"/>
  <c r="R23" i="9" s="1"/>
  <c r="H63" i="9" a="1"/>
  <c r="H63" i="9" s="1"/>
  <c r="L95" i="9"/>
  <c r="C101" i="9"/>
  <c r="R22" i="9" s="1" a="1"/>
  <c r="R22" i="9" s="1"/>
  <c r="J58" i="9" a="1"/>
  <c r="J58" i="9" s="1"/>
  <c r="J90" i="9"/>
  <c r="Y11" i="9" s="1" a="1"/>
  <c r="Y11" i="9" s="1"/>
  <c r="H89" i="9"/>
  <c r="W10" i="9" s="1" a="1"/>
  <c r="W10" i="9" s="1"/>
  <c r="J95" i="9"/>
  <c r="Y16" i="9" s="1" a="1"/>
  <c r="Y16" i="9" s="1"/>
  <c r="L90" i="9"/>
  <c r="J60" i="9" a="1"/>
  <c r="J60" i="9" s="1"/>
  <c r="L69" i="9"/>
  <c r="I65" i="9" a="1"/>
  <c r="I65" i="9" s="1"/>
  <c r="D89" i="9"/>
  <c r="S10" i="9" s="1" a="1"/>
  <c r="S10" i="9" s="1"/>
  <c r="H99" i="9"/>
  <c r="W20" i="9" s="1" a="1"/>
  <c r="W20" i="9" s="1"/>
  <c r="G103" i="9"/>
  <c r="L99" i="9"/>
  <c r="AB20" i="9" s="1"/>
  <c r="G87" i="9"/>
  <c r="V8" i="9" s="1" a="1"/>
  <c r="V8" i="9" s="1"/>
  <c r="J103" i="9"/>
  <c r="Y24" i="9" s="1" a="1"/>
  <c r="Y24" i="9" s="1"/>
  <c r="G64" i="9" a="1"/>
  <c r="G64" i="9" s="1"/>
  <c r="J62" i="9" a="1"/>
  <c r="J62" i="9" s="1"/>
  <c r="I86" i="9"/>
  <c r="X7" i="9" s="1" a="1"/>
  <c r="X7" i="9" s="1"/>
  <c r="I69" i="9" a="1"/>
  <c r="I69" i="9" s="1"/>
  <c r="I90" i="9"/>
  <c r="X11" i="9" s="1" a="1"/>
  <c r="X11" i="9" s="1"/>
  <c r="F100" i="9"/>
  <c r="U21" i="9" s="1" a="1"/>
  <c r="U21" i="9" s="1"/>
  <c r="J100" i="9"/>
  <c r="Y21" i="9" s="1" a="1"/>
  <c r="Y21" i="9" s="1"/>
  <c r="D94" i="9"/>
  <c r="S15" i="9" s="1" a="1"/>
  <c r="S15" i="9" s="1"/>
  <c r="T26" i="9" a="1"/>
  <c r="T26" i="9" s="1"/>
  <c r="H96" i="9"/>
  <c r="W17" i="9" s="1" a="1"/>
  <c r="W17" i="9" s="1"/>
  <c r="J50" i="9" a="1"/>
  <c r="J50" i="9" s="1"/>
  <c r="L67" i="9"/>
  <c r="I68" i="9" a="1"/>
  <c r="I68" i="9" s="1"/>
  <c r="J52" i="9" a="1"/>
  <c r="J52" i="9" s="1"/>
  <c r="L98" i="9"/>
  <c r="B14" i="9"/>
  <c r="C14" i="9" s="1"/>
  <c r="J102" i="9"/>
  <c r="Y23" i="9" s="1" a="1"/>
  <c r="Y23" i="9" s="1"/>
  <c r="L52" i="9"/>
  <c r="E88" i="9"/>
  <c r="T9" i="9" s="1" a="1"/>
  <c r="T9" i="9" s="1"/>
  <c r="G61" i="9" a="1"/>
  <c r="G61" i="9" s="1"/>
  <c r="G94" i="9"/>
  <c r="H67" i="9" a="1"/>
  <c r="H67" i="9" s="1"/>
  <c r="B5" i="9"/>
  <c r="C5" i="9" s="1"/>
  <c r="H53" i="9" a="1"/>
  <c r="H53" i="9" s="1"/>
  <c r="C97" i="9"/>
  <c r="R18" i="9" s="1" a="1"/>
  <c r="R18" i="9" s="1"/>
  <c r="B4" i="9"/>
  <c r="C4" i="9" s="1"/>
  <c r="I51" i="9" a="1"/>
  <c r="I51" i="9" s="1"/>
  <c r="D99" i="9"/>
  <c r="S20" i="9" s="1" a="1"/>
  <c r="S20" i="9" s="1"/>
  <c r="J68" i="9" a="1"/>
  <c r="J68" i="9" s="1"/>
  <c r="J53" i="9" a="1"/>
  <c r="J53" i="9" s="1"/>
  <c r="L85" i="9"/>
  <c r="J54" i="9" a="1"/>
  <c r="J54" i="9" s="1"/>
  <c r="C96" i="9"/>
  <c r="R17" i="9" s="1" a="1"/>
  <c r="R17" i="9" s="1"/>
  <c r="J93" i="9"/>
  <c r="Y14" i="9" s="1" a="1"/>
  <c r="Y14" i="9" s="1"/>
  <c r="L86" i="9"/>
  <c r="I56" i="9" a="1"/>
  <c r="I56" i="9" s="1"/>
  <c r="G100" i="9"/>
  <c r="V21" i="9" s="1" a="1"/>
  <c r="V21" i="9" s="1"/>
  <c r="J70" i="9" a="1"/>
  <c r="J70" i="9" s="1"/>
  <c r="J69" i="9" a="1"/>
  <c r="J69" i="9" s="1"/>
  <c r="L102" i="9"/>
  <c r="D86" i="9"/>
  <c r="S7" i="9" s="1" a="1"/>
  <c r="S7" i="9" s="1"/>
  <c r="G92" i="9"/>
  <c r="V13" i="9" s="1" a="1"/>
  <c r="V13" i="9" s="1"/>
  <c r="L62" i="9"/>
  <c r="L66" i="9"/>
  <c r="E97" i="9"/>
  <c r="T18" i="9" s="1" a="1"/>
  <c r="T18" i="9" s="1"/>
  <c r="J59" i="9" a="1"/>
  <c r="J59" i="9" s="1"/>
  <c r="I92" i="9"/>
  <c r="X13" i="9" s="1" a="1"/>
  <c r="X13" i="9" s="1"/>
  <c r="I54" i="9" a="1"/>
  <c r="I54" i="9" s="1"/>
  <c r="L65" i="9"/>
  <c r="S28" i="9" a="1"/>
  <c r="S28" i="9" s="1"/>
  <c r="X28" i="9" a="1"/>
  <c r="X28" i="9" s="1"/>
  <c r="H95" i="9"/>
  <c r="H91" i="9"/>
  <c r="W12" i="9" s="1" a="1"/>
  <c r="W12" i="9" s="1"/>
  <c r="R28" i="9" a="1"/>
  <c r="R28" i="9" s="1"/>
  <c r="G99" i="9"/>
  <c r="V20" i="9" s="1" a="1"/>
  <c r="V20" i="9" s="1"/>
  <c r="I96" i="9"/>
  <c r="X17" i="9" s="1" a="1"/>
  <c r="X17" i="9" s="1"/>
  <c r="F101" i="9"/>
  <c r="U22" i="9" s="1" a="1"/>
  <c r="U22" i="9" s="1"/>
  <c r="E86" i="9"/>
  <c r="T7" i="9" s="1" a="1"/>
  <c r="T7" i="9" s="1"/>
  <c r="H66" i="9" a="1"/>
  <c r="H66" i="9" s="1"/>
  <c r="G97" i="9"/>
  <c r="V18" i="9" s="1" a="1"/>
  <c r="V18" i="9" s="1"/>
  <c r="E102" i="9"/>
  <c r="T23" i="9" s="1" a="1"/>
  <c r="T23" i="9" s="1"/>
  <c r="D91" i="9"/>
  <c r="S12" i="9" s="1" a="1"/>
  <c r="S12" i="9" s="1"/>
  <c r="C104" i="9"/>
  <c r="R25" i="9" s="1" a="1"/>
  <c r="R25" i="9" s="1"/>
  <c r="R26" i="9" a="1"/>
  <c r="R26" i="9" s="1"/>
  <c r="I88" i="9"/>
  <c r="X9" i="9" s="1" a="1"/>
  <c r="X9" i="9" s="1"/>
  <c r="I91" i="9"/>
  <c r="X12" i="9" a="1"/>
  <c r="X12" i="9" s="1"/>
  <c r="L51" i="9"/>
  <c r="G102" i="9"/>
  <c r="T28" i="9" a="1"/>
  <c r="T28" i="9" s="1"/>
  <c r="L61" i="9"/>
  <c r="E92" i="9"/>
  <c r="T13" i="9" s="1" a="1"/>
  <c r="T13" i="9" s="1"/>
  <c r="L56" i="9"/>
  <c r="E100" i="9"/>
  <c r="T21" i="9" s="1" a="1"/>
  <c r="T21" i="9" s="1"/>
  <c r="E89" i="9"/>
  <c r="T10" i="9" s="1" a="1"/>
  <c r="T10" i="9" s="1"/>
  <c r="G57" i="9" a="1"/>
  <c r="G57" i="9" s="1"/>
  <c r="L50" i="9"/>
  <c r="G86" i="9"/>
  <c r="I55" i="9" a="1"/>
  <c r="I55" i="9" s="1"/>
  <c r="D101" i="9"/>
  <c r="S22" i="9" s="1" a="1"/>
  <c r="S22" i="9" s="1"/>
  <c r="H58" i="9" a="1"/>
  <c r="H58" i="9" s="1"/>
  <c r="L103" i="9"/>
  <c r="D87" i="9"/>
  <c r="S8" i="9" a="1"/>
  <c r="S8" i="9" s="1"/>
  <c r="B11" i="9"/>
  <c r="E11" i="9" s="1"/>
  <c r="Y26" i="9" a="1"/>
  <c r="Y26" i="9" s="1"/>
  <c r="G68" i="9" a="1"/>
  <c r="G68" i="9" s="1"/>
  <c r="A13" i="21"/>
  <c r="B13" i="21" s="1"/>
  <c r="L70" i="9"/>
  <c r="B8" i="9"/>
  <c r="C8" i="9" s="1"/>
  <c r="C100" i="9"/>
  <c r="R21" i="9" s="1" a="1"/>
  <c r="R21" i="9" s="1"/>
  <c r="F86" i="9"/>
  <c r="U7" i="9" s="1" a="1"/>
  <c r="U7" i="9" s="1"/>
  <c r="J92" i="9"/>
  <c r="I89" i="9"/>
  <c r="X10" i="9" s="1" a="1"/>
  <c r="X10" i="9" s="1"/>
  <c r="S25" i="9" a="1"/>
  <c r="S25" i="9" s="1"/>
  <c r="I57" i="9" a="1"/>
  <c r="I57" i="9" s="1"/>
  <c r="F96" i="9"/>
  <c r="U17" i="9" s="1" a="1"/>
  <c r="U17" i="9" s="1"/>
  <c r="D88" i="9"/>
  <c r="S9" i="9" s="1" a="1"/>
  <c r="S9" i="9" s="1"/>
  <c r="J63" i="9" a="1"/>
  <c r="J63" i="9" s="1"/>
  <c r="C88" i="9"/>
  <c r="R9" i="9" s="1" a="1"/>
  <c r="R9" i="9" s="1"/>
  <c r="Y28" i="9" a="1"/>
  <c r="Y28" i="9" s="1"/>
  <c r="E94" i="9"/>
  <c r="T15" i="9" s="1" a="1"/>
  <c r="T15" i="9" s="1"/>
  <c r="D96" i="9"/>
  <c r="S17" i="9" s="1" a="1"/>
  <c r="S17" i="9" s="1"/>
  <c r="F91" i="9"/>
  <c r="U12" i="9" s="1" a="1"/>
  <c r="U12" i="9" s="1"/>
  <c r="U25" i="9" a="1"/>
  <c r="U25" i="9" s="1"/>
  <c r="X27" i="9" a="1"/>
  <c r="X27" i="9" s="1"/>
  <c r="J67" i="9" a="1"/>
  <c r="J67" i="9" s="1"/>
  <c r="J87" i="9"/>
  <c r="Y8" i="9" s="1" a="1"/>
  <c r="Y8" i="9" s="1"/>
  <c r="W26" i="9" a="1"/>
  <c r="W26" i="9" s="1"/>
  <c r="J56" i="9" a="1"/>
  <c r="J56" i="9" s="1"/>
  <c r="C86" i="9"/>
  <c r="R7" i="9" s="1" a="1"/>
  <c r="R7" i="9" s="1"/>
  <c r="C92" i="9"/>
  <c r="R13" i="9" s="1" a="1"/>
  <c r="R13" i="9" s="1"/>
  <c r="U27" i="9" a="1"/>
  <c r="U27" i="9" s="1"/>
  <c r="D100" i="9"/>
  <c r="S21" i="9" s="1" a="1"/>
  <c r="S21" i="9" s="1"/>
  <c r="B10" i="9"/>
  <c r="E10" i="9" s="1"/>
  <c r="I101" i="9"/>
  <c r="X22" i="9" s="1" a="1"/>
  <c r="X22" i="9" s="1"/>
  <c r="I93" i="9"/>
  <c r="X14" i="9" s="1" a="1"/>
  <c r="X14" i="9" s="1"/>
  <c r="H52" i="9" a="1"/>
  <c r="H52" i="9" s="1"/>
  <c r="I71" i="9" a="1"/>
  <c r="I71" i="9" s="1"/>
  <c r="D93" i="9"/>
  <c r="S14" i="9" s="1" a="1"/>
  <c r="S14" i="9" s="1"/>
  <c r="J71" i="9" a="1"/>
  <c r="J71" i="9" s="1"/>
  <c r="G63" i="9" a="1"/>
  <c r="G63" i="9" s="1"/>
  <c r="C95" i="9"/>
  <c r="R16" i="9" s="1" a="1"/>
  <c r="R16" i="9" s="1"/>
  <c r="H102" i="9"/>
  <c r="W23" i="9" s="1" a="1"/>
  <c r="W23" i="9" s="1"/>
  <c r="C93" i="9"/>
  <c r="R14" i="9" s="1" a="1"/>
  <c r="R14" i="9" s="1"/>
  <c r="B7" i="9"/>
  <c r="C7" i="9" s="1"/>
  <c r="L68" i="9"/>
  <c r="I61" i="9" a="1"/>
  <c r="I61" i="9" s="1"/>
  <c r="J86" i="9"/>
  <c r="Y7" i="9" s="1" a="1"/>
  <c r="Y7" i="9" s="1"/>
  <c r="D92" i="9"/>
  <c r="S13" i="9" s="1" a="1"/>
  <c r="S13" i="9" s="1"/>
  <c r="J65" i="9" a="1"/>
  <c r="J65" i="9" s="1"/>
  <c r="L63" i="9"/>
  <c r="F102" i="9"/>
  <c r="U23" i="9" s="1" a="1"/>
  <c r="U23" i="9" s="1"/>
  <c r="W25" i="9" a="1"/>
  <c r="W25" i="9" s="1"/>
  <c r="H72" i="9" a="1"/>
  <c r="H72" i="9" s="1"/>
  <c r="L60" i="9"/>
  <c r="L57" i="9"/>
  <c r="H54" i="9" a="1"/>
  <c r="H54" i="9" s="1"/>
  <c r="R27" i="9" a="1"/>
  <c r="R27" i="9" s="1"/>
  <c r="J89" i="9"/>
  <c r="Y10" i="9" s="1" a="1"/>
  <c r="Y10" i="9" s="1"/>
  <c r="H56" i="9" a="1"/>
  <c r="H56" i="9" s="1"/>
  <c r="G65" i="9" a="1"/>
  <c r="G65" i="9" s="1"/>
  <c r="U28" i="9" a="1"/>
  <c r="U28" i="9" s="1"/>
  <c r="S27" i="9" a="1"/>
  <c r="S27" i="9" s="1"/>
  <c r="Y27" i="9" a="1"/>
  <c r="Y27" i="9" s="1"/>
  <c r="J72" i="9" a="1"/>
  <c r="J72" i="9" s="1"/>
  <c r="E87" i="9"/>
  <c r="T8" i="9" s="1" a="1"/>
  <c r="T8" i="9" s="1"/>
  <c r="I63" i="9" a="1"/>
  <c r="I63" i="9" s="1"/>
  <c r="G66" i="9" a="1"/>
  <c r="G66" i="9" s="1"/>
  <c r="H90" i="9"/>
  <c r="L91" i="9"/>
  <c r="L58" i="9"/>
  <c r="E101" i="9"/>
  <c r="T22" i="9" s="1" a="1"/>
  <c r="T22" i="9" s="1"/>
  <c r="G95" i="9"/>
  <c r="G96" i="9"/>
  <c r="V17" i="9" s="1" a="1"/>
  <c r="V17" i="9" s="1"/>
  <c r="C99" i="9"/>
  <c r="R20" i="9" s="1" a="1"/>
  <c r="R20" i="9" s="1"/>
  <c r="L101" i="9"/>
  <c r="E98" i="9"/>
  <c r="T19" i="9" s="1" a="1"/>
  <c r="T19" i="9" s="1"/>
  <c r="I53" i="9" a="1"/>
  <c r="I53" i="9" s="1"/>
  <c r="E91" i="9"/>
  <c r="T12" i="9" s="1" a="1"/>
  <c r="T12" i="9" s="1"/>
  <c r="I85" i="9"/>
  <c r="X6" i="9" a="1"/>
  <c r="X6" i="9" s="1"/>
  <c r="J91" i="9"/>
  <c r="Y12" i="9" s="1" a="1"/>
  <c r="Y12" i="9" s="1"/>
  <c r="E99" i="9"/>
  <c r="T20" i="9" s="1" a="1"/>
  <c r="T20" i="9" s="1"/>
  <c r="L93" i="9"/>
  <c r="AB14" i="9" s="1"/>
  <c r="I58" i="9" a="1"/>
  <c r="I58" i="9" s="1"/>
  <c r="I97" i="9"/>
  <c r="X18" i="9" s="1" a="1"/>
  <c r="X18" i="9" s="1"/>
  <c r="E96" i="9"/>
  <c r="T17" i="9" s="1" a="1"/>
  <c r="T17" i="9" s="1"/>
  <c r="G101" i="9"/>
  <c r="V22" i="9" s="1" a="1"/>
  <c r="V22" i="9" s="1"/>
  <c r="I98" i="9"/>
  <c r="X19" i="9" s="1" a="1"/>
  <c r="X19" i="9" s="1"/>
  <c r="L92" i="9"/>
  <c r="G53" i="9" a="1"/>
  <c r="G53" i="9" s="1"/>
  <c r="H86" i="9"/>
  <c r="J51" i="9" a="1"/>
  <c r="J51" i="9" s="1"/>
  <c r="G89" i="9"/>
  <c r="H62" i="9" a="1"/>
  <c r="H62" i="9" s="1"/>
  <c r="E93" i="9"/>
  <c r="T14" i="9" s="1" a="1"/>
  <c r="T14" i="9" s="1"/>
  <c r="T27" i="9" a="1"/>
  <c r="T27" i="9" s="1"/>
  <c r="F85" i="9"/>
  <c r="J85" i="9"/>
  <c r="Y6" i="9" a="1"/>
  <c r="Y6" i="9" s="1"/>
  <c r="H85" i="9"/>
  <c r="L59" i="9"/>
  <c r="L87" i="9"/>
  <c r="L88" i="9"/>
  <c r="AB9" i="9" s="1"/>
  <c r="B6" i="20" s="1"/>
  <c r="F94" i="9"/>
  <c r="U15" i="9" s="1" a="1"/>
  <c r="U15" i="9" s="1"/>
  <c r="J66" i="9" a="1"/>
  <c r="J66" i="9" s="1"/>
  <c r="A16" i="20"/>
  <c r="A21" i="20"/>
  <c r="A10" i="20"/>
  <c r="A14" i="21"/>
  <c r="B14" i="21" s="1"/>
  <c r="A4" i="20"/>
  <c r="A20" i="21"/>
  <c r="B20" i="21" s="1"/>
  <c r="D367" i="17"/>
  <c r="E4" i="9"/>
  <c r="C15" i="9"/>
  <c r="E18" i="9"/>
  <c r="C11" i="9"/>
  <c r="K85" i="9"/>
  <c r="M85" i="9" s="1"/>
  <c r="Y13" i="9" a="1"/>
  <c r="Y13" i="9" s="1"/>
  <c r="C2" i="2"/>
  <c r="F367" i="17" l="1"/>
  <c r="H166" i="1"/>
  <c r="H181" i="1"/>
  <c r="H203" i="1"/>
  <c r="H168" i="1"/>
  <c r="H120" i="1"/>
  <c r="H130" i="1"/>
  <c r="H196" i="1"/>
  <c r="H174" i="1"/>
  <c r="G7" i="2"/>
  <c r="H83" i="1" s="1"/>
  <c r="G33" i="2"/>
  <c r="H125" i="1" s="1"/>
  <c r="G19" i="2"/>
  <c r="H103" i="1" s="1"/>
  <c r="H49" i="2"/>
  <c r="I49" i="2" s="1"/>
  <c r="D49" i="2" s="1"/>
  <c r="H71" i="2"/>
  <c r="I71" i="2" s="1"/>
  <c r="D71" i="2" s="1"/>
  <c r="H67" i="2"/>
  <c r="I67" i="2" s="1"/>
  <c r="D67" i="2" s="1"/>
  <c r="G21" i="2"/>
  <c r="G52" i="2"/>
  <c r="H158" i="1" s="1"/>
  <c r="G36" i="2"/>
  <c r="H135" i="1" s="1"/>
  <c r="G20" i="2"/>
  <c r="H104" i="1" s="1"/>
  <c r="H7" i="2"/>
  <c r="I7" i="2" s="1"/>
  <c r="D7" i="2" s="1"/>
  <c r="H37" i="2"/>
  <c r="I37" i="2" s="1"/>
  <c r="D37" i="2" s="1"/>
  <c r="G5" i="2"/>
  <c r="H98" i="1" s="1"/>
  <c r="H58" i="2"/>
  <c r="I58" i="2" s="1"/>
  <c r="D58" i="2" s="1"/>
  <c r="G6" i="2"/>
  <c r="H84" i="1" s="1"/>
  <c r="G38" i="2"/>
  <c r="H137" i="1" s="1"/>
  <c r="G72" i="2"/>
  <c r="H209" i="1" s="1"/>
  <c r="AB29" i="9"/>
  <c r="B26" i="20" s="1"/>
  <c r="A22" i="21"/>
  <c r="B22" i="21" s="1"/>
  <c r="A5" i="21"/>
  <c r="B5" i="21" s="1"/>
  <c r="A14" i="20"/>
  <c r="AB26" i="9"/>
  <c r="B23" i="20" s="1"/>
  <c r="A7" i="20"/>
  <c r="A8" i="20"/>
  <c r="A5" i="20"/>
  <c r="A20" i="20"/>
  <c r="A7" i="21"/>
  <c r="B7" i="21" s="1"/>
  <c r="A6" i="21"/>
  <c r="B6" i="21" s="1"/>
  <c r="AB27" i="9"/>
  <c r="B24" i="20" s="1"/>
  <c r="A25" i="20"/>
  <c r="A12" i="21"/>
  <c r="B12" i="21" s="1"/>
  <c r="A9" i="20"/>
  <c r="A4" i="21"/>
  <c r="B4" i="21" s="1"/>
  <c r="A23" i="20"/>
  <c r="AB25" i="9"/>
  <c r="A19" i="21"/>
  <c r="B19" i="21" s="1"/>
  <c r="A18" i="21"/>
  <c r="B18" i="21" s="1"/>
  <c r="A3" i="20"/>
  <c r="A12" i="20"/>
  <c r="A10" i="21"/>
  <c r="B10" i="21" s="1"/>
  <c r="A17" i="20"/>
  <c r="A16" i="21"/>
  <c r="B16" i="21" s="1"/>
  <c r="A3" i="21"/>
  <c r="B3" i="21" s="1"/>
  <c r="A13" i="20"/>
  <c r="A9" i="21"/>
  <c r="B9" i="21" s="1"/>
  <c r="AB8" i="9"/>
  <c r="B5" i="20" s="1"/>
  <c r="A19" i="20"/>
  <c r="A6" i="20"/>
  <c r="AB28" i="9"/>
  <c r="AB13" i="9"/>
  <c r="B10" i="20" s="1"/>
  <c r="X29" i="9" a="1"/>
  <c r="X29" i="9" s="1"/>
  <c r="W29" i="9" a="1"/>
  <c r="W29" i="9" s="1"/>
  <c r="E3" i="9"/>
  <c r="S29" i="9" a="1"/>
  <c r="S29" i="9" s="1"/>
  <c r="A8" i="21"/>
  <c r="B8" i="21" s="1"/>
  <c r="A22" i="20"/>
  <c r="AB12" i="9"/>
  <c r="B9" i="20" s="1"/>
  <c r="H73" i="9" a="1"/>
  <c r="H73" i="9" s="1"/>
  <c r="A11" i="20"/>
  <c r="A18" i="20"/>
  <c r="AB15" i="9"/>
  <c r="A26" i="20"/>
  <c r="K86" i="9"/>
  <c r="M86" i="9" s="1"/>
  <c r="U29" i="9" a="1"/>
  <c r="U29" i="9" s="1"/>
  <c r="E8" i="9"/>
  <c r="K90" i="9"/>
  <c r="M90" i="9" s="1"/>
  <c r="AB6" i="9"/>
  <c r="B3" i="20" s="1"/>
  <c r="V29" i="9" a="1"/>
  <c r="V29" i="9" s="1"/>
  <c r="T29" i="9" a="1"/>
  <c r="T29" i="9" s="1"/>
  <c r="G73" i="9" a="1"/>
  <c r="G73" i="9" s="1"/>
  <c r="Z29" i="9" a="1"/>
  <c r="Z29" i="9" s="1"/>
  <c r="AB23" i="9"/>
  <c r="B20" i="20" s="1"/>
  <c r="AB22" i="9"/>
  <c r="B19" i="20" s="1"/>
  <c r="L73" i="9"/>
  <c r="AB11" i="9"/>
  <c r="B8" i="20" s="1"/>
  <c r="AB18" i="9"/>
  <c r="B15" i="20" s="1"/>
  <c r="H179" i="1"/>
  <c r="H182" i="1"/>
  <c r="G16" i="2"/>
  <c r="H197" i="1"/>
  <c r="G32" i="2"/>
  <c r="H148" i="1" s="1"/>
  <c r="G15" i="2"/>
  <c r="H97" i="1" s="1"/>
  <c r="G62" i="2"/>
  <c r="H184" i="1" s="1"/>
  <c r="H133" i="1"/>
  <c r="H128" i="1"/>
  <c r="H64" i="2"/>
  <c r="I64" i="2" s="1"/>
  <c r="D64" i="2" s="1"/>
  <c r="G22" i="2"/>
  <c r="H106" i="1" s="1"/>
  <c r="G63" i="2"/>
  <c r="H185" i="1" s="1"/>
  <c r="G11" i="2"/>
  <c r="H60" i="2"/>
  <c r="I60" i="2" s="1"/>
  <c r="D60" i="2" s="1"/>
  <c r="G27" i="2"/>
  <c r="G39" i="2"/>
  <c r="G31" i="2"/>
  <c r="H180" i="1" s="1"/>
  <c r="G25" i="2"/>
  <c r="H111" i="1" s="1"/>
  <c r="H96" i="1"/>
  <c r="H82" i="1"/>
  <c r="G24" i="2"/>
  <c r="H72" i="2"/>
  <c r="I72" i="2" s="1"/>
  <c r="D72" i="2" s="1"/>
  <c r="H169" i="1"/>
  <c r="G59" i="2"/>
  <c r="G43" i="2"/>
  <c r="H145" i="1" s="1"/>
  <c r="H175" i="1"/>
  <c r="G40" i="2"/>
  <c r="H142" i="1" s="1"/>
  <c r="G61" i="2"/>
  <c r="H183" i="1" s="1"/>
  <c r="G68" i="2"/>
  <c r="H200" i="1" s="1"/>
  <c r="G12" i="2"/>
  <c r="H92" i="1" s="1"/>
  <c r="G42" i="2"/>
  <c r="H144" i="1" s="1"/>
  <c r="G10" i="2"/>
  <c r="H90" i="1" s="1"/>
  <c r="G26" i="2"/>
  <c r="H114" i="1" s="1"/>
  <c r="G69" i="2"/>
  <c r="H202" i="1" s="1"/>
  <c r="G55" i="9" a="1"/>
  <c r="G55" i="9" s="1"/>
  <c r="K55" i="9" s="1"/>
  <c r="M55" i="9" s="1"/>
  <c r="E5" i="9"/>
  <c r="A24" i="20"/>
  <c r="K102" i="9"/>
  <c r="M102" i="9" s="1"/>
  <c r="K103" i="9"/>
  <c r="M103" i="9" s="1"/>
  <c r="A11" i="21"/>
  <c r="B11" i="21" s="1"/>
  <c r="AB24" i="9"/>
  <c r="B21" i="20" s="1"/>
  <c r="AB7" i="9"/>
  <c r="B4" i="20" s="1"/>
  <c r="AB16" i="9"/>
  <c r="B13" i="20" s="1"/>
  <c r="AB10" i="9"/>
  <c r="B7" i="20" s="1"/>
  <c r="AB21" i="9"/>
  <c r="B18" i="20" s="1"/>
  <c r="Z24" i="9" a="1"/>
  <c r="Z24" i="9" s="1"/>
  <c r="AB17" i="9"/>
  <c r="B14" i="20" s="1"/>
  <c r="K91" i="9"/>
  <c r="M91" i="9" s="1"/>
  <c r="K99" i="9"/>
  <c r="M99" i="9" s="1"/>
  <c r="K93" i="9"/>
  <c r="K95" i="9"/>
  <c r="M95" i="9" s="1"/>
  <c r="A15" i="21"/>
  <c r="B15" i="21" s="1"/>
  <c r="A17" i="21"/>
  <c r="B17" i="21" s="1"/>
  <c r="A15" i="20"/>
  <c r="AB19" i="9"/>
  <c r="B16" i="20" s="1"/>
  <c r="B49" i="9"/>
  <c r="C49" i="9" s="1" a="1"/>
  <c r="C49" i="9" s="1"/>
  <c r="C12" i="19" a="1"/>
  <c r="C12" i="19" s="1"/>
  <c r="V28" i="9" a="1"/>
  <c r="V28" i="9" s="1"/>
  <c r="AA28" i="9" s="1"/>
  <c r="AC28" i="9" s="1"/>
  <c r="C25" i="20" s="1"/>
  <c r="G72" i="9" a="1"/>
  <c r="G72" i="9" s="1"/>
  <c r="K72" i="9" s="1"/>
  <c r="M72" i="9" s="1"/>
  <c r="I210" i="1" a="1"/>
  <c r="I210" i="1" s="1"/>
  <c r="V24" i="9" a="1"/>
  <c r="V24" i="9" s="1"/>
  <c r="I161" i="1"/>
  <c r="J161" i="1" s="1" a="1"/>
  <c r="J161" i="1" s="1"/>
  <c r="C17" i="9"/>
  <c r="J210" i="1" a="1"/>
  <c r="J210" i="1" s="1"/>
  <c r="K96" i="9"/>
  <c r="M96" i="9" s="1"/>
  <c r="C14" i="19" a="1"/>
  <c r="C14" i="19" s="1"/>
  <c r="E6" i="9"/>
  <c r="W11" i="9" a="1"/>
  <c r="W11" i="9" s="1"/>
  <c r="V14" i="9" a="1"/>
  <c r="V14" i="9" s="1"/>
  <c r="C10" i="9"/>
  <c r="K97" i="9"/>
  <c r="M97" i="9" s="1"/>
  <c r="C12" i="9"/>
  <c r="M93" i="9"/>
  <c r="K94" i="9"/>
  <c r="M94" i="9" s="1"/>
  <c r="E9" i="9"/>
  <c r="K77" i="9"/>
  <c r="M77" i="9" s="1"/>
  <c r="Q5" i="9"/>
  <c r="C3" i="9"/>
  <c r="H51" i="9" a="1"/>
  <c r="H51" i="9" s="1"/>
  <c r="K101" i="9"/>
  <c r="M101" i="9" s="1"/>
  <c r="U6" i="9" a="1"/>
  <c r="U6" i="9" s="1"/>
  <c r="K92" i="9"/>
  <c r="M92" i="9" s="1"/>
  <c r="K88" i="9"/>
  <c r="M88" i="9" s="1"/>
  <c r="G59" i="9" a="1"/>
  <c r="G59" i="9" s="1"/>
  <c r="K59" i="9" s="1"/>
  <c r="M59" i="9" s="1"/>
  <c r="W16" i="9" a="1"/>
  <c r="W16" i="9" s="1"/>
  <c r="W24" i="9" a="1"/>
  <c r="W24" i="9" s="1"/>
  <c r="K75" i="9"/>
  <c r="M75" i="9" s="1"/>
  <c r="G60" i="9" a="1"/>
  <c r="G60" i="9" s="1"/>
  <c r="H139" i="1"/>
  <c r="H99" i="1"/>
  <c r="H155" i="1"/>
  <c r="H161" i="1"/>
  <c r="H141" i="1"/>
  <c r="H140" i="1"/>
  <c r="H191" i="1"/>
  <c r="H129" i="1"/>
  <c r="H194" i="1"/>
  <c r="H192" i="1"/>
  <c r="H172" i="1"/>
  <c r="H165" i="1"/>
  <c r="H85" i="1"/>
  <c r="H86" i="1"/>
  <c r="H88" i="1"/>
  <c r="H87" i="1"/>
  <c r="H189" i="1"/>
  <c r="H186" i="1"/>
  <c r="H113" i="1"/>
  <c r="H107" i="1"/>
  <c r="H153" i="1"/>
  <c r="H163" i="1"/>
  <c r="H146" i="1"/>
  <c r="H116" i="1"/>
  <c r="H121" i="1"/>
  <c r="H101" i="1"/>
  <c r="H159" i="1"/>
  <c r="H205" i="1"/>
  <c r="H206" i="1"/>
  <c r="H176" i="1"/>
  <c r="H173" i="1"/>
  <c r="H44" i="2"/>
  <c r="I44" i="2" s="1"/>
  <c r="D44" i="2" s="1"/>
  <c r="G47" i="2"/>
  <c r="H150" i="1" s="1"/>
  <c r="G28" i="2"/>
  <c r="H147" i="1"/>
  <c r="H124" i="1"/>
  <c r="H127" i="1"/>
  <c r="G56" i="2"/>
  <c r="H54" i="2"/>
  <c r="I54" i="2" s="1"/>
  <c r="D54" i="2" s="1"/>
  <c r="H25" i="2"/>
  <c r="I25" i="2" s="1"/>
  <c r="D25" i="2" s="1"/>
  <c r="H12" i="2"/>
  <c r="I12" i="2" s="1"/>
  <c r="D12" i="2" s="1"/>
  <c r="H171" i="1"/>
  <c r="H162" i="1"/>
  <c r="K76" i="9"/>
  <c r="M76" i="9" s="1"/>
  <c r="AA30" i="9"/>
  <c r="AC30" i="9" s="1"/>
  <c r="C27" i="20" s="1"/>
  <c r="AA33" i="9"/>
  <c r="AC33" i="9" s="1"/>
  <c r="AA9" i="9"/>
  <c r="AC9" i="9" s="1"/>
  <c r="C6" i="20" s="1"/>
  <c r="G51" i="9" a="1"/>
  <c r="G51" i="9" s="1"/>
  <c r="K51" i="9" s="1"/>
  <c r="M51" i="9" s="1"/>
  <c r="K58" i="9"/>
  <c r="M58" i="9" s="1"/>
  <c r="H60" i="9" a="1"/>
  <c r="H60" i="9" s="1"/>
  <c r="V26" i="9" a="1"/>
  <c r="V26" i="9" s="1"/>
  <c r="K63" i="9"/>
  <c r="M63" i="9" s="1"/>
  <c r="AA35" i="9"/>
  <c r="AC35" i="9" s="1"/>
  <c r="G54" i="9" a="1"/>
  <c r="G54" i="9" s="1"/>
  <c r="K54" i="9" s="1"/>
  <c r="K74" i="9"/>
  <c r="M74" i="9" s="1"/>
  <c r="W21" i="9" a="1"/>
  <c r="W21" i="9" s="1"/>
  <c r="AA21" i="9" s="1"/>
  <c r="AC21" i="9" s="1"/>
  <c r="C18" i="20" s="1"/>
  <c r="W7" i="9" a="1"/>
  <c r="W7" i="9" s="1"/>
  <c r="V11" i="9" a="1"/>
  <c r="V11" i="9" s="1"/>
  <c r="G69" i="9" a="1"/>
  <c r="G69" i="9" s="1"/>
  <c r="K69" i="9" s="1"/>
  <c r="M69" i="9" s="1"/>
  <c r="V23" i="9" a="1"/>
  <c r="V23" i="9" s="1"/>
  <c r="AA23" i="9" s="1"/>
  <c r="H50" i="9" a="1"/>
  <c r="H50" i="9" s="1"/>
  <c r="K50" i="9" s="1"/>
  <c r="M50" i="9" s="1"/>
  <c r="AA32" i="9"/>
  <c r="AC32" i="9" s="1"/>
  <c r="AA20" i="9"/>
  <c r="AC20" i="9" s="1"/>
  <c r="C17" i="20" s="1"/>
  <c r="AA34" i="9"/>
  <c r="AC34" i="9" s="1"/>
  <c r="G56" i="9" a="1"/>
  <c r="G56" i="9" s="1"/>
  <c r="K56" i="9" s="1"/>
  <c r="M56" i="9" s="1"/>
  <c r="AA8" i="9"/>
  <c r="K62" i="9"/>
  <c r="M62" i="9" s="1"/>
  <c r="K64" i="9"/>
  <c r="M64" i="9" s="1"/>
  <c r="H68" i="9" a="1"/>
  <c r="H68" i="9" s="1"/>
  <c r="K68" i="9" s="1"/>
  <c r="M68" i="9" s="1"/>
  <c r="K66" i="9"/>
  <c r="M66" i="9" s="1"/>
  <c r="W6" i="9" a="1"/>
  <c r="W6" i="9" s="1"/>
  <c r="AA6" i="9" s="1"/>
  <c r="AC6" i="9" s="1"/>
  <c r="C3" i="20" s="1"/>
  <c r="G67" i="9" a="1"/>
  <c r="G67" i="9" s="1"/>
  <c r="G70" i="9" a="1"/>
  <c r="G70" i="9" s="1"/>
  <c r="V7" i="9" a="1"/>
  <c r="V7" i="9" s="1"/>
  <c r="K52" i="9"/>
  <c r="M52" i="9" s="1"/>
  <c r="AA13" i="9"/>
  <c r="AA19" i="9"/>
  <c r="K57" i="9"/>
  <c r="M57" i="9" s="1"/>
  <c r="AA18" i="9"/>
  <c r="AA17" i="9"/>
  <c r="K53" i="9"/>
  <c r="M53" i="9" s="1"/>
  <c r="K89" i="9"/>
  <c r="M89" i="9" s="1"/>
  <c r="G49" i="9" a="1"/>
  <c r="G49" i="9" s="1"/>
  <c r="E14" i="9"/>
  <c r="K210" i="1"/>
  <c r="V12" i="9" a="1"/>
  <c r="V12" i="9" s="1"/>
  <c r="AA12" i="9" s="1"/>
  <c r="AC12" i="9" s="1"/>
  <c r="C9" i="20" s="1"/>
  <c r="Z27" i="9" a="1"/>
  <c r="Z27" i="9" s="1"/>
  <c r="L54" i="9"/>
  <c r="R12" i="9" a="1"/>
  <c r="R12" i="9" s="1"/>
  <c r="B13" i="9"/>
  <c r="B16" i="9"/>
  <c r="C103" i="9"/>
  <c r="R24" i="9" s="1" a="1"/>
  <c r="R24" i="9" s="1"/>
  <c r="D8" i="19" s="1" a="1"/>
  <c r="D8" i="19" s="1"/>
  <c r="I73" i="9" a="1"/>
  <c r="I73" i="9" s="1"/>
  <c r="J73" i="9" a="1"/>
  <c r="J73" i="9" s="1"/>
  <c r="Z26" i="9" a="1"/>
  <c r="Z26" i="9" s="1"/>
  <c r="I70" i="9" a="1"/>
  <c r="I70" i="9" s="1"/>
  <c r="J61" i="9" a="1"/>
  <c r="J61" i="9" s="1"/>
  <c r="K61" i="9" s="1"/>
  <c r="M61" i="9" s="1"/>
  <c r="Y22" i="9" a="1"/>
  <c r="Y22" i="9" s="1"/>
  <c r="AA22" i="9" s="1"/>
  <c r="V25" i="9" a="1"/>
  <c r="V25" i="9" s="1"/>
  <c r="AA25" i="9" s="1"/>
  <c r="K87" i="9"/>
  <c r="M87" i="9" s="1"/>
  <c r="H49" i="9" a="1"/>
  <c r="H49" i="9" s="1"/>
  <c r="V10" i="9" a="1"/>
  <c r="V10" i="9" s="1"/>
  <c r="AA10" i="9" s="1"/>
  <c r="AC10" i="9" s="1"/>
  <c r="C7" i="20" s="1"/>
  <c r="AA31" i="9"/>
  <c r="AC31" i="9" s="1"/>
  <c r="C28" i="20" s="1"/>
  <c r="K100" i="9"/>
  <c r="M100" i="9" s="1"/>
  <c r="E7" i="9" a="1"/>
  <c r="E7" i="9" s="1"/>
  <c r="V16" i="9" a="1"/>
  <c r="V16" i="9" s="1"/>
  <c r="V15" i="9" a="1"/>
  <c r="V15" i="9" s="1"/>
  <c r="AA15" i="9" s="1"/>
  <c r="K78" i="9"/>
  <c r="M78" i="9" s="1"/>
  <c r="K98" i="9"/>
  <c r="M98" i="9" s="1"/>
  <c r="H65" i="9" a="1"/>
  <c r="H65" i="9" s="1"/>
  <c r="K65" i="9" s="1"/>
  <c r="M65" i="9" s="1"/>
  <c r="W27" i="9" a="1"/>
  <c r="W27" i="9" s="1"/>
  <c r="H71" i="9" a="1"/>
  <c r="H71" i="9" s="1"/>
  <c r="K71" i="9" s="1"/>
  <c r="M71" i="9" s="1"/>
  <c r="R29" i="9" a="1"/>
  <c r="R29" i="9" s="1"/>
  <c r="I67" i="9" a="1"/>
  <c r="I67" i="9" s="1"/>
  <c r="F103" i="9"/>
  <c r="U24" i="9" s="1" a="1"/>
  <c r="U24" i="9" s="1"/>
  <c r="T6" i="9" a="1"/>
  <c r="T6" i="9" s="1"/>
  <c r="Z14" i="9" a="1"/>
  <c r="Z14" i="9" s="1"/>
  <c r="C94" i="9"/>
  <c r="R15" i="9" s="1" a="1"/>
  <c r="R15" i="9" s="1"/>
  <c r="K6" i="6"/>
  <c r="C4" i="8" s="1"/>
  <c r="G53" i="6"/>
  <c r="N7" i="17"/>
  <c r="C19" i="10" s="1"/>
  <c r="B17" i="20"/>
  <c r="B22" i="20"/>
  <c r="B11" i="20"/>
  <c r="K5" i="17"/>
  <c r="K6" i="17" s="1"/>
  <c r="B25" i="20"/>
  <c r="B12" i="20"/>
  <c r="G20" i="15"/>
  <c r="D38" i="18"/>
  <c r="C11" i="8" s="1"/>
  <c r="D37" i="14"/>
  <c r="C10" i="8" s="1"/>
  <c r="I53" i="6"/>
  <c r="C43" i="12"/>
  <c r="J37" i="14"/>
  <c r="C12" i="8" s="1"/>
  <c r="I37" i="12"/>
  <c r="E38" i="18"/>
  <c r="H15" i="7"/>
  <c r="H20" i="15"/>
  <c r="H53" i="6"/>
  <c r="D2" i="2"/>
  <c r="AC22" i="9" l="1"/>
  <c r="C19" i="20" s="1"/>
  <c r="AC23" i="9"/>
  <c r="C20" i="20" s="1"/>
  <c r="AC13" i="9"/>
  <c r="C10" i="20" s="1"/>
  <c r="AC15" i="9"/>
  <c r="C12" i="20" s="1"/>
  <c r="H164" i="1"/>
  <c r="H188" i="1"/>
  <c r="H93" i="1"/>
  <c r="H117" i="1"/>
  <c r="H105" i="1"/>
  <c r="H112" i="1"/>
  <c r="H108" i="1"/>
  <c r="H115" i="1"/>
  <c r="AA29" i="9"/>
  <c r="AC29" i="9" s="1"/>
  <c r="C26" i="20" s="1"/>
  <c r="AC8" i="9"/>
  <c r="C5" i="20" s="1"/>
  <c r="AC18" i="9"/>
  <c r="C15" i="20" s="1"/>
  <c r="AC25" i="9"/>
  <c r="C22" i="20" s="1"/>
  <c r="AC17" i="9"/>
  <c r="C14" i="20" s="1"/>
  <c r="H109" i="1"/>
  <c r="H110" i="1"/>
  <c r="H187" i="1"/>
  <c r="H178" i="1"/>
  <c r="H190" i="1"/>
  <c r="H201" i="1"/>
  <c r="H123" i="1"/>
  <c r="H138" i="1"/>
  <c r="H126" i="1"/>
  <c r="H207" i="1"/>
  <c r="H132" i="1"/>
  <c r="H193" i="1"/>
  <c r="H91" i="1"/>
  <c r="H94" i="1"/>
  <c r="AA16" i="9"/>
  <c r="AC16" i="9" s="1"/>
  <c r="C13" i="20" s="1"/>
  <c r="K70" i="9"/>
  <c r="M70" i="9" s="1"/>
  <c r="AA11" i="9"/>
  <c r="AC11" i="9" s="1"/>
  <c r="C8" i="20" s="1"/>
  <c r="AA26" i="9"/>
  <c r="AC26" i="9" s="1"/>
  <c r="C23" i="20" s="1"/>
  <c r="AA14" i="9"/>
  <c r="AC14" i="9" s="1"/>
  <c r="C11" i="20" s="1"/>
  <c r="AA24" i="9"/>
  <c r="AC24" i="9" s="1"/>
  <c r="C21" i="20" s="1"/>
  <c r="AC19" i="9"/>
  <c r="C16" i="20" s="1"/>
  <c r="D49" i="9" a="1"/>
  <c r="D49" i="9" s="1"/>
  <c r="F49" i="9" a="1"/>
  <c r="F49" i="9" s="1"/>
  <c r="A2" i="21"/>
  <c r="B2" i="21" s="1"/>
  <c r="E18" i="19" a="1"/>
  <c r="E18" i="19" s="1"/>
  <c r="D14" i="19" a="1"/>
  <c r="D14" i="19" s="1"/>
  <c r="E14" i="19" s="1"/>
  <c r="A2" i="20"/>
  <c r="D10" i="19" a="1"/>
  <c r="D10" i="19" s="1"/>
  <c r="D12" i="19" a="1"/>
  <c r="D12" i="19" s="1"/>
  <c r="E12" i="19" s="1"/>
  <c r="E84" i="9"/>
  <c r="T5" i="9" s="1" a="1"/>
  <c r="T5" i="9" s="1"/>
  <c r="L49" i="9"/>
  <c r="L84" i="9"/>
  <c r="AB5" i="9" s="1"/>
  <c r="B2" i="20" s="1"/>
  <c r="H84" i="9"/>
  <c r="W5" i="9" s="1" a="1"/>
  <c r="W5" i="9" s="1"/>
  <c r="F84" i="9"/>
  <c r="I84" i="9"/>
  <c r="X5" i="9" s="1" a="1"/>
  <c r="X5" i="9" s="1"/>
  <c r="Z5" i="9" a="1"/>
  <c r="Z5" i="9" s="1"/>
  <c r="J84" i="9"/>
  <c r="Y5" i="9" s="1" a="1"/>
  <c r="Y5" i="9" s="1"/>
  <c r="G84" i="9"/>
  <c r="B2" i="9"/>
  <c r="U5" i="9" a="1"/>
  <c r="U5" i="9" s="1"/>
  <c r="D84" i="9"/>
  <c r="S5" i="9" s="1" a="1"/>
  <c r="S5" i="9" s="1"/>
  <c r="J49" i="9" a="1"/>
  <c r="J49" i="9" s="1"/>
  <c r="C84" i="9"/>
  <c r="R5" i="9" s="1" a="1"/>
  <c r="R5" i="9" s="1"/>
  <c r="I49" i="9" a="1"/>
  <c r="I49" i="9" s="1"/>
  <c r="AA27" i="9"/>
  <c r="AC27" i="9" s="1"/>
  <c r="C24" i="20" s="1"/>
  <c r="E49" i="9" a="1"/>
  <c r="E49" i="9" s="1"/>
  <c r="K60" i="9"/>
  <c r="M60" i="9" s="1"/>
  <c r="H167" i="1"/>
  <c r="H177" i="1"/>
  <c r="H195" i="1"/>
  <c r="H122" i="1"/>
  <c r="H118" i="1"/>
  <c r="AA7" i="9"/>
  <c r="AC7" i="9" s="1"/>
  <c r="C4" i="20" s="1"/>
  <c r="K73" i="9"/>
  <c r="M73" i="9" s="1"/>
  <c r="M54" i="9"/>
  <c r="K67" i="9"/>
  <c r="M67" i="9" s="1"/>
  <c r="E16" i="9"/>
  <c r="C16" i="9"/>
  <c r="C13" i="9"/>
  <c r="E13" i="9"/>
  <c r="C14" i="8"/>
  <c r="C4" i="10" s="1"/>
  <c r="C15" i="10" s="1"/>
  <c r="C17" i="10" s="1"/>
  <c r="P7" i="17"/>
  <c r="F38" i="18"/>
  <c r="E20" i="19" l="1" a="1"/>
  <c r="E20" i="19" s="1"/>
  <c r="K49" i="9"/>
  <c r="E16" i="19"/>
  <c r="K84" i="9"/>
  <c r="M84" i="9" s="1"/>
  <c r="V5" i="9" a="1"/>
  <c r="V5" i="9" s="1"/>
  <c r="AA5" i="9" s="1"/>
  <c r="AC5" i="9" s="1"/>
  <c r="C2" i="20" s="1"/>
  <c r="E2" i="9"/>
  <c r="C2" i="9"/>
  <c r="C21" i="9"/>
  <c r="C23" i="9"/>
  <c r="C3" i="10" s="1"/>
  <c r="C11" i="10" s="1"/>
  <c r="C13" i="10" s="1"/>
  <c r="C21" i="10" s="1"/>
  <c r="M49"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<sst xmlns="http://schemas.openxmlformats.org/spreadsheetml/2006/main" count="2105" uniqueCount="406">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</sst>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0" borderId="0" xfId="0" applyNumberFormat="1"/>
  </cellXfs>
  <cellStyles count="2">
    <cellStyle name="Comma" xfId="1" builtinId="3"/>
    <cellStyle name="Normal" xfId="0" builtinId="0"/>
  </cellStyles>
  <dxfs count="181">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143163</xdr:colOff>
      <xdr:row>222</xdr:row>
      <xdr:rowOff>46711</xdr:rowOff>
    </xdr:from>
    <xdr:to>
      <xdr:col>1</xdr:col>
      <xdr:colOff>883699</xdr:colOff>
      <xdr:row>230</xdr:row>
      <xdr:rowOff>105111</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43163" y="40943502"/>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56423</xdr:rowOff>
    </xdr:from>
    <xdr:to>
      <xdr:col>11</xdr:col>
      <xdr:colOff>66829</xdr:colOff>
      <xdr:row>40</xdr:row>
      <xdr:rowOff>92994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7</xdr:row>
      <xdr:rowOff>43181</xdr:rowOff>
    </xdr:from>
    <xdr:to>
      <xdr:col>13</xdr:col>
      <xdr:colOff>342772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12</xdr:row>
      <xdr:rowOff>138748</xdr:rowOff>
    </xdr:from>
    <xdr:to>
      <xdr:col>14</xdr:col>
      <xdr:colOff>478515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2.090528703702" createdVersion="8" refreshedVersion="8" minRefreshableVersion="3" recordCount="208" xr:uid="{46CBB50D-3613-4E5B-8212-DD0313DCD05A}">
  <cacheSource type="worksheet">
    <worksheetSource name="Table1"/>
  </cacheSource>
  <cacheFields count="14">
    <cacheField name="Date" numFmtId="0">
      <sharedItems containsSemiMixedTypes="0" containsNonDate="0" containsDate="1" containsString="0" minDate="2025-11-18T00:00:00" maxDate="2025-12-11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u="1"/>
        <s v="YING" u="1"/>
        <s v="Meow" u="1"/>
        <s v="Umer Sb" u="1"/>
        <s v="-" u="1"/>
        <s v="Sajjad" u="1"/>
        <s v="Haji Ejaz" u="1"/>
      </sharedItems>
    </cacheField>
    <cacheField name="Bill Number" numFmtId="0">
      <sharedItems containsMixedTypes="1" containsNumber="1" containsInteger="1" minValue="1091" maxValue="1218"/>
    </cacheField>
    <cacheField name="Quality" numFmtId="0">
      <sharedItems containsBlank="1"/>
    </cacheField>
    <cacheField name="Shipment Number" numFmtId="164">
      <sharedItems containsBlank="1" containsMixedTypes="1" containsNumber="1" containsInteger="1" minValue="1558" maxValue="17000" count="313">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49567"/>
    </cacheField>
    <cacheField name="shortage %" numFmtId="165">
      <sharedItems containsBlank="1" containsMixedTypes="1" containsNumber="1" minValue="-0.16588581615243925"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2.090529398149"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2.090529513887" createdVersion="8" refreshedVersion="8" minRefreshableVersion="3" recordCount="51" xr:uid="{3E5C2981-ACF5-44A9-8567-B1D65DB3A8D2}">
  <cacheSource type="worksheet">
    <worksheetSource name="Table3"/>
  </cacheSource>
  <cacheFields count="9">
    <cacheField name="Date" numFmtId="14">
      <sharedItems containsSemiMixedTypes="0" containsNonDate="0" containsDate="1" containsString="0" minDate="2025-05-02T00:00:00" maxDate="2025-12-11T00:00:00" count="128">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s v="Shamil" u="1"/>
        <s v="Aqib Freight" u="1"/>
      </sharedItems>
    </cacheField>
    <cacheField name="Vehicle Number" numFmtId="0">
      <sharedItems containsBlank="1" containsMixedTypes="1" containsNumber="1" containsInteger="1" minValue="31" maxValue="9940" count="74">
        <s v="Closing Balance CF"/>
        <m/>
        <s v="TKL 364"/>
        <n v="9662"/>
        <s v="APL"/>
        <s v="C 8947"/>
        <s v="E 3229"/>
        <s v="E 9399"/>
        <s v="TAD 290"/>
        <s v="NAD 668"/>
        <s v="CAR 6957"/>
        <s v="LES 8294"/>
        <s v="LEI 2223"/>
        <s v="C 1605"/>
        <s v="JU 4472"/>
        <s v="TKT 364"/>
        <s v="LEI 9662"/>
        <n v="8618"/>
        <s v="LEJ 9662"/>
        <s v="-"/>
        <s v="LES 3785"/>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2.090529745372" createdVersion="8" refreshedVersion="8" minRefreshableVersion="3" recordCount="13" xr:uid="{AC867DCC-CE64-4D1A-827D-F1F3EE10EE4E}">
  <cacheSource type="worksheet">
    <worksheetSource name="Table8"/>
  </cacheSource>
  <cacheFields count="9">
    <cacheField name="Date" numFmtId="0">
      <sharedItems containsNonDate="0" containsDate="1" containsString="0" containsBlank="1" minDate="2025-05-16T00:00:00" maxDate="2025-12-05T00:00:00" count="45">
        <d v="2025-10-17T00:00:00"/>
        <d v="2025-11-18T00:00:00"/>
        <d v="2025-11-20T00:00:00"/>
        <d v="2025-11-22T00:00:00"/>
        <d v="2025-11-25T00:00:00"/>
        <d v="2025-11-26T00:00:00"/>
        <d v="2025-11-27T00:00:00"/>
        <d v="2025-11-29T00:00:00"/>
        <d v="2025-12-02T00:00:00"/>
        <d v="2025-12-04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2.09052997684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28182.15069495246"/>
    </cacheField>
    <cacheField name="Rate" numFmtId="0">
      <sharedItems containsString="0" containsBlank="1" containsNumber="1" minValue="10" maxValue="12"/>
    </cacheField>
    <cacheField name="Total" numFmtId="164">
      <sharedItems containsSemiMixedTypes="0" containsString="0" containsNumber="1" minValue="0" maxValue="2478849.670811996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2.090530208334" createdVersion="8" refreshedVersion="8" minRefreshableVersion="3" recordCount="365" xr:uid="{B5BDFB73-D93A-4A7A-8149-666BC190B09B}">
  <cacheSource type="worksheet">
    <worksheetSource name="Table14"/>
  </cacheSource>
  <cacheFields count="7">
    <cacheField name="Date" numFmtId="14">
      <sharedItems containsSemiMixedTypes="0" containsNonDate="0" containsDate="1" containsString="0" minDate="2025-10-17T00:00:00" maxDate="2025-12-11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8741"/>
    <n v="9822"/>
    <n v="18.210231785764165"/>
    <n v="8981.3460131675201"/>
    <n v="89813.460131675209"/>
    <m/>
  </r>
  <r>
    <d v="2025-11-25T00:00:00"/>
    <x v="10"/>
    <n v="1134"/>
    <s v="Chamki"/>
    <x v="29"/>
    <n v="21089"/>
    <n v="22527"/>
    <n v="2.3237740855342395"/>
    <n v="20598.939283101685"/>
    <n v="205989.39283101686"/>
    <m/>
  </r>
  <r>
    <d v="2025-11-25T00:00:00"/>
    <x v="0"/>
    <n v="1135"/>
    <s v="Chamki"/>
    <x v="28"/>
    <n v="38741"/>
    <n v="8240"/>
    <n v="18.210231785764165"/>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14.606391470011204"/>
    <n v="4508.9612289685447"/>
    <n v="58616.495976591083"/>
    <m/>
  </r>
  <r>
    <d v="2025-11-29T00:00:00"/>
    <x v="1"/>
    <n v="1156"/>
    <s v="Silky"/>
    <x v="41"/>
    <n v="12051"/>
    <n v="6942"/>
    <n v="2.3823827980048407"/>
    <n v="6347.8419897585964"/>
    <n v="82521.945866861759"/>
    <m/>
  </r>
  <r>
    <d v="2025-11-29T00:00:00"/>
    <x v="0"/>
    <n v="1157"/>
    <s v="Chamki"/>
    <x v="28"/>
    <n v="38741"/>
    <n v="2751"/>
    <n v="18.210231785764165"/>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14.60639147001120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m/>
    <x v="0"/>
    <m/>
    <m/>
    <e v="#DIV/0!"/>
    <n v="0"/>
    <m/>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14.60639147001120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8741"/>
    <n v="2146"/>
    <n v="18.210231785764165"/>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63.783544033593046"/>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8741"/>
    <n v="3196"/>
    <n v="18.210231785764165"/>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3.377084201598862"/>
    <n v="5300.8412582297005"/>
    <n v="53008.412582297009"/>
    <m/>
  </r>
  <r>
    <d v="2025-12-09T00:00:00"/>
    <x v="0"/>
    <n v="1215"/>
    <s v="Chamki"/>
    <x v="66"/>
    <n v="10040"/>
    <n v="4877"/>
    <n v="23.377084201598862"/>
    <n v="4459.583028529627"/>
    <n v="44595.830285296266"/>
    <m/>
  </r>
  <r>
    <d v="2025-12-09T00:00:00"/>
    <x v="0"/>
    <n v="1216"/>
    <s v="Chamki"/>
    <x v="28"/>
    <n v="38741"/>
    <n v="8497"/>
    <n v="18.210231785764165"/>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m/>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1"/>
    <x v="8"/>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s v="Dyes"/>
    <m/>
    <m/>
    <n v="242450"/>
    <x v="1"/>
    <n v="242450"/>
    <n v="0"/>
    <m/>
  </r>
  <r>
    <x v="9"/>
    <s v="Dyes"/>
    <m/>
    <m/>
    <n v="56000"/>
    <x v="1"/>
    <n v="56000"/>
    <n v="0"/>
    <m/>
  </r>
  <r>
    <x v="10"/>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28182.15069495246"/>
    <n v="10"/>
    <n v="2478849.6708119968"/>
  </r>
  <r>
    <x v="1"/>
    <n v="55855.888807607902"/>
    <n v="10"/>
    <n v="670270.66569129482"/>
  </r>
  <r>
    <x v="2"/>
    <n v="193527.79809802488"/>
    <n v="10"/>
    <n v="2061914.7768836871"/>
  </r>
  <r>
    <x v="3"/>
    <n v="0"/>
    <n v="10.5"/>
    <n v="0"/>
  </r>
  <r>
    <x v="4"/>
    <n v="0"/>
    <n v="10"/>
    <n v="0"/>
  </r>
  <r>
    <x v="5"/>
    <n v="135306.32772494515"/>
    <n v="10"/>
    <n v="1353063.2772494515"/>
  </r>
  <r>
    <x v="6"/>
    <n v="47108.632040965625"/>
    <n v="10"/>
    <n v="471086.32040965627"/>
  </r>
  <r>
    <x v="7"/>
    <n v="139682.69934162401"/>
    <n v="10"/>
    <n v="1396826.9934162402"/>
  </r>
  <r>
    <x v="8"/>
    <n v="0"/>
    <n v="10"/>
    <n v="0"/>
  </r>
  <r>
    <x v="9"/>
    <n v="0"/>
    <n v="12"/>
    <n v="0"/>
  </r>
  <r>
    <x v="10"/>
    <n v="64305.047549378207"/>
    <m/>
    <n v="643050.47549378208"/>
  </r>
  <r>
    <x v="11"/>
    <n v="64923.189465983909"/>
    <m/>
    <n v="750839.42940746166"/>
  </r>
  <r>
    <x v="12"/>
    <n v="0"/>
    <m/>
    <n v="0"/>
  </r>
  <r>
    <x v="13"/>
    <n v="0"/>
    <m/>
    <n v="0"/>
  </r>
  <r>
    <x v="14"/>
    <n v="0"/>
    <m/>
    <n v="0"/>
  </r>
  <r>
    <x v="15"/>
    <n v="0"/>
    <m/>
    <n v="0"/>
  </r>
  <r>
    <x v="16"/>
    <n v="158748.17117776154"/>
    <m/>
    <n v="1904978.0541331386"/>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10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22"/>
    <n v="100000"/>
    <m/>
    <s v="azam cash 100k"/>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36"/>
    <m/>
    <m/>
    <m/>
    <m/>
    <m/>
  </r>
  <r>
    <d v="2025-12-10T00:00:00"/>
    <x v="36"/>
    <m/>
    <m/>
    <m/>
    <m/>
    <m/>
  </r>
  <r>
    <d v="2025-12-10T00:00:00"/>
    <x v="36"/>
    <m/>
    <m/>
    <m/>
    <m/>
    <m/>
  </r>
  <r>
    <d v="2025-12-10T00:00:00"/>
    <x v="36"/>
    <m/>
    <m/>
    <m/>
    <m/>
    <m/>
  </r>
  <r>
    <d v="2025-12-10T00:00:00"/>
    <x v="36"/>
    <m/>
    <m/>
    <m/>
    <m/>
    <m/>
  </r>
  <r>
    <d v="2025-12-10T00:00:00"/>
    <x v="36"/>
    <m/>
    <m/>
    <m/>
    <m/>
    <m/>
  </r>
  <r>
    <d v="2025-12-10T00:00:00"/>
    <x v="36"/>
    <m/>
    <m/>
    <m/>
    <m/>
    <m/>
  </r>
  <r>
    <d v="2025-12-10T00:00:00"/>
    <x v="36"/>
    <m/>
    <m/>
    <m/>
    <m/>
    <m/>
  </r>
  <r>
    <d v="2025-12-10T00:00:00"/>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80">
      <pivotArea field="0" grandRow="1" outline="0" collapsedLevelsAreSubtotals="1" axis="axisRow" fieldPosition="0">
        <references count="1">
          <reference field="4294967294" count="1" selected="0">
            <x v="1"/>
          </reference>
        </references>
      </pivotArea>
    </format>
    <format dxfId="179">
      <pivotArea field="0" grandRow="1" outline="0" collapsedLevelsAreSubtotals="1" axis="axisRow" fieldPosition="0">
        <references count="1">
          <reference field="4294967294" count="1" selected="0">
            <x v="0"/>
          </reference>
        </references>
      </pivotArea>
    </format>
    <format dxfId="178">
      <pivotArea collapsedLevelsAreSubtotals="1" fieldPosition="0">
        <references count="2">
          <reference field="4294967294" count="1" selected="0">
            <x v="1"/>
          </reference>
          <reference field="0" count="0"/>
        </references>
      </pivotArea>
    </format>
    <format dxfId="17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1" firstHeaderRow="0" firstDataRow="1" firstDataCol="1" rowPageCount="1" colPageCount="1"/>
  <pivotFields count="9">
    <pivotField axis="axisRow" numFmtId="14" showAll="0">
      <items count="129">
        <item m="1" x="112"/>
        <item m="1" x="113"/>
        <item m="1" x="114"/>
        <item m="1" x="115"/>
        <item m="1" x="116"/>
        <item m="1" x="117"/>
        <item m="1" x="118"/>
        <item m="1" x="127"/>
        <item m="1" x="108"/>
        <item m="1" x="119"/>
        <item m="1" x="120"/>
        <item m="1" x="121"/>
        <item m="1" x="122"/>
        <item m="1" x="123"/>
        <item m="1" x="124"/>
        <item m="1" x="125"/>
        <item m="1" x="79"/>
        <item m="1" x="80"/>
        <item m="1" x="126"/>
        <item m="1" x="81"/>
        <item m="1" x="78"/>
        <item m="1" x="82"/>
        <item m="1" x="84"/>
        <item m="1" x="85"/>
        <item m="1" x="86"/>
        <item m="1" x="88"/>
        <item m="1" x="89"/>
        <item m="1" x="90"/>
        <item m="1" x="83"/>
        <item m="1" x="87"/>
        <item m="1" x="91"/>
        <item m="1" x="92"/>
        <item m="1" x="93"/>
        <item m="1" x="94"/>
        <item m="1" x="77"/>
        <item m="1" x="95"/>
        <item m="1" x="109"/>
        <item m="1" x="110"/>
        <item m="1" x="111"/>
        <item m="1" x="96"/>
        <item m="1" x="97"/>
        <item m="1" x="98"/>
        <item m="1" x="99"/>
        <item m="1" x="100"/>
        <item m="1" x="101"/>
        <item m="1" x="102"/>
        <item m="1" x="103"/>
        <item m="1" x="104"/>
        <item m="1" x="105"/>
        <item m="1" x="106"/>
        <item m="1" x="107"/>
        <item m="1" x="48"/>
        <item m="1" x="49"/>
        <item m="1" x="50"/>
        <item m="1" x="51"/>
        <item m="1" x="52"/>
        <item m="1" x="53"/>
        <item m="1" x="54"/>
        <item m="1" x="55"/>
        <item m="1" x="57"/>
        <item m="1" x="58"/>
        <item m="1" x="59"/>
        <item m="1" x="56"/>
        <item m="1" x="60"/>
        <item m="1" x="61"/>
        <item m="1" x="62"/>
        <item m="1" x="63"/>
        <item m="1" x="64"/>
        <item m="1" x="65"/>
        <item m="1" x="66"/>
        <item m="1" x="67"/>
        <item m="1" x="68"/>
        <item m="1" x="69"/>
        <item m="1" x="70"/>
        <item m="1" x="71"/>
        <item m="1" x="72"/>
        <item m="1" x="73"/>
        <item m="1" x="74"/>
        <item m="1" x="75"/>
        <item m="1" x="76"/>
        <item x="0"/>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x="1"/>
        <item x="4"/>
        <item x="2"/>
        <item x="3"/>
        <item x="5"/>
        <item x="6"/>
        <item x="7"/>
        <item x="8"/>
        <item x="9"/>
        <item x="10"/>
        <item x="11"/>
        <item x="12"/>
        <item x="13"/>
        <item x="14"/>
        <item x="15"/>
        <item x="16"/>
        <item x="17"/>
        <item x="18"/>
        <item x="19"/>
        <item x="20"/>
        <item x="21"/>
        <item t="default"/>
      </items>
    </pivotField>
    <pivotField axis="axisPage" showAll="0">
      <items count="12">
        <item x="1"/>
        <item x="0"/>
        <item x="8"/>
        <item m="1" x="10"/>
        <item x="2"/>
        <item x="3"/>
        <item x="4"/>
        <item m="1" x="9"/>
        <item x="5"/>
        <item x="6"/>
        <item x="7"/>
        <item t="default"/>
      </items>
    </pivotField>
    <pivotField axis="axisRow" showAll="0">
      <items count="75">
        <item m="1" x="64"/>
        <item m="1" x="48"/>
        <item m="1" x="60"/>
        <item m="1" x="30"/>
        <item m="1" x="65"/>
        <item m="1" x="66"/>
        <item m="1" x="61"/>
        <item m="1" x="62"/>
        <item m="1" x="63"/>
        <item m="1" x="41"/>
        <item m="1" x="67"/>
        <item m="1" x="68"/>
        <item m="1" x="69"/>
        <item m="1" x="70"/>
        <item m="1" x="71"/>
        <item m="1" x="72"/>
        <item m="1" x="37"/>
        <item m="1" x="38"/>
        <item m="1" x="73"/>
        <item m="1" x="39"/>
        <item x="0"/>
        <item m="1" x="40"/>
        <item m="1" x="42"/>
        <item m="1" x="43"/>
        <item m="1" x="44"/>
        <item m="1" x="45"/>
        <item m="1" x="46"/>
        <item m="1" x="47"/>
        <item m="1" x="49"/>
        <item m="1" x="50"/>
        <item m="1" x="32"/>
        <item m="1" x="51"/>
        <item m="1" x="52"/>
        <item m="1" x="53"/>
        <item m="1" x="36"/>
        <item m="1" x="54"/>
        <item m="1" x="55"/>
        <item m="1" x="34"/>
        <item m="1" x="56"/>
        <item m="1" x="57"/>
        <item m="1" x="58"/>
        <item m="1" x="59"/>
        <item m="1" x="22"/>
        <item m="1" x="23"/>
        <item m="1" x="24"/>
        <item m="1" x="25"/>
        <item m="1" x="26"/>
        <item m="1" x="27"/>
        <item m="1" x="28"/>
        <item m="1" x="29"/>
        <item m="1" x="31"/>
        <item m="1" x="33"/>
        <item m="1" x="35"/>
        <item m="1" x="21"/>
        <item x="1"/>
        <item x="2"/>
        <item x="3"/>
        <item x="4"/>
        <item x="5"/>
        <item x="6"/>
        <item x="7"/>
        <item x="8"/>
        <item x="9"/>
        <item x="10"/>
        <item x="11"/>
        <item x="13"/>
        <item x="12"/>
        <item x="14"/>
        <item x="15"/>
        <item x="16"/>
        <item x="17"/>
        <item x="18"/>
        <item x="19"/>
        <item x="2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3">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3">
      <pivotArea dataOnly="0" labelOnly="1" outline="0" fieldPosition="0">
        <references count="1">
          <reference field="1" count="1">
            <x v="1"/>
          </reference>
        </references>
      </pivotArea>
    </format>
    <format dxfId="14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8"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5"/>
        <item m="1" x="69"/>
        <item x="2"/>
        <item x="43"/>
        <item x="1"/>
        <item x="15"/>
        <item x="36"/>
        <item x="27"/>
        <item m="1" x="72"/>
        <item m="1" x="54"/>
        <item x="29"/>
        <item m="1" x="70"/>
        <item m="1" x="62"/>
        <item x="32"/>
        <item m="1" x="64"/>
        <item m="1" x="65"/>
        <item m="1" x="66"/>
        <item m="1" x="67"/>
        <item x="37"/>
        <item m="1" x="68"/>
        <item x="42"/>
        <item x="26"/>
        <item m="1" x="48"/>
        <item x="17"/>
        <item m="1" x="57"/>
        <item m="1" x="51"/>
        <item x="18"/>
        <item x="3"/>
        <item x="31"/>
        <item m="1" x="60"/>
        <item x="22"/>
        <item m="1" x="61"/>
        <item m="1" x="45"/>
        <item x="24"/>
        <item x="14"/>
        <item m="1" x="46"/>
        <item m="1" x="47"/>
        <item m="1" x="49"/>
        <item m="1" x="50"/>
        <item m="1" x="52"/>
        <item x="19"/>
        <item x="20"/>
        <item m="1" x="53"/>
        <item m="1" x="56"/>
        <item x="4"/>
        <item x="23"/>
        <item x="0"/>
        <item x="16"/>
        <item x="21"/>
        <item x="28"/>
        <item m="1" x="44"/>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5">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1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46">
        <item m="1" x="40"/>
        <item m="1" x="41"/>
        <item m="1" x="42"/>
        <item m="1" x="43"/>
        <item m="1" x="44"/>
        <item m="1" x="39"/>
        <item m="1" x="27"/>
        <item m="1" x="28"/>
        <item m="1" x="32"/>
        <item m="1" x="33"/>
        <item m="1" x="29"/>
        <item m="1" x="34"/>
        <item m="1" x="35"/>
        <item m="1" x="36"/>
        <item m="1" x="37"/>
        <item m="1" x="38"/>
        <item m="1" x="26"/>
        <item m="1" x="30"/>
        <item m="1" x="31"/>
        <item m="1" x="19"/>
        <item m="1" x="20"/>
        <item m="1" x="21"/>
        <item m="1" x="22"/>
        <item m="1" x="23"/>
        <item m="1" x="24"/>
        <item m="1" x="25"/>
        <item x="0"/>
        <item m="1" x="11"/>
        <item m="1" x="12"/>
        <item m="1" x="13"/>
        <item m="1" x="14"/>
        <item m="1" x="15"/>
        <item m="1" x="16"/>
        <item m="1" x="17"/>
        <item m="1" x="18"/>
        <item x="1"/>
        <item x="2"/>
        <item x="3"/>
        <item x="4"/>
        <item x="5"/>
        <item x="10"/>
        <item x="6"/>
        <item x="7"/>
        <item x="8"/>
        <item x="9"/>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2">
    <i>
      <x v="26"/>
    </i>
    <i>
      <x v="35"/>
    </i>
    <i>
      <x v="36"/>
    </i>
    <i>
      <x v="37"/>
    </i>
    <i>
      <x v="38"/>
    </i>
    <i>
      <x v="39"/>
    </i>
    <i>
      <x v="40"/>
    </i>
    <i>
      <x v="41"/>
    </i>
    <i>
      <x v="42"/>
    </i>
    <i>
      <x v="43"/>
    </i>
    <i>
      <x v="4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3"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m="1" x="24"/>
        <item x="5"/>
        <item x="10"/>
        <item x="8"/>
        <item x="9"/>
        <item x="7"/>
        <item x="11"/>
        <item x="12"/>
        <item x="13"/>
        <item x="14"/>
        <item x="15"/>
        <item x="16"/>
        <item x="17"/>
        <item x="18"/>
        <item x="19"/>
        <item x="20"/>
        <item x="21"/>
        <item x="22"/>
        <item x="23"/>
        <item t="default"/>
      </items>
    </pivotField>
    <pivotField showAll="0"/>
    <pivotField showAll="0"/>
    <pivotField axis="axisRow" showAll="0">
      <items count="314">
        <item m="1" x="296"/>
        <item m="1" x="297"/>
        <item m="1" x="295"/>
        <item m="1" x="294"/>
        <item m="1" x="298"/>
        <item m="1" x="300"/>
        <item m="1" x="299"/>
        <item m="1" x="301"/>
        <item m="1" x="302"/>
        <item m="1" x="303"/>
        <item m="1" x="304"/>
        <item m="1" x="305"/>
        <item m="1" x="306"/>
        <item m="1" x="307"/>
        <item m="1" x="232"/>
        <item m="1" x="254"/>
        <item m="1" x="308"/>
        <item m="1" x="309"/>
        <item m="1" x="310"/>
        <item m="1" x="262"/>
        <item m="1" x="261"/>
        <item m="1" x="311"/>
        <item m="1" x="312"/>
        <item m="1" x="271"/>
        <item m="1" x="263"/>
        <item m="1" x="264"/>
        <item m="1" x="265"/>
        <item m="1" x="266"/>
        <item m="1" x="267"/>
        <item m="1" x="268"/>
        <item m="1" x="269"/>
        <item m="1" x="270"/>
        <item m="1" x="272"/>
        <item m="1" x="292"/>
        <item m="1" x="273"/>
        <item m="1" x="293"/>
        <item m="1" x="274"/>
        <item m="1" x="275"/>
        <item m="1" x="276"/>
        <item m="1" x="277"/>
        <item m="1" x="278"/>
        <item m="1" x="208"/>
        <item m="1" x="279"/>
        <item m="1" x="280"/>
        <item m="1" x="281"/>
        <item m="1" x="282"/>
        <item m="1" x="283"/>
        <item m="1" x="284"/>
        <item m="1" x="285"/>
        <item m="1" x="286"/>
        <item m="1" x="287"/>
        <item m="1" x="288"/>
        <item m="1" x="289"/>
        <item m="1" x="290"/>
        <item m="1" x="291"/>
        <item x="0"/>
        <item m="1" x="207"/>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5"/>
        <item m="1" x="256"/>
        <item m="1" x="257"/>
        <item m="1" x="258"/>
        <item m="1" x="259"/>
        <item m="1" x="260"/>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206"/>
        <item m="1" x="187"/>
        <item m="1" x="188"/>
        <item m="1" x="189"/>
        <item m="1" x="190"/>
        <item m="1" x="191"/>
        <item m="1" x="192"/>
        <item m="1" x="193"/>
        <item m="1" x="194"/>
        <item m="1" x="195"/>
        <item m="1" x="196"/>
        <item m="1" x="197"/>
        <item m="1" x="198"/>
        <item m="1" x="199"/>
        <item m="1" x="200"/>
        <item m="1" x="201"/>
        <item m="1" x="202"/>
        <item m="1" x="203"/>
        <item m="1" x="204"/>
        <item m="1" x="205"/>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x="11"/>
        <item m="1" x="124"/>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0">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8">
      <pivotArea type="all" dataOnly="0" outline="0" fieldPosition="0"/>
    </format>
    <format dxfId="87">
      <pivotArea outline="0" collapsedLevelsAreSubtotals="1" fieldPosition="0"/>
    </format>
    <format dxfId="86">
      <pivotArea field="4" type="button" dataOnly="0" labelOnly="1" outline="0" axis="axisRow" fieldPosition="0"/>
    </format>
    <format dxfId="85">
      <pivotArea dataOnly="0" labelOnly="1" fieldPosition="0">
        <references count="1">
          <reference field="4" count="0"/>
        </references>
      </pivotArea>
    </format>
    <format dxfId="84">
      <pivotArea dataOnly="0" labelOnly="1" grandRow="1" outline="0" fieldPosition="0"/>
    </format>
    <format dxfId="83">
      <pivotArea dataOnly="0" labelOnly="1" outline="0" fieldPosition="0">
        <references count="1">
          <reference field="4294967294" count="2">
            <x v="0"/>
            <x v="1"/>
          </reference>
        </references>
      </pivotArea>
    </format>
    <format dxfId="82">
      <pivotArea grandRow="1" outline="0" collapsedLevelsAreSubtotals="1" fieldPosition="0"/>
    </format>
    <format dxfId="81">
      <pivotArea field="4" type="button" dataOnly="0" labelOnly="1" outline="0" axis="axisRow" fieldPosition="0"/>
    </format>
    <format dxfId="8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13">
        <i x="50" s="1"/>
        <i x="29" s="1"/>
        <i x="62" s="1"/>
        <i x="22" s="1"/>
        <i x="2" s="1"/>
        <i x="46" s="1"/>
        <i x="11" s="1"/>
        <i x="8" s="1"/>
        <i x="21" s="1"/>
        <i x="4" s="1"/>
        <i x="1" s="1"/>
        <i x="19" s="1"/>
        <i x="12" s="1"/>
        <i x="25" s="1"/>
        <i x="43" s="1"/>
        <i x="17" s="1"/>
        <i x="31" s="1"/>
        <i x="23" s="1"/>
        <i x="20" s="1"/>
        <i x="33" s="1"/>
        <i x="34" s="1"/>
        <i x="5" s="1"/>
        <i x="7" s="1"/>
        <i x="41" s="1"/>
        <i x="14" s="1"/>
        <i x="67" s="1"/>
        <i x="55" s="1"/>
        <i x="27" s="1"/>
        <i x="10" s="1"/>
        <i x="44" s="1"/>
        <i x="64" s="1"/>
        <i x="56" s="1"/>
        <i x="52" s="1"/>
        <i x="16" s="1"/>
        <i x="39" s="1"/>
        <i x="38" s="1"/>
        <i x="54" s="1"/>
        <i x="40" s="1"/>
        <i x="13" s="1"/>
        <i x="9" s="1"/>
        <i x="42" s="1"/>
        <i x="6" s="1"/>
        <i x="47" s="1"/>
        <i x="48" s="1"/>
        <i x="53" s="1"/>
        <i x="32" s="1"/>
        <i x="26" s="1"/>
        <i x="61" s="1"/>
        <i x="60" s="1"/>
        <i x="65" s="1"/>
        <i x="15" s="1"/>
        <i x="63" s="1"/>
        <i x="49" s="1"/>
        <i x="28" s="1"/>
        <i x="30" s="1"/>
        <i x="35" s="1"/>
        <i x="36" s="1"/>
        <i x="45" s="1"/>
        <i x="37" s="1"/>
        <i x="57" s="1"/>
        <i x="68" s="1"/>
        <i x="58" s="1"/>
        <i x="51" s="1"/>
        <i x="59" s="1"/>
        <i x="66" s="1"/>
        <i x="18" s="1"/>
        <i x="24" s="1"/>
        <i x="3" s="1"/>
        <i x="267" s="1" nd="1"/>
        <i x="296" s="1" nd="1"/>
        <i x="297" s="1" nd="1"/>
        <i x="305" s="1" nd="1"/>
        <i x="295" s="1" nd="1"/>
        <i x="294" s="1" nd="1"/>
        <i x="298" s="1" nd="1"/>
        <i x="309" s="1" nd="1"/>
        <i x="301" s="1" nd="1"/>
        <i x="302" s="1" nd="1"/>
        <i x="299" s="1" nd="1"/>
        <i x="300" s="1" nd="1"/>
        <i x="310" s="1" nd="1"/>
        <i x="303" s="1" nd="1"/>
        <i x="304" s="1" nd="1"/>
        <i x="307" s="1" nd="1"/>
        <i x="308" s="1" nd="1"/>
        <i x="306" s="1" nd="1"/>
        <i x="262" s="1" nd="1"/>
        <i x="312" s="1" nd="1"/>
        <i x="261" s="1" nd="1"/>
        <i x="311" s="1" nd="1"/>
        <i x="264" s="1" nd="1"/>
        <i x="225" s="1" nd="1"/>
        <i x="263" s="1" nd="1"/>
        <i x="265" s="1" nd="1"/>
        <i x="271" s="1" nd="1"/>
        <i x="266" s="1" nd="1"/>
        <i x="268" s="1" nd="1"/>
        <i x="284" s="1" nd="1"/>
        <i x="207" s="1" nd="1"/>
        <i x="272" s="1" nd="1"/>
        <i x="212" s="1" nd="1"/>
        <i x="278" s="1" nd="1"/>
        <i x="273" s="1" nd="1"/>
        <i x="276" s="1" nd="1"/>
        <i x="281" s="1" nd="1"/>
        <i x="292" s="1" nd="1"/>
        <i x="274" s="1" nd="1"/>
        <i x="286" s="1" nd="1"/>
        <i x="289" s="1" nd="1"/>
        <i x="280" s="1" nd="1"/>
        <i x="269" s="1" nd="1"/>
        <i x="277" s="1" nd="1"/>
        <i x="270" s="1" nd="1"/>
        <i x="275" s="1" nd="1"/>
        <i x="208" s="1" nd="1"/>
        <i x="279" s="1" nd="1"/>
        <i x="285" s="1" nd="1"/>
        <i x="222" s="1" nd="1"/>
        <i x="282" s="1" nd="1"/>
        <i x="287" s="1" nd="1"/>
        <i x="283" s="1" nd="1"/>
        <i x="249" s="1" nd="1"/>
        <i x="288" s="1" nd="1"/>
        <i x="290" s="1" nd="1"/>
        <i x="210" s="1" nd="1"/>
        <i x="217" s="1" nd="1"/>
        <i x="291" s="1" nd="1"/>
        <i x="214" s="1" nd="1"/>
        <i x="215" s="1" nd="1"/>
        <i x="209" s="1" nd="1"/>
        <i x="213" s="1" nd="1"/>
        <i x="100" s="1" nd="1"/>
        <i x="211" s="1" nd="1"/>
        <i x="220" s="1" nd="1"/>
        <i x="216" s="1" nd="1"/>
        <i x="218" s="1" nd="1"/>
        <i x="221" s="1" nd="1"/>
        <i x="229" s="1" nd="1"/>
        <i x="219" s="1" nd="1"/>
        <i x="228" s="1" nd="1"/>
        <i x="233" s="1" nd="1"/>
        <i x="227" s="1" nd="1"/>
        <i x="230" s="1" nd="1"/>
        <i x="240" s="1" nd="1"/>
        <i x="226" s="1" nd="1"/>
        <i x="223" s="1" nd="1"/>
        <i x="224" s="1" nd="1"/>
        <i x="239" s="1" nd="1"/>
        <i x="96" s="1" nd="1"/>
        <i x="232" s="1" nd="1"/>
        <i x="243" s="1" nd="1"/>
        <i x="238" s="1" nd="1"/>
        <i x="231" s="1" nd="1"/>
        <i x="255" s="1" nd="1"/>
        <i x="236" s="1" nd="1"/>
        <i x="246" s="1" nd="1"/>
        <i x="244" s="1" nd="1"/>
        <i x="234" s="1" nd="1"/>
        <i x="242" s="1" nd="1"/>
        <i x="241" s="1" nd="1"/>
        <i x="237" s="1" nd="1"/>
        <i x="247" s="1" nd="1"/>
        <i x="245" s="1" nd="1"/>
        <i x="248" s="1" nd="1"/>
        <i x="235" s="1" nd="1"/>
        <i x="176" s="1" nd="1"/>
        <i x="250" s="1" nd="1"/>
        <i x="251" s="1" nd="1"/>
        <i x="134" s="1" nd="1"/>
        <i x="136" s="1" nd="1"/>
        <i x="258" s="1" nd="1"/>
        <i x="130" s="1" nd="1"/>
        <i x="177" s="1" nd="1"/>
        <i x="252" s="1" nd="1"/>
        <i x="253" s="1" nd="1"/>
        <i x="133" s="1" nd="1"/>
        <i x="260" s="1" nd="1"/>
        <i x="132" s="1" nd="1"/>
        <i x="147" s="1" nd="1"/>
        <i x="259" s="1" nd="1"/>
        <i x="254" s="1" nd="1"/>
        <i x="151" s="1" nd="1"/>
        <i x="257" s="1" nd="1"/>
        <i x="256" s="1" nd="1"/>
        <i x="172" s="1" nd="1"/>
        <i x="125" s="1" nd="1"/>
        <i x="137" s="1" nd="1"/>
        <i x="173" s="1" nd="1"/>
        <i x="171" s="1" nd="1"/>
        <i x="129" s="1" nd="1"/>
        <i x="131" s="1" nd="1"/>
        <i x="135" s="1" nd="1"/>
        <i x="126" s="1" nd="1"/>
        <i x="161" s="1" nd="1"/>
        <i x="166" s="1" nd="1"/>
        <i x="127" s="1" nd="1"/>
        <i x="128" s="1" nd="1"/>
        <i x="138" s="1" nd="1"/>
        <i x="141" s="1" nd="1"/>
        <i x="148" s="1" nd="1"/>
        <i x="140" s="1" nd="1"/>
        <i x="143" s="1" nd="1"/>
        <i x="142" s="1" nd="1"/>
        <i x="185" s="1" nd="1"/>
        <i x="139" s="1" nd="1"/>
        <i x="164" s="1" nd="1"/>
        <i x="180" s="1" nd="1"/>
        <i x="144" s="1" nd="1"/>
        <i x="169" s="1" nd="1"/>
        <i x="182" s="1" nd="1"/>
        <i x="153" s="1" nd="1"/>
        <i x="194" s="1" nd="1"/>
        <i x="152" s="1" nd="1"/>
        <i x="149" s="1" nd="1"/>
        <i x="145" s="1" nd="1"/>
        <i x="146" s="1" nd="1"/>
        <i x="165" s="1" nd="1"/>
        <i x="154" s="1" nd="1"/>
        <i x="77" s="1" nd="1"/>
        <i x="155" s="1" nd="1"/>
        <i x="150" s="1" nd="1"/>
        <i x="157" s="1" nd="1"/>
        <i x="158" s="1" nd="1"/>
        <i x="187" s="1" nd="1"/>
        <i x="156" s="1" nd="1"/>
        <i x="174" s="1" nd="1"/>
        <i x="162" s="1" nd="1"/>
        <i x="159" s="1" nd="1"/>
        <i x="163" s="1" nd="1"/>
        <i x="160" s="1" nd="1"/>
        <i x="167" s="1" nd="1"/>
        <i x="186" s="1" nd="1"/>
        <i x="181" s="1" nd="1"/>
        <i x="200" s="1" nd="1"/>
        <i x="168" s="1" nd="1"/>
        <i x="70" s="1" nd="1"/>
        <i x="179" s="1" nd="1"/>
        <i x="170" s="1" nd="1"/>
        <i x="195" s="1" nd="1"/>
        <i x="178" s="1" nd="1"/>
        <i x="193" s="1" nd="1"/>
        <i x="78" s="1" nd="1"/>
        <i x="184" s="1" nd="1"/>
        <i x="183" s="1" nd="1"/>
        <i x="199" s="1" nd="1"/>
        <i x="196" s="1" nd="1"/>
        <i x="89" s="1" nd="1"/>
        <i x="204" s="1" nd="1"/>
        <i x="188" s="1" nd="1"/>
        <i x="197" s="1" nd="1"/>
        <i x="202" s="1" nd="1"/>
        <i x="80" s="1" nd="1"/>
        <i x="106" s="1" nd="1"/>
        <i x="206" s="1" nd="1"/>
        <i x="203" s="1" nd="1"/>
        <i x="71" s="1" nd="1"/>
        <i x="91" s="1" nd="1"/>
        <i x="198" s="1" nd="1"/>
        <i x="73" s="1" nd="1"/>
        <i x="189" s="1" nd="1"/>
        <i x="192" s="1" nd="1"/>
        <i x="88" s="1" nd="1"/>
        <i x="201" s="1" nd="1"/>
        <i x="190" s="1" nd="1"/>
        <i x="191" s="1" nd="1"/>
        <i x="75" s="1" nd="1"/>
        <i x="93" s="1" nd="1"/>
        <i x="94" s="1" nd="1"/>
        <i x="107" s="1" nd="1"/>
        <i x="205" s="1" nd="1"/>
        <i x="69" s="1" nd="1"/>
        <i x="92" s="1" nd="1"/>
        <i x="85" s="1" nd="1"/>
        <i x="72" s="1" nd="1"/>
        <i x="76" s="1" nd="1"/>
        <i x="82" s="1" nd="1"/>
        <i x="74" s="1" nd="1"/>
        <i x="98" s="1" nd="1"/>
        <i x="102" s="1" nd="1"/>
        <i x="103" s="1" nd="1"/>
        <i x="95" s="1" nd="1"/>
        <i x="79" s="1" nd="1"/>
        <i x="81" s="1" nd="1"/>
        <i x="83" s="1" nd="1"/>
        <i x="86" s="1" nd="1"/>
        <i x="99" s="1" nd="1"/>
        <i x="84" s="1" nd="1"/>
        <i x="105" s="1" nd="1"/>
        <i x="120" s="1" nd="1"/>
        <i x="87" s="1" nd="1"/>
        <i x="108" s="1" nd="1"/>
        <i x="104" s="1" nd="1"/>
        <i x="90" s="1" nd="1"/>
        <i x="112" s="1" nd="1"/>
        <i x="97" s="1" nd="1"/>
        <i x="121" s="1" nd="1"/>
        <i x="101" s="1" nd="1"/>
        <i x="124" s="1" nd="1"/>
        <i x="111" s="1" nd="1"/>
        <i x="116" s="1" nd="1"/>
        <i x="113" s="1" nd="1"/>
        <i x="115" s="1" nd="1"/>
        <i x="110" s="1" nd="1"/>
        <i x="109" s="1" nd="1"/>
        <i x="114" s="1" nd="1"/>
        <i x="122" s="1" nd="1"/>
        <i x="118" s="1" nd="1"/>
        <i x="117" s="1" nd="1"/>
        <i x="123" s="1" nd="1"/>
        <i x="119" s="1" nd="1"/>
        <i x="175" s="1" nd="1"/>
        <i x="29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76">
      <calculatedColumnFormula>B49</calculatedColumnFormula>
    </tableColumn>
    <tableColumn id="2" xr3:uid="{7EDCC2ED-0339-42B3-9633-FFEA7A3DD9F3}" name="Tiyaar" dataDxfId="175">
      <calculatedColumnFormula>SUMIFS(ledger!G:G, ledger!B:B, B2, ledger!E:E, "&lt;&gt;*RD*") / 1.0936</calculatedColumnFormula>
    </tableColumn>
    <tableColumn id="3" xr3:uid="{CC1535DD-3FE7-4F55-8040-E7643388A78E}" name="Rate"/>
    <tableColumn id="4" xr3:uid="{059CB70B-ADAD-4985-84AA-0D530BAC5567}" name="Total" dataDxfId="17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73" dataDxfId="172">
  <autoFilter ref="B7:E20" xr:uid="{449E5D32-DF9C-4018-96AB-CA98E118D910}"/>
  <tableColumns count="4">
    <tableColumn id="1" xr3:uid="{F663704C-91DD-4BB9-B7EB-EEB0C5EDED6C}" name="Description" dataDxfId="171"/>
    <tableColumn id="2" xr3:uid="{6D94D495-CD0B-4FD3-9771-81D731982A97}" name="Rate" dataDxfId="170" dataCellStyle="Comma"/>
    <tableColumn id="3" xr3:uid="{2D14CEAD-3602-40E7-A488-3584EBC9141E}" name="gazana" dataDxfId="169" dataCellStyle="Comma"/>
    <tableColumn id="4" xr3:uid="{06FEE63C-6480-4079-8426-51BC26B38B34}" name="sum" dataDxfId="16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67" totalsRowDxfId="166"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65" dataDxfId="164" headerRowCellStyle="Comma" dataCellStyle="Comma">
  <autoFilter ref="B2:C5" xr:uid="{136E8F7F-D03F-4198-8335-91A003EA9E45}"/>
  <tableColumns count="2">
    <tableColumn id="1" xr3:uid="{279FA697-9952-479A-AC05-0D4992B41374}" name="Column1" dataDxfId="163" dataCellStyle="Comma"/>
    <tableColumn id="2" xr3:uid="{8A64998B-65EF-41CD-BCB0-3DDB7B359C54}" name="Column2" dataDxfId="16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61"/>
    <tableColumn id="2" xr3:uid="{51D27FA2-8DDF-4369-BAF7-7D1FE90E16A0}" name="Column2" dataDxfId="16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59" totalsRowDxfId="15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5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10" totalsRowCount="1" headerRowDxfId="156" dataDxfId="155" headerRowCellStyle="Comma" dataCellStyle="Comma">
  <autoFilter ref="A1:K209" xr:uid="{11DACEC6-751B-4B1D-817F-5C5BCD38EF6D}"/>
  <tableColumns count="11">
    <tableColumn id="1" xr3:uid="{2FCE3FA8-A48C-4685-8919-AE44C6C71FD9}" name="Date" dataDxfId="154" dataCellStyle="Comma"/>
    <tableColumn id="2" xr3:uid="{5780FD5F-0890-44E6-B59C-8E37A559FE36}" name="Party Name" dataDxfId="153" dataCellStyle="Comma"/>
    <tableColumn id="3" xr3:uid="{5B3ECD85-9174-40AC-BFBD-49CAC97A83D3}" name="Bill Number" dataDxfId="152" dataCellStyle="Comma"/>
    <tableColumn id="4" xr3:uid="{11B50761-04B6-4262-AD4D-7182450037D1}" name="Quality" dataDxfId="151" dataCellStyle="Comma"/>
    <tableColumn id="5" xr3:uid="{2C556969-B713-4967-BD24-466AACCBE5F5}" name="Shipment Number" dataDxfId="150" totalsRowDxfId="27" dataCellStyle="Comma"/>
    <tableColumn id="6" xr3:uid="{F4E1FD2B-9017-4DEB-B772-BF447ECE56F7}" name="Kora/metre" dataDxfId="149" totalsRowDxfId="26" dataCellStyle="Comma"/>
    <tableColumn id="7" xr3:uid="{52ACC1DA-7A76-4A90-B809-3A1AE728E7EA}" name="Tiyaar/gaz" dataDxfId="148" totalsRowDxfId="25" dataCellStyle="Comma"/>
    <tableColumn id="8" xr3:uid="{31A0FF5E-56F0-44D1-9865-73256B964660}" name="shortage %" dataDxfId="147" totalsRowDxfId="24" dataCellStyle="Comma">
      <calculatedColumnFormula>_xlfn.XLOOKUP(Table1[[#This Row],[Shipment Number]], 'pivot '!A:A,'pivot '!G:G, "NF")</calculatedColumnFormula>
    </tableColumn>
    <tableColumn id="9" xr3:uid="{F99075E0-AC8E-094D-BB85-272AD2C6C568}" name="tiyar/meters" totalsRowFunction="custom" dataDxfId="146" totalsRowDxfId="23"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45" totalsRowDxfId="22"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44" totalsRowDxfId="21"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3" totalsRowCount="1" headerRowDxfId="141" headerRowBorderDxfId="140" tableBorderDxfId="139">
  <autoFilter ref="A1:I52" xr:uid="{F8E8C957-ABE7-4E4F-8D4E-7D44E26B334F}"/>
  <tableColumns count="9">
    <tableColumn id="1" xr3:uid="{C2E817D6-AB98-4DDD-8890-736B27F261CD}" name="Date" dataDxfId="138" totalsRowDxfId="72"/>
    <tableColumn id="2" xr3:uid="{CFB51890-CCDC-463C-81C9-3F8BD7469CB9}" name="Party Name"/>
    <tableColumn id="3" xr3:uid="{A113D971-1C9D-4733-99C4-BD0CC4333209}" name="Vehicle Number"/>
    <tableColumn id="4" xr3:uid="{49780304-3DD1-4AE9-98EE-2BC7EB8F3B57}" name="Weight" dataDxfId="137" totalsRowDxfId="71" dataCellStyle="Comma"/>
    <tableColumn id="5" xr3:uid="{FCAF1BC6-1D8C-42AD-8BBC-F924BF2DC7FE}" name="Rate" dataDxfId="136" totalsRowDxfId="70" dataCellStyle="Comma"/>
    <tableColumn id="6" xr3:uid="{8C70A624-4134-410C-9C45-9FDEB51D51BF}" name="Rent" dataDxfId="135" totalsRowDxfId="69" dataCellStyle="Comma"/>
    <tableColumn id="7" xr3:uid="{EBCE10AE-9634-4982-9C95-37ABC8A7078C}" name="Total" totalsRowFunction="sum" dataDxfId="134" totalsRowDxfId="68" dataCellStyle="Comma">
      <calculatedColumnFormula>D2*E2</calculatedColumnFormula>
    </tableColumn>
    <tableColumn id="9" xr3:uid="{D4788559-C94A-44D9-B9AE-E72B214355AC}" name="Paid" totalsRowFunction="sum" dataDxfId="133" totalsRowDxfId="67" dataCellStyle="Comma"/>
    <tableColumn id="8" xr3:uid="{E26F5BF0-1875-4FC6-994D-49F202ED562B}" name="balance" totalsRowFunction="sum" dataDxfId="132" totalsRowDxfId="66"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67" totalsRowCount="1">
  <autoFilter ref="A1:G366" xr:uid="{CB032221-B416-47A8-9A76-693DE76CFD04}"/>
  <tableColumns count="7">
    <tableColumn id="1" xr3:uid="{554B1EED-65B6-4E9A-B646-82727FAC40DE}" name="Date" dataDxfId="130" totalsRowDxfId="3"/>
    <tableColumn id="2" xr3:uid="{32259059-42CF-4947-83DE-115AA430BE2B}" name="Party"/>
    <tableColumn id="3" xr3:uid="{A1320223-D55D-483C-91C3-AB19B95CC9D8}" name="Debit" totalsRowFunction="sum" dataDxfId="129" totalsRowDxfId="2" dataCellStyle="Comma"/>
    <tableColumn id="4" xr3:uid="{E9745767-9FF0-4B1C-9052-FF335D1D7588}" name="Credit" totalsRowFunction="sum" dataDxfId="128" totalsRowDxfId="1" dataCellStyle="Comma"/>
    <tableColumn id="5" xr3:uid="{5C88A48E-2467-4E6D-B626-2442B7FD0BE4}" name="Description"/>
    <tableColumn id="6" xr3:uid="{63CA4666-144E-4BE6-8B7C-7CB992BD3041}" name="Mode" totalsRowFunction="custom" dataDxfId="127"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6" tableBorderDxfId="125" totalsRowBorderDxfId="124">
  <autoFilter ref="J3:K6" xr:uid="{DCE01694-23ED-48BF-8B92-4186B9ED10A8}"/>
  <tableColumns count="2">
    <tableColumn id="1" xr3:uid="{C8484DAF-2989-4C2F-9AEC-A6917E1C57F6}" name="Type" dataDxfId="123"/>
    <tableColumn id="2" xr3:uid="{B07B7A2A-4D4E-4654-BED6-FE2F0A7BEC34}" name="Amount" dataDxfId="12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1" headerRowBorderDxfId="120" tableBorderDxfId="119" totalsRowBorderDxfId="118">
  <autoFilter ref="M3:O6" xr:uid="{D166BDD1-ACD7-45D7-8AE9-7350373F8CEB}"/>
  <tableColumns count="3">
    <tableColumn id="1" xr3:uid="{64F0205E-DEA7-4571-BA86-E4374A5FEE28}" name="Type" totalsRowLabel="Total" dataDxfId="117" totalsRowDxfId="116"/>
    <tableColumn id="2" xr3:uid="{15FA05F9-789C-4459-9BE0-5C1EC84D3365}" name="amount" totalsRowFunction="custom" dataDxfId="115" totalsRowDxfId="114">
      <totalsRowFormula>SUM(N5:N6)</totalsRowFormula>
    </tableColumn>
    <tableColumn id="3" xr3:uid="{3681D409-90C6-44D0-BDE2-4B5943A516F0}" name="Actual" totalsRowFunction="custom" totalsRowDxfId="11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12" totalsRowDxfId="111"/>
    <tableColumn id="2" xr3:uid="{5B9D0FEE-4304-4C5C-A05C-5B27CF7841D3}" name="Type"/>
    <tableColumn id="3" xr3:uid="{6A91CA0D-C802-4C6F-9F39-CA53687E8EDE}" name="Description"/>
    <tableColumn id="4" xr3:uid="{A251D40C-AB87-4BB4-85F8-444B20E32FDF}" name="Total" totalsRowFunction="custom" dataDxfId="110" totalsRowDxfId="10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5" totalsRowCount="1" headerRowDxfId="108" headerRowBorderDxfId="107">
  <autoFilter ref="A1:I14"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06"/>
    <tableColumn id="4" xr3:uid="{1889A312-9B41-4EC4-BD8F-05252F27084A}" name="Price" totalsRowFunction="sum"/>
    <tableColumn id="6" xr3:uid="{8B974B20-F003-4E67-8660-024FA4F324A9}" name="Party"/>
    <tableColumn id="7" xr3:uid="{0A5A5C21-FD61-47DA-9F54-66A6479FA557}" name="Paid" dataDxfId="105">
      <calculatedColumnFormula>SUMIFS(Table14[Debit], Table14[Date], Table8[[#This Row],[Date]], Table14[Party], Table8[[#This Row],[Party]])</calculatedColumnFormula>
    </tableColumn>
    <tableColumn id="8" xr3:uid="{8DCB3B43-2161-4081-82EC-CDB0F4DE4E6F}" name="Balance" totalsRowFunction="sum" dataDxfId="10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103" headerRowBorderDxfId="102">
  <autoFilter ref="A4:H19" xr:uid="{A4C80688-A8BA-4BA7-90B4-791CD99446B4}"/>
  <sortState xmlns:xlrd2="http://schemas.microsoft.com/office/spreadsheetml/2017/richdata2" ref="A5:H6">
    <sortCondition ref="A4:A6"/>
  </sortState>
  <tableColumns count="8">
    <tableColumn id="1" xr3:uid="{4A818912-918E-4111-ACFC-BC93FEF7C1AD}" name="Date" dataDxfId="101" totalsRowDxfId="100"/>
    <tableColumn id="8" xr3:uid="{477ACFD5-62AF-4F69-974B-E9B974C11D7D}" name="Party Name" dataDxfId="9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8">
      <calculatedColumnFormula>Table2[[#This Row],[Quantity]]*200*Table2[[#This Row],[Boxes]]</calculatedColumnFormula>
    </tableColumn>
    <tableColumn id="6" xr3:uid="{30432929-CBD4-4BA8-B63F-CD0F6CF6405F}" name="Paid" totalsRowFunction="sum" dataDxfId="9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9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5" totalsRowDxfId="9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3" totalsRowDxfId="92"/>
    <tableColumn id="2" xr3:uid="{053BFC14-4828-417C-9F9F-95B6E232A945}" name="Amount" totalsRowFunction="custom" dataDxfId="91" totalsRowDxfId="9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9" totalsRowDxfId="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79" totalsRowDxfId="7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77" totalsRowDxfId="7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75">
      <calculatedColumnFormula>Billing!Q5</calculatedColumnFormula>
    </tableColumn>
    <tableColumn id="2" xr3:uid="{7093A59E-B58F-487D-888A-9AA8156B5F9A}" name="Amount Paid" dataDxfId="74">
      <calculatedColumnFormula>Billing!AB5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73"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E107"/>
  <sheetViews>
    <sheetView topLeftCell="R13" zoomScale="109" zoomScaleNormal="80" workbookViewId="0">
      <selection activeCell="AA5" sqref="AA5:AA3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1.33203125" bestFit="1" customWidth="1"/>
    <col min="28" max="28" width="15.5546875" customWidth="1"/>
    <col min="29" max="29" width="13.6640625" customWidth="1"/>
    <col min="31" max="31" width="15.88671875" customWidth="1"/>
    <col min="34" max="34" width="12.109375" customWidth="1"/>
    <col min="35" max="35" width="11.44140625" customWidth="1"/>
  </cols>
  <sheetData>
    <row r="1" spans="2:31" ht="28.8" x14ac:dyDescent="0.55000000000000004">
      <c r="B1" t="s">
        <v>2</v>
      </c>
      <c r="C1" t="s">
        <v>3</v>
      </c>
      <c r="D1" t="s">
        <v>4</v>
      </c>
      <c r="E1" t="s">
        <v>5</v>
      </c>
      <c r="G1" s="9" t="s">
        <v>0</v>
      </c>
    </row>
    <row r="2" spans="2:31" x14ac:dyDescent="0.3">
      <c r="B2" t="str">
        <f t="shared" ref="B2:B18" si="0">B49</f>
        <v>BSC</v>
      </c>
      <c r="C2" s="18">
        <f>SUMIFS(ledger!G:G, ledger!B:B, B2, ledger!E:E, "&lt;&gt;*RD*") / 1.0936</f>
        <v>228182.15069495246</v>
      </c>
      <c r="D2">
        <v>10</v>
      </c>
      <c r="E2" s="14">
        <f>(SUMIFS(ledger!G:G, ledger!B:B, B2, ledger!E:E, "&lt;&gt;*RD*",ledger!D:D, "Silky") / 1.0936)*12 + (SUMIFS(ledger!G:G, ledger!B:B, B2, ledger!E:E, "&lt;&gt;*RD*",ledger!D:D, "Chamki") / 1.0936)*10</f>
        <v>2478849.6708119968</v>
      </c>
      <c r="Q2" t="s">
        <v>1</v>
      </c>
    </row>
    <row r="3" spans="2:31" x14ac:dyDescent="0.3">
      <c r="B3" t="str">
        <f t="shared" si="0"/>
        <v>Ejaz Sahab</v>
      </c>
      <c r="C3" s="18">
        <f>SUMIFS(ledger!G:G, ledger!B:B, B3, ledger!E:E, "&lt;&gt;*RD*") / 1.0936</f>
        <v>55855.888807607902</v>
      </c>
      <c r="D3">
        <v>10</v>
      </c>
      <c r="E3" s="14">
        <f>(SUMIFS(ledger!G:G, ledger!B:B, B3, ledger!E:E, "&lt;&gt;*RD*",ledger!D:D, "Silky") / 1.0936)*12 + (SUMIFS(ledger!G:G, ledger!B:B, B3, ledger!E:E, "&lt;&gt;*RD*",ledger!D:D, "Chamki") / 1.0936)*10</f>
        <v>670270.66569129482</v>
      </c>
    </row>
    <row r="4" spans="2:31"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16</v>
      </c>
      <c r="AB4" s="23" t="s">
        <v>17</v>
      </c>
      <c r="AC4" s="23" t="s">
        <v>18</v>
      </c>
      <c r="AD4" s="23" t="s">
        <v>19</v>
      </c>
      <c r="AE4" s="23" t="s">
        <v>20</v>
      </c>
    </row>
    <row r="5" spans="2:31"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8">_xlfn.UNIQUE(Table1[Party Name])</f>
        <v>BSC</v>
      </c>
      <c r="R5" s="22" cm="1">
        <f t="array" ref="R5">_xlfn.BYROW(B49,_xlfn.LAMBDA(_xlpm.party,SUMIFS(ledger!G:G,ledger!B:B,_xlpm.party,ledger!E:E,"&lt;&gt;*RD*")))+_xlfn.IFNA(C84,0)</f>
        <v>2454948</v>
      </c>
      <c r="S5" s="22" cm="1">
        <f t="array" ref="S5">_xlfn.BYROW(B49, _xlfn.LAMBDA(_xlpm.party, SUMIFS(ledger!G:G, ledger!B:B, _xlpm.party, ledger!E:E, "&lt;&gt;*RD*") / 1.0936 ))+_xlfn.IFNA(D84,0)</f>
        <v>2244831.7483540601</v>
      </c>
      <c r="T5" s="22" cm="1">
        <f t="array" ref="T5">(_xlfn.BYROW(B49,_xlfn.LAMBDA(_xlpm.party,SUMIFS(ledger!G:G,ledger!B:B,_xlpm.party,ledger!E:E,"&lt;&gt;*RD*",ledger!D:D,"Chamki")+SUMIFS(ledger!G:G, ledger!B:B, _xlpm.party, ledger!E:E, "&lt;&gt;*RD*", ledger!D:D, "Crinkle")))/1.0936)+_xlfn.IFNA(E84,0)</f>
        <v>2025070.4096561815</v>
      </c>
      <c r="U5" s="70" cm="1">
        <f t="array" ref="U5">(_xlfn.BYROW(B49,_xlfn.LAMBDA(_xlpm.party,SUMIFS(ledger!G:G,ledger!B:B,_xlpm.party,ledger!E:E,"&lt;&gt;*RD*",ledger!D:D,"Silky")))/1.0936)+_xlfn.IFNA(F84,0)</f>
        <v>219761.33869787859</v>
      </c>
      <c r="V5" s="22" cm="1">
        <f t="array" ref="V5">(_xlfn.BYROW(B49,_xlfn.LAMBDA(_xlpm.party,
(SUMIFS(ledger!J:J,ledger!B:B,_xlpm.party,ledger!E:E,"&lt;&gt;*RD*",ledger!D:D,"Chamki",ledger!C:C,"&lt;&gt;October Closing CF")+
SUMIFS(ledger!J:J,ledger!B:B,_xlpm.party,ledger!E:E,"&lt;&gt;*RD*",ledger!D:D,"Crinkle",ledger!C:C,"&lt;&gt;October Closing CF")
)+_xlfn.IFNA(G84,0))))</f>
        <v>20250704.096561819</v>
      </c>
      <c r="W5" s="70" cm="1">
        <f t="array" ref="W5">_xlfn.BYROW(B49, _xlfn.LAMBDA(_xlpm.party,
   SUMIFS(ledger!J:J, ledger!B:B, _xlpm.party, ledger!E:E, "&lt;&gt;*RD*", ledger!D:D, "Silky", ledger!C:C, "&lt;&gt;October Closing CF")
)) + _xlfn.IFNA(H84, 0)</f>
        <v>2768541.5142648136</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39">
        <f>V5+W5+X5+Y5+Z5</f>
        <v>23019245.610826634</v>
      </c>
      <c r="AB5" s="22">
        <f>(SUMIF(Table14[Party],Q5,Table14[Credit]))+_xlfn.IFNA(L84,0)</f>
        <v>19750734</v>
      </c>
      <c r="AC5" s="33">
        <f>AA5-AB5</f>
        <v>3268511.6108266339</v>
      </c>
      <c r="AD5" s="21">
        <v>10</v>
      </c>
      <c r="AE5" s="21">
        <v>13</v>
      </c>
    </row>
    <row r="6" spans="2:31"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338925</v>
      </c>
      <c r="S6" s="22" cm="1">
        <f t="array" ref="S6">_xlfn.BYROW(B50, _xlfn.LAMBDA(_xlpm.party, SUMIFS(ledger!G:G, ledger!B:B, _xlpm.party, ledger!E:E, "&lt;&gt;*RD*") / 1.0936 ))+_xlfn.IFNA(D85,0)</f>
        <v>309916.78858814924</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161771.21433796635</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2043881.6752011706</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39">
        <f t="shared" ref="AA6:AA35" si="1">V6+W6+X6+Y6+Z6</f>
        <v>3525337.4177029994</v>
      </c>
      <c r="AB6" s="22">
        <f>(SUMIF(Table14[Party],Q6,Table14[Credit]))+_xlfn.IFNA(L85,0)</f>
        <v>3663904</v>
      </c>
      <c r="AC6" s="33">
        <f>AA6-AB6</f>
        <v>-138566.58229700057</v>
      </c>
      <c r="AD6" s="21">
        <v>10</v>
      </c>
      <c r="AE6" s="21">
        <v>13</v>
      </c>
    </row>
    <row r="7" spans="2:31"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39">
        <f t="shared" si="1"/>
        <v>6228578.0907095838</v>
      </c>
      <c r="AB7" s="22">
        <f>(SUMIF(Table14[Party],Q7,Table14[Credit]))+_xlfn.IFNA(L86,0)</f>
        <v>5702935</v>
      </c>
      <c r="AC7" s="33">
        <f>AA7-AB7</f>
        <v>525643.09070958383</v>
      </c>
      <c r="AD7" s="21">
        <v>10</v>
      </c>
      <c r="AE7" s="21">
        <v>13</v>
      </c>
    </row>
    <row r="8" spans="2:31"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39">
        <f t="shared" si="1"/>
        <v>1269270.3440380397</v>
      </c>
      <c r="AB8" s="22">
        <f>(SUMIF(Table14[Party],Q8,Table14[Credit]))+_xlfn.IFNA(L87,0)</f>
        <v>1268740</v>
      </c>
      <c r="AC8" s="33">
        <f>AA8-AB8</f>
        <v>530.34403803967871</v>
      </c>
      <c r="AD8" s="21">
        <v>10.5</v>
      </c>
      <c r="AE8" s="21">
        <v>13</v>
      </c>
    </row>
    <row r="9" spans="2:31" x14ac:dyDescent="0.3">
      <c r="B9" t="str">
        <f t="shared" si="0"/>
        <v>Azam</v>
      </c>
      <c r="C9" s="18">
        <f>SUMIFS(ledger!G:G, ledger!B:B, B9, ledger!E:E, "&lt;&gt;*RD*") / 1.0936</f>
        <v>139682.69934162401</v>
      </c>
      <c r="D9">
        <v>10</v>
      </c>
      <c r="E9" s="14">
        <f>(SUMIFS(ledger!G:G, ledger!B:B, B9, ledger!E:E, "&lt;&gt;*RD*",ledger!D:D, "Silky") / 1.0936)*12 + (SUMIFS(ledger!G:G, ledger!B:B, B9, ledger!E:E, "&lt;&gt;*RD*",ledger!D:D, "Chamki") / 1.0936)*10</f>
        <v>1396826.9934162402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39">
        <f t="shared" si="1"/>
        <v>11238804.472567666</v>
      </c>
      <c r="AB9" s="22">
        <f>(SUMIF(Table14[Party],Q9,Table14[Credit]))+_xlfn.IFNA(L88,0)</f>
        <v>10629100</v>
      </c>
      <c r="AC9" s="33">
        <f t="shared" ref="AC9:AC17" si="2">AA9-AB9</f>
        <v>609704.47256766632</v>
      </c>
      <c r="AD9" s="21">
        <v>10</v>
      </c>
      <c r="AE9" s="21">
        <v>13</v>
      </c>
    </row>
    <row r="10" spans="2:31"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39">
        <f t="shared" si="1"/>
        <v>6898792.0629114853</v>
      </c>
      <c r="AB10" s="22">
        <f>(SUMIF(Table14[Party],Q10,Table14[Credit]))+_xlfn.IFNA(L89,0)</f>
        <v>6897871</v>
      </c>
      <c r="AC10" s="33">
        <f t="shared" si="2"/>
        <v>921.06291148532182</v>
      </c>
      <c r="AD10" s="21">
        <v>10</v>
      </c>
      <c r="AE10" s="21">
        <v>13</v>
      </c>
    </row>
    <row r="11" spans="2:31"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39">
        <f t="shared" si="1"/>
        <v>1393873.4455010975</v>
      </c>
      <c r="AB11" s="22">
        <f>(SUMIF(Table14[Party],Q11,Table14[Credit]))+_xlfn.IFNA(L90,0)</f>
        <v>1000000</v>
      </c>
      <c r="AC11" s="33">
        <f t="shared" si="2"/>
        <v>393873.44550109748</v>
      </c>
      <c r="AD11" s="21">
        <v>10</v>
      </c>
      <c r="AE11" s="21">
        <v>13</v>
      </c>
    </row>
    <row r="12" spans="2:31"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357257</v>
      </c>
      <c r="S12" s="22" cm="1">
        <f t="array" ref="S12">_xlfn.BYROW(B56, _xlfn.LAMBDA(_xlpm.party, SUMIFS(ledger!G:G, ledger!B:B, _xlpm.party, ledger!E:E, "&lt;&gt;*RD*") / 1.0936 ))+_xlfn.IFNA(D91,0)</f>
        <v>326679.77322604251</v>
      </c>
      <c r="T12" s="22" cm="1">
        <f t="array" ref="T12">(_xlfn.BYROW(B56,_xlfn.LAMBDA(_xlpm.party,SUMIFS(ledger!G:G,ledger!B:B,_xlpm.party,ledger!E:E,"&lt;&gt;*RD*",ledger!D:D,"Chamki")+SUMIFS(ledger!G:G, ledger!B:B, _xlpm.party, ledger!E:E, "&lt;&gt;*RD*", ledger!D:D, "Crinkle")))/1.0936)+_xlfn.IFNA(E91,0)</f>
        <v>301491.4045354792</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3014914.0453547919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39">
        <f t="shared" si="1"/>
        <v>3342362.8383321147</v>
      </c>
      <c r="AB12" s="22">
        <f>(SUMIF(Table14[Party],Q12,Table14[Credit]))+_xlfn.IFNA(L91,0)</f>
        <v>3322620</v>
      </c>
      <c r="AC12" s="33">
        <f t="shared" si="2"/>
        <v>19742.838332114741</v>
      </c>
      <c r="AD12" s="21">
        <v>10</v>
      </c>
      <c r="AE12" s="21">
        <v>13</v>
      </c>
    </row>
    <row r="13" spans="2:31" x14ac:dyDescent="0.3">
      <c r="B13" t="str">
        <f t="shared" si="0"/>
        <v>Badshah Fabrics</v>
      </c>
      <c r="C13" s="18">
        <f>SUMIFS(ledger!G:G, ledger!B:B, B13, ledger!E:E, "&lt;&gt;*RD*") / 1.0936</f>
        <v>64923.189465983909</v>
      </c>
      <c r="E13" s="14">
        <f>(SUMIFS(ledger!G:G, ledger!B:B, B13, ledger!E:E, "&lt;&gt;*RD*",ledger!D:D, "Silky") / 1.0936)*12 + (SUMIFS(ledger!G:G, ledger!B:B, B13, ledger!E:E, "&lt;&gt;*RD*",ledger!D:D, "Chamki") / 1.0936)*10</f>
        <v>750839.42940746166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39">
        <f t="shared" si="1"/>
        <v>641274.68910021964</v>
      </c>
      <c r="AB13" s="22">
        <f>(SUMIF(Table14[Party],Q13,Table14[Credit]))+_xlfn.IFNA(L92,0)</f>
        <v>640190</v>
      </c>
      <c r="AC13" s="33">
        <f t="shared" si="2"/>
        <v>1084.6891002196353</v>
      </c>
      <c r="AD13" s="21">
        <v>10</v>
      </c>
      <c r="AE13" s="21">
        <v>13</v>
      </c>
    </row>
    <row r="14" spans="2:31"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39">
        <f t="shared" si="1"/>
        <v>255724.21360643749</v>
      </c>
      <c r="AB14" s="22">
        <f>(SUMIF(Table14[Party],Q14,Table14[Credit]))+_xlfn.IFNA(L93,0)</f>
        <v>130000</v>
      </c>
      <c r="AC14" s="33">
        <f t="shared" si="2"/>
        <v>125724.21360643749</v>
      </c>
      <c r="AD14" s="21">
        <v>12</v>
      </c>
      <c r="AE14" s="21">
        <v>13</v>
      </c>
    </row>
    <row r="15" spans="2:31"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39">
        <f t="shared" si="1"/>
        <v>1854562.9114850038</v>
      </c>
      <c r="AB15" s="22">
        <f>(SUMIF(Table14[Party],Q15,Table14[Credit]))+_xlfn.IFNA(L94,0)</f>
        <v>1705980</v>
      </c>
      <c r="AC15" s="33">
        <f t="shared" si="2"/>
        <v>148582.91148500377</v>
      </c>
      <c r="AD15" s="21">
        <v>10</v>
      </c>
      <c r="AE15" s="21">
        <v>13</v>
      </c>
    </row>
    <row r="16" spans="2:31"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513848</v>
      </c>
      <c r="S16" s="22" cm="1">
        <f t="array" ref="S16">_xlfn.BYROW(B60, _xlfn.LAMBDA(_xlpm.party, SUMIFS(ledger!G:G, ledger!B:B, _xlpm.party, ledger!E:E, "&lt;&gt;*RD*") / 1.0936 ))+_xlfn.IFNA(D95,0)</f>
        <v>469868.32479882956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113958.48573518655</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1418305.5961960498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39">
        <f t="shared" si="1"/>
        <v>4977403.9868324809</v>
      </c>
      <c r="AB16" s="22">
        <f>(SUMIF(Table14[Party],Q16,Table14[Credit]))+_xlfn.IFNA(L95,0)</f>
        <v>4925761</v>
      </c>
      <c r="AC16" s="33">
        <f t="shared" si="2"/>
        <v>51642.986832480878</v>
      </c>
      <c r="AD16" s="21">
        <v>10</v>
      </c>
      <c r="AE16" s="21">
        <v>13</v>
      </c>
    </row>
    <row r="17" spans="2:31"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39">
        <f t="shared" si="1"/>
        <v>0</v>
      </c>
      <c r="AB17" s="22">
        <f>(SUMIF(Table14[Party],Q17,Table14[Credit]))+_xlfn.IFNA(L96,0)</f>
        <v>0</v>
      </c>
      <c r="AC17" s="33">
        <f t="shared" si="2"/>
        <v>0</v>
      </c>
      <c r="AD17" s="21">
        <v>10</v>
      </c>
      <c r="AE17" s="21">
        <v>13</v>
      </c>
    </row>
    <row r="18" spans="2:31" x14ac:dyDescent="0.3">
      <c r="B18" t="str">
        <f t="shared" si="0"/>
        <v>Faizan</v>
      </c>
      <c r="C18" s="18">
        <f>SUMIFS(ledger!G:G, ledger!B:B, B18, ledger!E:E, "&lt;&gt;*RD*") / 1.0936</f>
        <v>158748.17117776154</v>
      </c>
      <c r="E18" s="14">
        <f>(SUMIFS(ledger!G:G, ledger!B:B, B18, ledger!E:E, "&lt;&gt;*RD*",ledger!D:D, "Silky") / 1.0936)*12 + (SUMIFS(ledger!G:G, ledger!B:B, B18, ledger!E:E, "&lt;&gt;*RD*",ledger!D:D, "Chamki") / 1.0936)*10</f>
        <v>1904978.0541331386</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39">
        <f t="shared" si="1"/>
        <v>483851.49963423557</v>
      </c>
      <c r="AB18" s="22">
        <f>(SUMIF(Table14[Party],Q18,Table14[Credit]))+_xlfn.IFNA(L97,0)</f>
        <v>480000</v>
      </c>
      <c r="AC18" s="33">
        <f t="shared" ref="AC18:AC20" si="3">AA18-AB18</f>
        <v>3851.4996342355735</v>
      </c>
      <c r="AD18" s="21">
        <v>10</v>
      </c>
      <c r="AE18" s="21">
        <v>13</v>
      </c>
    </row>
    <row r="19" spans="2:31"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39">
        <f t="shared" si="1"/>
        <v>89155.084125822978</v>
      </c>
      <c r="AB19" s="22">
        <f>(SUMIF(Table14[Party],Q19,Table14[Credit]))+_xlfn.IFNA(L98,0)</f>
        <v>95000</v>
      </c>
      <c r="AC19" s="33">
        <f t="shared" si="3"/>
        <v>-5844.9158741770225</v>
      </c>
      <c r="AD19" s="21">
        <v>10</v>
      </c>
      <c r="AE19" s="21">
        <v>13</v>
      </c>
    </row>
    <row r="20" spans="2:31"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39">
        <f t="shared" si="1"/>
        <v>594404.71836137539</v>
      </c>
      <c r="AB20" s="22">
        <f>(SUMIF(Table14[Party],Q20,Table14[Credit]))+_xlfn.IFNA(L99,0)</f>
        <v>594405</v>
      </c>
      <c r="AC20" s="33">
        <f t="shared" si="3"/>
        <v>-0.28163862461224198</v>
      </c>
      <c r="AD20" s="21">
        <v>10</v>
      </c>
      <c r="AE20" s="21">
        <v>13</v>
      </c>
    </row>
    <row r="21" spans="2:31" x14ac:dyDescent="0.3">
      <c r="B21" s="40" t="s">
        <v>29</v>
      </c>
      <c r="C21" s="41">
        <f>SUM(K49:K78)</f>
        <v>15763676.847110461</v>
      </c>
      <c r="D21" t="s">
        <v>30</v>
      </c>
      <c r="Q21" s="101" t="str">
        <v>Faizan</v>
      </c>
      <c r="R21" s="22" cm="1">
        <f t="array" ref="R21">_xlfn.BYROW(B65,_xlfn.LAMBDA(_xlpm.party,SUMIFS(ledger!G:G,ledger!B:B,_xlpm.party,ledger!E:E,"&lt;&gt;*RD*")))+_xlfn.IFNA(C100,0)</f>
        <v>395792</v>
      </c>
      <c r="S21" s="22" cm="1">
        <f t="array" ref="S21">_xlfn.BYROW(B65, _xlfn.LAMBDA(_xlpm.party, SUMIFS(ledger!G:G, ledger!B:B, _xlpm.party, ledger!E:E, "&lt;&gt;*RD*") / 1.0936 ))+_xlfn.IFNA(D100,0)</f>
        <v>361916.60570592538</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358946.5983906365</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4666305.779078274</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39">
        <f t="shared" si="1"/>
        <v>4710855.8888076087</v>
      </c>
      <c r="AB21" s="22">
        <f>(SUMIF(Table14[Party],Q21,Table14[Credit]))+_xlfn.IFNA(L100,0)</f>
        <v>4915571</v>
      </c>
      <c r="AC21" s="33">
        <f t="shared" ref="AC21:AC35" si="4">AA21-AB21</f>
        <v>-204715.11119239125</v>
      </c>
      <c r="AD21" s="21">
        <v>10</v>
      </c>
      <c r="AE21" s="21">
        <v>13</v>
      </c>
    </row>
    <row r="22" spans="2:31"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39">
        <f t="shared" si="1"/>
        <v>836016.82516459411</v>
      </c>
      <c r="AB22" s="22">
        <f>(SUMIF(Table14[Party],Q22,Table14[Credit]))+_xlfn.IFNA(L101,0)</f>
        <v>835660</v>
      </c>
      <c r="AC22" s="33">
        <f t="shared" si="4"/>
        <v>356.82516459410544</v>
      </c>
      <c r="AD22" s="21">
        <v>10</v>
      </c>
      <c r="AE22" s="21">
        <v>13</v>
      </c>
    </row>
    <row r="23" spans="2:31" x14ac:dyDescent="0.3">
      <c r="B23" s="24" t="s">
        <v>31</v>
      </c>
      <c r="C23" s="37">
        <f>SUM(K49:K71)</f>
        <v>15639115.764447697</v>
      </c>
      <c r="D23" t="s">
        <v>32</v>
      </c>
      <c r="Q23" s="21" t="str">
        <v>Amjad sohail</v>
      </c>
      <c r="R23" s="22" cm="1">
        <f t="array" ref="R23">_xlfn.BYROW(B67,_xlfn.LAMBDA(_xlpm.party,SUMIFS(ledger!G:G,ledger!B:B,_xlpm.party,ledger!E:E,"&lt;&gt;*RD*")))+_xlfn.IFNA(C102,0)</f>
        <v>236739</v>
      </c>
      <c r="S23" s="22" cm="1">
        <f t="array" ref="S23">_xlfn.BYROW(B67, _xlfn.LAMBDA(_xlpm.party, SUMIFS(ledger!G:G, ledger!B:B, _xlpm.party, ledger!E:E, "&lt;&gt;*RD*") / 1.0936 ))+_xlfn.IFNA(D102,0)</f>
        <v>216476.77395757133</v>
      </c>
      <c r="T23" s="22" cm="1">
        <f t="array" ref="T23">(_xlfn.BYROW(B67,_xlfn.LAMBDA(_xlpm.party,SUMIFS(ledger!G:G,ledger!B:B,_xlpm.party,ledger!E:E,"&lt;&gt;*RD*",ledger!D:D,"Chamki")+SUMIFS(ledger!G:G, ledger!B:B, _xlpm.party, ledger!E:E, "&lt;&gt;*RD*", ledger!D:D, "Crinkle")))/1.0936)+_xlfn.IFNA(E102,0)</f>
        <v>172642.64813460133</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1726426.4813460135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39">
        <f t="shared" si="1"/>
        <v>2296270.1170446239</v>
      </c>
      <c r="AB23" s="22">
        <f>(SUMIF(Table14[Party],Q23,Table14[Credit]))+_xlfn.IFNA(L102,0)</f>
        <v>2300000</v>
      </c>
      <c r="AC23" s="33">
        <f t="shared" si="4"/>
        <v>-3729.8829553760588</v>
      </c>
      <c r="AD23" s="21">
        <v>10</v>
      </c>
      <c r="AE23" s="21">
        <v>13</v>
      </c>
    </row>
    <row r="24" spans="2:31" x14ac:dyDescent="0.3">
      <c r="Q24" t="str">
        <v>Salman Zaffar</v>
      </c>
      <c r="R24" s="22" cm="1">
        <f t="array" ref="R24">_xlfn.BYROW(B68,_xlfn.LAMBDA(_xlpm.party,SUMIFS(ledger!G:G,ledger!B:B,_xlpm.party,ledger!E:E,"&lt;&gt;*RD*")))+_xlfn.IFNA(C103,0)</f>
        <v>39842</v>
      </c>
      <c r="S24" s="22" cm="1">
        <f t="array" ref="S24">_xlfn.BYROW(B68, _xlfn.LAMBDA(_xlpm.party, SUMIFS(ledger!G:G, ledger!B:B, _xlpm.party, ledger!E:E, "&lt;&gt;*RD*") / 1.0936 ))+_xlfn.IFNA(D103,0)</f>
        <v>36431.967812728602</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60274.323335771769</v>
      </c>
      <c r="AA24" s="39">
        <f t="shared" si="1"/>
        <v>468592.72128749092</v>
      </c>
      <c r="AB24" s="22">
        <f>(SUMIF(Table14[Party],Q24,Table14[Credit]))+_xlfn.IFNA(L103,0)</f>
        <v>0</v>
      </c>
      <c r="AC24" s="33">
        <f t="shared" si="4"/>
        <v>468592.72128749092</v>
      </c>
      <c r="AD24" s="21">
        <v>10</v>
      </c>
      <c r="AE24" s="21">
        <v>13</v>
      </c>
    </row>
    <row r="25" spans="2:31" x14ac:dyDescent="0.3">
      <c r="Q25" t="str">
        <v>Shahid Qasayi</v>
      </c>
      <c r="R25" s="22" cm="1">
        <f t="array" ref="R25">_xlfn.BYROW(B69,_xlfn.LAMBDA(_xlpm.party,SUMIFS(ledger!G:G,ledger!B:B,_xlpm.party,ledger!E:E,"&lt;&gt;*RD*")))+_xlfn.IFNA(C104,0)</f>
        <v>124119</v>
      </c>
      <c r="S25" s="22" cm="1">
        <f t="array" ref="S25">_xlfn.BYROW(B69, _xlfn.LAMBDA(_xlpm.party, SUMIFS(ledger!G:G, ledger!B:B, _xlpm.party, ledger!E:E, "&lt;&gt;*RD*") / 1.0936 ))+_xlfn.IFNA(D104,0)</f>
        <v>113495.7937088515</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39">
        <f t="shared" si="1"/>
        <v>1134957.9370885149</v>
      </c>
      <c r="AB25" s="22">
        <f>(SUMIF(Table14[Party],Q25,Table14[Credit]))+_xlfn.IFNA(L104,0)</f>
        <v>1103325</v>
      </c>
      <c r="AC25" s="33">
        <f t="shared" si="4"/>
        <v>31632.937088514911</v>
      </c>
      <c r="AD25" s="21">
        <v>10</v>
      </c>
      <c r="AE25" s="21">
        <v>13</v>
      </c>
    </row>
    <row r="26" spans="2:31"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39">
        <f t="shared" si="1"/>
        <v>424323.335771763</v>
      </c>
      <c r="AB26" s="22">
        <f>(SUMIF(Table14[Party],Q26,Table14[Credit]))+_xlfn.IFNA(L105,0)</f>
        <v>424323</v>
      </c>
      <c r="AC26" s="33">
        <f t="shared" si="4"/>
        <v>0.33577176299877465</v>
      </c>
      <c r="AD26" s="21">
        <v>10</v>
      </c>
      <c r="AE26" s="21">
        <v>13</v>
      </c>
    </row>
    <row r="27" spans="2:31"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39">
        <f t="shared" si="1"/>
        <v>339383.68690563279</v>
      </c>
      <c r="AB27" s="22">
        <f>(SUMIF(Table14[Party],Q27,Table14[Credit]))+_xlfn.IFNA(L106,0)</f>
        <v>337000</v>
      </c>
      <c r="AC27" s="33">
        <f t="shared" si="4"/>
        <v>2383.6869056327851</v>
      </c>
      <c r="AD27" s="21">
        <v>10</v>
      </c>
      <c r="AE27" s="21">
        <v>13</v>
      </c>
    </row>
    <row r="28" spans="2:31"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39">
        <f t="shared" si="1"/>
        <v>124561.08266276518</v>
      </c>
      <c r="AB28" s="22">
        <f>(SUMIF(Table14[Party],Q28,Table14[Credit]))+_xlfn.IFNA(L107,0)</f>
        <v>124560</v>
      </c>
      <c r="AC28" s="33">
        <f t="shared" si="4"/>
        <v>1.0826627651840681</v>
      </c>
      <c r="AD28" s="21">
        <v>10</v>
      </c>
      <c r="AE28" s="21">
        <v>13</v>
      </c>
    </row>
    <row r="29" spans="2:31"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39">
        <f t="shared" si="1"/>
        <v>0</v>
      </c>
      <c r="AB29" s="22">
        <f>(SUMIF(Table14[Party],Q29,Table14[Credit]))+_xlfn.IFNA(L108,0)</f>
        <v>0</v>
      </c>
      <c r="AC29" s="33">
        <f t="shared" si="4"/>
        <v>0</v>
      </c>
      <c r="AD29" s="21">
        <v>10</v>
      </c>
      <c r="AE29" s="21">
        <v>13</v>
      </c>
    </row>
    <row r="30" spans="2:31"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39">
        <f t="shared" si="1"/>
        <v>0</v>
      </c>
      <c r="AB30" s="22">
        <f>(SUMIF(Table14[Party],Q30,Table14[Credit]))+_xlfn.IFNA(L109,0)</f>
        <v>0</v>
      </c>
      <c r="AC30" s="33">
        <f t="shared" si="4"/>
        <v>0</v>
      </c>
      <c r="AD30" s="21">
        <v>10</v>
      </c>
      <c r="AE30" s="21">
        <v>13</v>
      </c>
    </row>
    <row r="31" spans="2:31"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39">
        <f t="shared" si="1"/>
        <v>0</v>
      </c>
      <c r="AB31" s="22">
        <f>(SUMIF(Table14[Party],Q31,Table14[Credit]))+_xlfn.IFNA(L110,0)</f>
        <v>0</v>
      </c>
      <c r="AC31" s="33">
        <f t="shared" si="4"/>
        <v>0</v>
      </c>
      <c r="AD31" s="21">
        <v>10</v>
      </c>
      <c r="AE31" s="21">
        <v>13</v>
      </c>
    </row>
    <row r="32" spans="2:31"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39">
        <f t="shared" si="1"/>
        <v>0</v>
      </c>
      <c r="AB32" s="22">
        <f>(SUMIF(Table14[Party],Q32,Table14[Credit]))+_xlfn.IFNA(L111,0)</f>
        <v>0</v>
      </c>
      <c r="AC32" s="33">
        <f t="shared" si="4"/>
        <v>0</v>
      </c>
      <c r="AD32" s="21">
        <v>10</v>
      </c>
      <c r="AE32" s="21">
        <v>13</v>
      </c>
    </row>
    <row r="33" spans="2:31"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39">
        <f t="shared" si="1"/>
        <v>0</v>
      </c>
      <c r="AB33" s="22">
        <f>(SUMIF(Table14[Party],Q33,Table14[Credit]))+_xlfn.IFNA(L112,0)</f>
        <v>0</v>
      </c>
      <c r="AC33" s="33">
        <f t="shared" si="4"/>
        <v>0</v>
      </c>
      <c r="AD33" s="21">
        <v>10</v>
      </c>
      <c r="AE33" s="21">
        <v>13</v>
      </c>
    </row>
    <row r="34" spans="2:31"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39">
        <f t="shared" si="1"/>
        <v>0</v>
      </c>
      <c r="AB34" s="22">
        <f>(SUMIF(Table14[Party],Q34,Table14[Credit]))+_xlfn.IFNA(L113,0)</f>
        <v>0</v>
      </c>
      <c r="AC34" s="33">
        <f t="shared" si="4"/>
        <v>0</v>
      </c>
      <c r="AD34" s="21">
        <v>10</v>
      </c>
      <c r="AE34" s="21">
        <v>13</v>
      </c>
    </row>
    <row r="35" spans="2:31"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39">
        <f t="shared" si="1"/>
        <v>0</v>
      </c>
      <c r="AB35" s="22">
        <f>(SUMIF(Table14[Party],Q35,Table14[Credit]))+_xlfn.IFNA(L114,0)</f>
        <v>0</v>
      </c>
      <c r="AC35" s="33">
        <f t="shared" si="4"/>
        <v>0</v>
      </c>
      <c r="AD35" s="21">
        <v>10</v>
      </c>
      <c r="AE35" s="21">
        <v>13</v>
      </c>
    </row>
    <row r="47" spans="2:31" x14ac:dyDescent="0.3">
      <c r="B47" t="s">
        <v>156</v>
      </c>
    </row>
    <row r="48" spans="2:31"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3" x14ac:dyDescent="0.3">
      <c r="A49" t="s">
        <v>33</v>
      </c>
      <c r="B49" s="24" t="str" cm="1">
        <f t="array" ref="B49:B72">_xlfn.UNIQUE(Table1[Party Name])</f>
        <v>BSC</v>
      </c>
      <c r="C49" s="22" cm="1">
        <f t="array" ref="C49:C72">_xlfn.BYROW(_xlfn.ANCHORARRAY(B49),_xlfn.LAMBDA(_xlpm.party,SUMIFS(ledger!G:G,ledger!B:B,_xlpm.party,ledger!E:E,"&lt;&gt;*RD*")))</f>
        <v>249540</v>
      </c>
      <c r="D49" s="22" cm="1">
        <f t="array" ref="D49:D72">_xlfn.BYROW(_xlfn.ANCHORARRAY(B49), _xlfn.LAMBDA(_xlpm.party, SUMIFS(ledger!G:G, ledger!B:B, _xlpm.party, ledger!E:E, "&lt;&gt;*RD*") / 1.0936 ))</f>
        <v>228182.15069495246</v>
      </c>
      <c r="E49" s="63" cm="1">
        <f t="array" ref="E49:E72">(_xlfn.BYROW(_xlfn.ANCHORARRAY(B49),_xlfn.LAMBDA(_xlpm.party,SUMIFS(ledger!G:G,ledger!B:B,_xlpm.party,ledger!E:E,"&lt;&gt;*RD*",ledger!D:D,"Chamki")+SUMIFS(ledger!G:G, ledger!B:B, _xlpm.party, ledger!E:E, "&lt;&gt;*RD*", ledger!D:D, "Crinkle")))/1.0936)</f>
        <v>129668.06876371618</v>
      </c>
      <c r="F49" s="63" cm="1">
        <f t="array" ref="F49:F72">(_xlfn.BYROW(_xlfn.ANCHORARRAY(B49),_xlfn.LAMBDA(_xlpm.party,SUMIFS(ledger!G:G,ledger!B:B,_xlpm.party,ledger!E:E,"&lt;&gt;*RD*",ledger!D:D,"Silky")))/1.0936)</f>
        <v>98514.081931236287</v>
      </c>
      <c r="G49" s="22" cm="1">
        <f t="array" ref="G49">(_xlfn.BYROW(B49,_xlfn.LAMBDA(_xlpm.party,
(SUMIFS(ledger!J:J,ledger!B:B,_xlpm.party,ledger!E:E,"&lt;&gt;*RD*",ledger!D:D,"Chamki",ledger!C:C,"&lt;&gt;October Closing CF")+
SUMIFS(ledger!J:J,ledger!B:B,_xlpm.party,ledger!E:E,"&lt;&gt;*RD*",ledger!D:D,"Crinkle",ledger!C:C,"&lt;&gt;October Closing CF")
))))</f>
        <v>1296680.6876371622</v>
      </c>
      <c r="H49" s="22" cm="1">
        <f t="array" ref="H49">_xlfn.BYROW(B49, _xlfn.LAMBDA(_xlpm.party,
   SUMIFS(ledger!J:J, ledger!B:B, _xlpm.party, ledger!E:E, "&lt;&gt;*RD*", ledger!D:D, "Silky", ledger!C:C, "&lt;&gt;October Closing CF")
))</f>
        <v>1280683.0651060718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2577363.7527432339</v>
      </c>
      <c r="L49" s="22">
        <f>(SUMIF(Table14[Party],B49,Table14[Credit]))</f>
        <v>1339058</v>
      </c>
      <c r="M49" s="37">
        <f>K49-L49</f>
        <v>1238305.7527432339</v>
      </c>
      <c r="N49" s="21">
        <v>10</v>
      </c>
      <c r="O49" s="21">
        <v>12</v>
      </c>
    </row>
    <row r="50" spans="1:23" x14ac:dyDescent="0.3">
      <c r="B50" s="24" t="str">
        <v>Ejaz Sahab</v>
      </c>
      <c r="C50" s="22">
        <v>61084</v>
      </c>
      <c r="D50" s="22">
        <v>55855.888807607902</v>
      </c>
      <c r="E50" s="63">
        <v>0</v>
      </c>
      <c r="F50" s="63">
        <v>55855.888807607902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726126.55449890287</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5">G50+H50+I50+J50</f>
        <v>726126.55449890287</v>
      </c>
      <c r="L50" s="22">
        <f>(SUMIF(Table14[Party],B50,Table14[Credit]))</f>
        <v>500000</v>
      </c>
      <c r="M50" s="37">
        <f>K50-L50</f>
        <v>226126.55449890287</v>
      </c>
      <c r="N50" s="21">
        <v>10</v>
      </c>
      <c r="O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5"/>
        <v>2125233.1748354062</v>
      </c>
      <c r="L51" s="22">
        <f>(SUMIF(Table14[Party],B51,Table14[Credit]))</f>
        <v>1600000</v>
      </c>
      <c r="M51" s="37">
        <f>K51-L51</f>
        <v>525233.17483540624</v>
      </c>
      <c r="N51" s="21">
        <v>10</v>
      </c>
      <c r="O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5"/>
        <v>0</v>
      </c>
      <c r="L52" s="22">
        <f>(SUMIF(Table14[Party],B52,Table14[Credit]))</f>
        <v>0</v>
      </c>
      <c r="M52" s="37">
        <f t="shared" ref="M52:M55" si="6">K52-L52</f>
        <v>0</v>
      </c>
      <c r="N52" s="21">
        <v>10.5</v>
      </c>
      <c r="O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5"/>
        <v>0</v>
      </c>
      <c r="L53" s="22">
        <f>(SUMIF(Table14[Party],B53,Table14[Credit]))</f>
        <v>0</v>
      </c>
      <c r="M53" s="37">
        <f t="shared" si="6"/>
        <v>0</v>
      </c>
      <c r="N53" s="21">
        <v>10</v>
      </c>
      <c r="O53" s="21">
        <v>12</v>
      </c>
    </row>
    <row r="54" spans="1:23"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5"/>
        <v>1353063.2772494515</v>
      </c>
      <c r="L54" s="22">
        <f>(SUMIF(Table14[Party],B54,Table14[Credit]))</f>
        <v>1353061</v>
      </c>
      <c r="M54" s="37">
        <f t="shared" si="6"/>
        <v>2.2772494514938444</v>
      </c>
      <c r="N54" s="21">
        <v>10</v>
      </c>
      <c r="O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5"/>
        <v>471086.32040965627</v>
      </c>
      <c r="L55" s="22">
        <f>(SUMIF(Table14[Party],B55,Table14[Credit]))</f>
        <v>100000</v>
      </c>
      <c r="M55" s="37">
        <f t="shared" si="6"/>
        <v>371086.32040965627</v>
      </c>
      <c r="N55" s="21">
        <v>10</v>
      </c>
      <c r="O55" s="21">
        <v>12</v>
      </c>
    </row>
    <row r="56" spans="1:23" x14ac:dyDescent="0.3">
      <c r="B56" s="24" t="str">
        <v>Azam</v>
      </c>
      <c r="C56" s="22">
        <v>152757</v>
      </c>
      <c r="D56" s="22">
        <v>139682.69934162401</v>
      </c>
      <c r="E56" s="63">
        <v>139682.69934162401</v>
      </c>
      <c r="F56" s="63">
        <v>0</v>
      </c>
      <c r="G56" s="22" cm="1">
        <f t="array" ref="G56">(_xlfn.BYROW(B56,_xlfn.LAMBDA(_xlpm.party,
(SUMIFS(ledger!J:J,ledger!B:B,_xlpm.party,ledger!E:E,"&lt;&gt;*RD*",ledger!D:D,"Chamki",ledger!C:C,"&lt;&gt;October Closing CF")+
SUMIFS(ledger!J:J,ledger!B:B,_xlpm.party,ledger!E:E,"&lt;&gt;*RD*",ledger!D:D,"Crinkle",ledger!C:C,"&lt;&gt;October Closing CF")
))))</f>
        <v>1396826.99341624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5"/>
        <v>1396826.99341624</v>
      </c>
      <c r="L56" s="22">
        <f>(SUMIF(Table14[Party],B56,Table14[Credit]))</f>
        <v>1705000</v>
      </c>
      <c r="M56" s="37">
        <f t="shared" ref="M56:M78" si="7">K56-L56</f>
        <v>-308173.00658376003</v>
      </c>
      <c r="N56" s="21">
        <v>10</v>
      </c>
      <c r="O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5"/>
        <v>0</v>
      </c>
      <c r="L57" s="22">
        <f>SUMIF(Table14[Party], B57, Table14[Credit])</f>
        <v>10040</v>
      </c>
      <c r="M57" s="37">
        <f t="shared" si="7"/>
        <v>-10040</v>
      </c>
      <c r="N57" s="21">
        <v>10</v>
      </c>
      <c r="O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5"/>
        <v>0</v>
      </c>
      <c r="L58" s="22">
        <f>SUMIF(Table14[Party], B58, Table14[Credit])</f>
        <v>130000</v>
      </c>
      <c r="M58" s="37">
        <f t="shared" si="7"/>
        <v>-130000</v>
      </c>
      <c r="N58" s="21">
        <v>12</v>
      </c>
      <c r="O58" s="21">
        <v>12</v>
      </c>
      <c r="U58" s="4" t="s">
        <v>21</v>
      </c>
      <c r="V58" s="5">
        <v>228182.15069495246</v>
      </c>
      <c r="W58" s="18">
        <v>2478849.6708119968</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5"/>
        <v>643050.47549378208</v>
      </c>
      <c r="L59" s="22">
        <f>SUMIF(Table14[Party], B59, Table14[Credit])</f>
        <v>505980</v>
      </c>
      <c r="M59" s="37">
        <f t="shared" si="7"/>
        <v>137070.47549378208</v>
      </c>
      <c r="N59" s="21">
        <v>10</v>
      </c>
      <c r="O59" s="21">
        <v>12</v>
      </c>
      <c r="U59" s="4" t="s">
        <v>22</v>
      </c>
      <c r="V59" s="5">
        <v>55855.888807607902</v>
      </c>
      <c r="W59" s="18">
        <v>670270.66569129482</v>
      </c>
    </row>
    <row r="60" spans="1:23" x14ac:dyDescent="0.3">
      <c r="B60" s="24" t="str">
        <v>Badshah Fabrics</v>
      </c>
      <c r="C60" s="22">
        <v>71000</v>
      </c>
      <c r="D60" s="22">
        <v>64923.189465983909</v>
      </c>
      <c r="E60" s="63">
        <v>14119.422092172643</v>
      </c>
      <c r="F60" s="63">
        <v>50803.767373811272</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660448.97585954645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5"/>
        <v>801643.19678127288</v>
      </c>
      <c r="L60" s="22">
        <f>SUMIF(Table14[Party], B60, Table14[Credit])</f>
        <v>925217</v>
      </c>
      <c r="M60" s="37">
        <f t="shared" si="7"/>
        <v>-123573.80321872712</v>
      </c>
      <c r="N60" s="21">
        <v>10</v>
      </c>
      <c r="O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5"/>
        <v>0</v>
      </c>
      <c r="L61" s="22">
        <f>SUMIF(Table14[Party], B61, Table14[Credit])</f>
        <v>0</v>
      </c>
      <c r="M61" s="37">
        <f t="shared" si="7"/>
        <v>0</v>
      </c>
      <c r="N61" s="21">
        <v>10</v>
      </c>
      <c r="O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5"/>
        <v>0</v>
      </c>
      <c r="L62" s="22">
        <f>SUMIF(Table14[Party], B62, Table14[Credit])</f>
        <v>0</v>
      </c>
      <c r="M62" s="37">
        <f t="shared" si="7"/>
        <v>0</v>
      </c>
      <c r="N62" s="21">
        <v>10</v>
      </c>
      <c r="O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5"/>
        <v>0</v>
      </c>
      <c r="L63" s="22">
        <f>SUMIF(Table14[Party], B63, Table14[Credit])</f>
        <v>0</v>
      </c>
      <c r="M63" s="37">
        <f t="shared" si="7"/>
        <v>0</v>
      </c>
      <c r="N63" s="21">
        <v>10</v>
      </c>
      <c r="O63" s="21">
        <v>12</v>
      </c>
      <c r="U63" s="4" t="s">
        <v>25</v>
      </c>
      <c r="V63" s="5">
        <v>135306.32772494515</v>
      </c>
      <c r="W63" s="18">
        <v>1353063.2772494515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5"/>
        <v>0</v>
      </c>
      <c r="L64" s="22">
        <f>SUMIF(Table14[Party], B81, Table14[Credit])</f>
        <v>0</v>
      </c>
      <c r="M64" s="37">
        <f t="shared" si="7"/>
        <v>0</v>
      </c>
      <c r="N64" s="21">
        <v>10</v>
      </c>
      <c r="O64" s="21">
        <v>12</v>
      </c>
      <c r="U64" s="4" t="s">
        <v>26</v>
      </c>
      <c r="V64" s="5">
        <v>47108.632040965625</v>
      </c>
      <c r="W64" s="18">
        <v>471086.32040965627</v>
      </c>
    </row>
    <row r="65" spans="2:23" x14ac:dyDescent="0.3">
      <c r="B65" t="str">
        <v>Faizan</v>
      </c>
      <c r="C65" s="22">
        <v>173607</v>
      </c>
      <c r="D65" s="22">
        <v>158748.17117776154</v>
      </c>
      <c r="E65" s="63">
        <v>0</v>
      </c>
      <c r="F65" s="63">
        <v>158748.17117776154</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2063726.2253109</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5"/>
        <v>2063726.2253109</v>
      </c>
      <c r="L65" s="22">
        <f>SUMIF(Table14[Party], B65, Table14[Credit])</f>
        <v>2000000</v>
      </c>
      <c r="M65" s="37">
        <f t="shared" si="7"/>
        <v>63726.225310900016</v>
      </c>
      <c r="N65" s="21">
        <v>10</v>
      </c>
      <c r="O65" s="21">
        <v>13</v>
      </c>
      <c r="U65" s="4" t="s">
        <v>153</v>
      </c>
      <c r="V65" s="5">
        <v>139682.69934162401</v>
      </c>
      <c r="W65" s="18">
        <v>1396826.9934162402</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5"/>
        <v>0</v>
      </c>
      <c r="L66" s="22">
        <f>SUMIF(Table14[Party], B66, Table14[Credit])</f>
        <v>0</v>
      </c>
      <c r="M66" s="37">
        <f t="shared" si="7"/>
        <v>0</v>
      </c>
      <c r="N66" s="21">
        <v>10</v>
      </c>
      <c r="O66" s="21">
        <v>12</v>
      </c>
      <c r="U66" s="4" t="s">
        <v>35</v>
      </c>
      <c r="V66" s="5">
        <v>0</v>
      </c>
      <c r="W66" s="18">
        <v>0</v>
      </c>
    </row>
    <row r="67" spans="2:23" x14ac:dyDescent="0.3">
      <c r="B67" t="str">
        <v>Amjad sohail</v>
      </c>
      <c r="C67" s="22">
        <v>128390</v>
      </c>
      <c r="D67" s="22">
        <v>117401.24359912217</v>
      </c>
      <c r="E67" s="63">
        <v>117401.24359912217</v>
      </c>
      <c r="F67" s="63">
        <v>0</v>
      </c>
      <c r="G67" s="22" cm="1">
        <f t="array" ref="G67">(_xlfn.BYROW(B67,_xlfn.LAMBDA(_xlpm.party,
(SUMIFS(ledger!J:J,ledger!B:B,_xlpm.party,ledger!E:E,"&lt;&gt;*RD*",ledger!D:D,"Chamki",ledger!C:C,"&lt;&gt;October Closing CF")+
SUMIFS(ledger!J:J,ledger!B:B,_xlpm.party,ledger!E:E,"&lt;&gt;*RD*",ledger!D:D,"Crinkle",ledger!C:C,"&lt;&gt;October Closing CF")
))))</f>
        <v>1174012.4359912218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5"/>
        <v>1174012.4359912218</v>
      </c>
      <c r="L67" s="22">
        <f>SUMIF(Table14[Party], B67, Table14[Credit])</f>
        <v>1500000</v>
      </c>
      <c r="M67" s="37">
        <f t="shared" si="7"/>
        <v>-325987.56400877819</v>
      </c>
      <c r="N67" s="21">
        <v>10</v>
      </c>
      <c r="O67" s="21">
        <v>12</v>
      </c>
      <c r="U67" s="4" t="s">
        <v>149</v>
      </c>
      <c r="V67" s="5">
        <v>0</v>
      </c>
      <c r="W67" s="18">
        <v>0</v>
      </c>
    </row>
    <row r="68" spans="2:23" x14ac:dyDescent="0.3">
      <c r="B68" t="str">
        <v>Salman Zaffar</v>
      </c>
      <c r="C68" s="22">
        <v>39842</v>
      </c>
      <c r="D68" s="22">
        <v>36431.967812728602</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5"/>
        <v>408318.39795171918</v>
      </c>
      <c r="L68" s="22">
        <f>SUMIF(Table14[Party], B68, Table14[Credit])</f>
        <v>0</v>
      </c>
      <c r="M68" s="37">
        <f t="shared" si="7"/>
        <v>408318.39795171918</v>
      </c>
      <c r="N68" s="21">
        <v>10</v>
      </c>
      <c r="O68" s="21">
        <v>12</v>
      </c>
      <c r="U68" s="4" t="s">
        <v>27</v>
      </c>
      <c r="V68" s="5">
        <v>64305.047549378207</v>
      </c>
      <c r="W68" s="18">
        <v>643050.47549378208</v>
      </c>
    </row>
    <row r="69" spans="2:23" x14ac:dyDescent="0.3">
      <c r="B69" t="str">
        <v>Shahid Qasayi</v>
      </c>
      <c r="C69" s="22">
        <v>124119</v>
      </c>
      <c r="D69" s="22">
        <v>113495.7937088515</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5"/>
        <v>1134957.9370885149</v>
      </c>
      <c r="L69" s="22">
        <f>SUMIF(Table14[Party], B69, Table14[Credit])</f>
        <v>1103325</v>
      </c>
      <c r="M69" s="37">
        <f t="shared" si="7"/>
        <v>31632.937088514911</v>
      </c>
      <c r="N69" s="21">
        <v>10</v>
      </c>
      <c r="O69" s="21">
        <v>12</v>
      </c>
      <c r="U69" s="4" t="s">
        <v>167</v>
      </c>
      <c r="V69" s="5">
        <v>64923.189465983909</v>
      </c>
      <c r="W69" s="18">
        <v>750839.42940746166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5"/>
        <v>424323.335771763</v>
      </c>
      <c r="L70" s="22">
        <f>SUMIF(Table14[Party], B70, Table14[Credit])</f>
        <v>424323</v>
      </c>
      <c r="M70" s="37">
        <f t="shared" si="7"/>
        <v>0.33577176299877465</v>
      </c>
      <c r="U70" s="4" t="s">
        <v>169</v>
      </c>
      <c r="V70" s="5">
        <v>0</v>
      </c>
      <c r="W70" s="18">
        <v>0</v>
      </c>
    </row>
    <row r="71" spans="2:23"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5"/>
        <v>339383.68690563279</v>
      </c>
      <c r="L71" s="22">
        <f>SUMIF(Table14[Party], B71, Table14[Credit])</f>
        <v>337000</v>
      </c>
      <c r="M71" s="37">
        <f t="shared" si="7"/>
        <v>2383.6869056327851</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5"/>
        <v>124561.08266276518</v>
      </c>
      <c r="L72" s="22">
        <f>SUMIF(Table14[Party], B72, Table14[Credit])</f>
        <v>124560</v>
      </c>
      <c r="M72" s="37">
        <f t="shared" si="7"/>
        <v>1.0826627651840681</v>
      </c>
      <c r="U72" s="4" t="s">
        <v>177</v>
      </c>
      <c r="V72" s="5">
        <v>0</v>
      </c>
      <c r="W72" s="18">
        <v>0</v>
      </c>
    </row>
    <row r="73" spans="2:23"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5"/>
        <v>0</v>
      </c>
      <c r="L73" s="22">
        <f>SUMIF(Table14[Party], B73, Table14[Credit])</f>
        <v>0</v>
      </c>
      <c r="M73" s="37">
        <f t="shared" si="7"/>
        <v>0</v>
      </c>
      <c r="U73" s="4" t="s">
        <v>179</v>
      </c>
      <c r="V73" s="5">
        <v>0</v>
      </c>
      <c r="W73" s="18">
        <v>0</v>
      </c>
    </row>
    <row r="74" spans="2:23"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5"/>
        <v>0</v>
      </c>
      <c r="L74" s="22">
        <f>SUMIF(Table14[Party], B74, Table14[Credit])</f>
        <v>0</v>
      </c>
      <c r="M74" s="37">
        <f t="shared" si="7"/>
        <v>0</v>
      </c>
      <c r="U74" s="4" t="s">
        <v>184</v>
      </c>
      <c r="V74" s="5">
        <v>158748.17117776154</v>
      </c>
      <c r="W74" s="18">
        <v>1904978.0541331386</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5"/>
        <v>0</v>
      </c>
      <c r="L75" s="22">
        <f>SUMIF(Table14[Party], B75, Table14[Credit])</f>
        <v>0</v>
      </c>
      <c r="M75" s="37">
        <f t="shared" si="7"/>
        <v>0</v>
      </c>
      <c r="U75" s="4" t="s">
        <v>28</v>
      </c>
      <c r="V75" s="14">
        <v>1087639.9049012437</v>
      </c>
      <c r="W75" s="14">
        <v>11730879.66349671</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5"/>
        <v>0</v>
      </c>
      <c r="L76" s="22">
        <f>SUMIF(Table14[Party], B76, Table14[Credit])</f>
        <v>0</v>
      </c>
      <c r="M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5"/>
        <v>0</v>
      </c>
      <c r="L77" s="22">
        <f>SUMIF(Table14[Party], B77, Table14[Credit])</f>
        <v>0</v>
      </c>
      <c r="M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5"/>
        <v>0</v>
      </c>
      <c r="L78" s="22">
        <f>SUMIF(Table14[Party], B78, Table14[Credit])</f>
        <v>0</v>
      </c>
      <c r="M78" s="37">
        <f t="shared" si="7"/>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7">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8">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7"/>
  <sheetViews>
    <sheetView topLeftCell="A4"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7">_xlfn.UNIQUE(Table1[Party Name])</f>
        <v>BSC</v>
      </c>
    </row>
    <row r="5" spans="2:10" x14ac:dyDescent="0.3">
      <c r="J5" t="str">
        <v>Ejaz Sahab</v>
      </c>
    </row>
    <row r="6" spans="2:10" ht="21" x14ac:dyDescent="0.4">
      <c r="B6" s="64" t="s">
        <v>196</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39842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36431.967812728602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31409.107534747625</v>
      </c>
      <c r="E14" s="66">
        <f ca="1">Table21[[#This Row],[gazana]]*Table21[[#This Row],[Rate]]</f>
        <v>376909.29041697149</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376909.29041697149</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OFFSET(Billing!AB5, 0, 0, ROWS(_xlfn.ANCHORARRAY(Billing!Q5))),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OFFSET(Billing!AC5, 0, 0, ROWS(_xlfn.ANCHORARRAY(Billing!Q5))), "Not Found")</f>
        <v>468592.72128749092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sheetData>
  <conditionalFormatting sqref="E20">
    <cfRule type="cellIs" dxfId="32" priority="1" operator="lessThan">
      <formula>20000</formula>
    </cfRule>
    <cfRule type="cellIs" dxfId="3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5816340</v>
      </c>
      <c r="D4" t="s">
        <v>219</v>
      </c>
    </row>
    <row r="5" spans="1:4" x14ac:dyDescent="0.3">
      <c r="B5" t="s">
        <v>48</v>
      </c>
      <c r="C5" s="11">
        <f>SUM(Table8[Price])+Table2325[[#Totals],[total]]</f>
        <v>1241770</v>
      </c>
    </row>
    <row r="6" spans="1:4" x14ac:dyDescent="0.3">
      <c r="B6" t="s">
        <v>49</v>
      </c>
      <c r="C6" s="11">
        <f>SUM(Table2[Price])+Finish!J30</f>
        <v>852000</v>
      </c>
      <c r="D6" t="s">
        <v>218</v>
      </c>
    </row>
    <row r="7" spans="1:4" x14ac:dyDescent="0.3">
      <c r="B7" t="s">
        <v>50</v>
      </c>
      <c r="C7" s="11">
        <f>SUMIFS(Table14[Debit], Table14[Party],Table12[[#This Row],[Type]])</f>
        <v>14620</v>
      </c>
    </row>
    <row r="8" spans="1:4" x14ac:dyDescent="0.3">
      <c r="B8" t="s">
        <v>51</v>
      </c>
      <c r="C8" s="11">
        <f>Electricity!E3</f>
        <v>0</v>
      </c>
    </row>
    <row r="9" spans="1:4" x14ac:dyDescent="0.3">
      <c r="B9" t="s">
        <v>52</v>
      </c>
      <c r="C9" s="11">
        <f>SUMIFS(Table14[Debit], Table14[Party],Table12[[#This Row],[Type]])+SUMIFS(Table14[Debit], Table14[Party],"Advance Salary")</f>
        <v>648850</v>
      </c>
    </row>
    <row r="10" spans="1:4" x14ac:dyDescent="0.3">
      <c r="B10" t="s">
        <v>53</v>
      </c>
      <c r="C10" s="11">
        <f>Table5[[#Totals],[Amount]]</f>
        <v>125170</v>
      </c>
    </row>
    <row r="11" spans="1:4" x14ac:dyDescent="0.3">
      <c r="B11" t="s">
        <v>54</v>
      </c>
      <c r="C11" s="11">
        <f>Table13[[#Totals],[Debit]]</f>
        <v>152560</v>
      </c>
    </row>
    <row r="12" spans="1:4" x14ac:dyDescent="0.3">
      <c r="B12" t="s">
        <v>55</v>
      </c>
      <c r="C12" s="11">
        <f>Table15[[#Totals],[Amount]]</f>
        <v>303120</v>
      </c>
    </row>
    <row r="13" spans="1:4" x14ac:dyDescent="0.3">
      <c r="C13" s="11"/>
    </row>
    <row r="14" spans="1:4" x14ac:dyDescent="0.3">
      <c r="C14" s="14">
        <f>SUM(Table12[Amount])</f>
        <v>9154430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15639115.764447697</v>
      </c>
    </row>
    <row r="4" spans="1:3" x14ac:dyDescent="0.3">
      <c r="B4" s="11" t="s">
        <v>44</v>
      </c>
      <c r="C4" s="11">
        <f>Table12[[#Totals],[Amount]]</f>
        <v>9154430</v>
      </c>
    </row>
    <row r="5" spans="1:3" x14ac:dyDescent="0.3">
      <c r="A5" s="6"/>
      <c r="B5" s="15" t="s">
        <v>68</v>
      </c>
      <c r="C5" s="15">
        <f>C3-C4</f>
        <v>6484685.7644476965</v>
      </c>
    </row>
    <row r="10" spans="1:3" ht="15" thickBot="1" x14ac:dyDescent="0.35">
      <c r="B10" t="s">
        <v>66</v>
      </c>
      <c r="C10" s="14" t="s">
        <v>67</v>
      </c>
    </row>
    <row r="11" spans="1:3" x14ac:dyDescent="0.3">
      <c r="B11" s="56" t="s">
        <v>0</v>
      </c>
      <c r="C11" s="57">
        <f>C3</f>
        <v>15639115.764447697</v>
      </c>
    </row>
    <row r="12" spans="1:3" x14ac:dyDescent="0.3">
      <c r="B12" s="58" t="s">
        <v>69</v>
      </c>
      <c r="C12" s="59">
        <f>SUM(Table14[Credit])</f>
        <v>14948730</v>
      </c>
    </row>
    <row r="13" spans="1:3" ht="15" thickBot="1" x14ac:dyDescent="0.35">
      <c r="B13" s="74" t="s">
        <v>94</v>
      </c>
      <c r="C13" s="73">
        <f>(C11-C12)</f>
        <v>690385.76444769651</v>
      </c>
    </row>
    <row r="14" spans="1:3" ht="15" thickBot="1" x14ac:dyDescent="0.35">
      <c r="B14" s="58"/>
      <c r="C14" s="59"/>
    </row>
    <row r="15" spans="1:3" x14ac:dyDescent="0.3">
      <c r="B15" s="56" t="s">
        <v>44</v>
      </c>
      <c r="C15" s="57">
        <f>C4</f>
        <v>9154430</v>
      </c>
    </row>
    <row r="16" spans="1:3" x14ac:dyDescent="0.3">
      <c r="B16" s="58" t="s">
        <v>70</v>
      </c>
      <c r="C16" s="59">
        <f>SUM(Table14[Debit])</f>
        <v>14670549</v>
      </c>
    </row>
    <row r="17" spans="2:6" ht="15" thickBot="1" x14ac:dyDescent="0.35">
      <c r="B17" s="74" t="s">
        <v>71</v>
      </c>
      <c r="C17" s="73">
        <f>C15-C16</f>
        <v>-5516119</v>
      </c>
    </row>
    <row r="18" spans="2:6" ht="15" thickBot="1" x14ac:dyDescent="0.35">
      <c r="B18" s="58"/>
      <c r="C18" s="59"/>
    </row>
    <row r="19" spans="2:6" ht="15" thickBot="1" x14ac:dyDescent="0.35">
      <c r="B19" s="75" t="s">
        <v>72</v>
      </c>
      <c r="C19" s="76">
        <f>Table18[[#Totals],[amount]]</f>
        <v>278431</v>
      </c>
    </row>
    <row r="20" spans="2:6" ht="15" thickBot="1" x14ac:dyDescent="0.35">
      <c r="B20" s="71"/>
      <c r="C20" s="72"/>
    </row>
    <row r="21" spans="2:6" ht="15" thickBot="1" x14ac:dyDescent="0.35">
      <c r="B21" s="60" t="s">
        <v>73</v>
      </c>
      <c r="C21" s="61">
        <f>(C13-C17)+C19</f>
        <v>6484935.7644476965</v>
      </c>
      <c r="E21" s="79" t="s">
        <v>74</v>
      </c>
      <c r="F21" s="80">
        <f>C5*0.05</f>
        <v>324234.28822238487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152560</v>
      </c>
      <c r="E38">
        <f>SUBTOTAL(109,Table13[Credit])</f>
        <v>0</v>
      </c>
      <c r="F38">
        <f>Table13[[#Totals],[Debit]]-Table13[[#Totals],[Credit]]</f>
        <v>152560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0"/>
  <sheetViews>
    <sheetView topLeftCell="A200" zoomScale="91" zoomScaleNormal="82" workbookViewId="0">
      <selection activeCell="G209" sqref="G20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18.210231785764165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18.210231785764165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14.606391470011204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18.210231785764165</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14.606391470011204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c r="E160" s="11"/>
      <c r="F160" s="11"/>
      <c r="G160" s="11"/>
      <c r="H160" s="133" t="e">
        <f>_xlfn.XLOOKUP(Table1[[#This Row],[Shipment Number]], 'pivot '!A:A,'pivot '!G:G, "NF")</f>
        <v>#DIV/0!</v>
      </c>
      <c r="I160" s="111">
        <f>Table1[[#This Row],[Tiyaar/gaz]]/1.0936</f>
        <v>0</v>
      </c>
      <c r="J160" s="99"/>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14.606391470011204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v>38741</v>
      </c>
      <c r="G176" s="11">
        <v>2146</v>
      </c>
      <c r="H176" s="133">
        <f>_xlfn.XLOOKUP(Table1[[#This Row],[Shipment Number]], 'pivot '!A:A,'pivot '!G:G, "NF")</f>
        <v>18.210231785764165</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63.783544033593046</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v>38741</v>
      </c>
      <c r="G193" s="11">
        <v>3196</v>
      </c>
      <c r="H193" s="133">
        <f>_xlfn.XLOOKUP(Table1[[#This Row],[Shipment Number]], 'pivot '!A:A,'pivot '!G:G, "NF")</f>
        <v>18.210231785764165</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v>38741</v>
      </c>
      <c r="G207" s="11">
        <v>8497</v>
      </c>
      <c r="H207" s="133">
        <f>_xlfn.XLOOKUP(Table1[[#This Row],[Shipment Number]], 'pivot '!A:A,'pivot '!G:G, "NF")</f>
        <v>18.210231785764165</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c r="B210"/>
      <c r="C210"/>
      <c r="D210"/>
      <c r="E210" s="14"/>
      <c r="F210" s="14"/>
      <c r="G210" s="14"/>
      <c r="H210" s="43"/>
      <c r="I210" s="94" cm="1">
        <f t="array" aca="1" ref="I210" ca="1">SUMPRODUCT( SUBTOTAL(109, OFFSET(Table1[tiyar/meters], ROW(Table1[tiyar/meters])-MIN(ROW(Table1[tiyar/meters])), 0, 1)), --(Table1[Bill Number]&lt;&gt;"October Closing CF") )</f>
        <v>1435963.7893196784</v>
      </c>
      <c r="J210" s="43" cm="1">
        <f t="array" aca="1" ref="J210" ca="1">SUMPRODUCT( SUBTOTAL(109, OFFSET(Table1[billing], ROW(Table1[billing])-MIN(ROW(Table1[billing])), 0, 1)), --(Table1[Bill Number]&lt;&gt;"October Closing CF") )</f>
        <v>15823951.17044623</v>
      </c>
      <c r="K210" s="14">
        <f>SUMIFS(Table1[billing], Table1[Bill Number], "&lt;&gt;October Closing CF")</f>
        <v>15823951.17044623</v>
      </c>
    </row>
  </sheetData>
  <phoneticPr fontId="7" alignment="center"/>
  <conditionalFormatting sqref="H2:H209">
    <cfRule type="cellIs" dxfId="3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1"/>
  <sheetViews>
    <sheetView topLeftCell="C21" zoomScale="145" zoomScaleNormal="90" workbookViewId="0">
      <selection activeCell="C45" sqref="C4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5249340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c r="I43" s="11">
        <f>(D43*E43)-Table3[[#This Row],[Paid]]</f>
        <v>154710</v>
      </c>
      <c r="L43" s="26">
        <v>45994</v>
      </c>
      <c r="M43" s="14">
        <v>225</v>
      </c>
      <c r="N43" s="14">
        <v>186750</v>
      </c>
      <c r="O43" s="14">
        <v>300768</v>
      </c>
      <c r="P43" s="14">
        <v>-114018</v>
      </c>
    </row>
    <row r="44" spans="1:16"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46001</v>
      </c>
      <c r="D52" s="11"/>
      <c r="E52" s="11"/>
      <c r="F52" s="11"/>
      <c r="G52" s="11">
        <f t="shared" si="10"/>
        <v>0</v>
      </c>
      <c r="H52" s="11"/>
      <c r="I52" s="11">
        <f>(D52*E52)-Table3[[#This Row],[Paid]]</f>
        <v>0</v>
      </c>
      <c r="L52" s="42" t="s">
        <v>376</v>
      </c>
      <c r="M52" s="14">
        <v>139</v>
      </c>
      <c r="N52" s="14">
        <v>80620</v>
      </c>
      <c r="O52" s="14"/>
      <c r="P52" s="14">
        <v>80620</v>
      </c>
    </row>
    <row r="53" spans="1:16" x14ac:dyDescent="0.3">
      <c r="A53" s="1"/>
      <c r="D53" s="14"/>
      <c r="E53" s="14"/>
      <c r="F53" s="14"/>
      <c r="G53" s="14">
        <f>SUBTOTAL(109,Table3[Total])</f>
        <v>5249340</v>
      </c>
      <c r="H53" s="14">
        <f>SUBTOTAL(109,Table3[Paid])</f>
        <v>5335363</v>
      </c>
      <c r="I53" s="14">
        <f>SUBTOTAL(109,Table3[balance])</f>
        <v>3238430</v>
      </c>
      <c r="L53" s="26">
        <v>45997</v>
      </c>
      <c r="M53" s="14">
        <v>828</v>
      </c>
      <c r="N53" s="14">
        <v>581890</v>
      </c>
      <c r="O53" s="14">
        <v>629010</v>
      </c>
      <c r="P53" s="14">
        <v>-47120</v>
      </c>
    </row>
    <row r="54" spans="1:16" x14ac:dyDescent="0.3">
      <c r="L54" s="42" t="s">
        <v>104</v>
      </c>
      <c r="M54" s="14"/>
      <c r="N54" s="14">
        <v>0</v>
      </c>
      <c r="O54" s="14">
        <v>50000</v>
      </c>
      <c r="P54" s="14">
        <v>-50000</v>
      </c>
    </row>
    <row r="55" spans="1:16" x14ac:dyDescent="0.3">
      <c r="L55" s="42" t="s">
        <v>374</v>
      </c>
      <c r="M55" s="14">
        <v>188</v>
      </c>
      <c r="N55" s="14">
        <v>152280</v>
      </c>
      <c r="O55" s="14">
        <v>128500</v>
      </c>
      <c r="P55" s="14">
        <v>23780</v>
      </c>
    </row>
    <row r="56" spans="1:16" x14ac:dyDescent="0.3">
      <c r="L56" s="42" t="s">
        <v>372</v>
      </c>
      <c r="M56" s="14">
        <v>61</v>
      </c>
      <c r="N56" s="14">
        <v>49410</v>
      </c>
      <c r="O56" s="14">
        <v>200510</v>
      </c>
      <c r="P56" s="14">
        <v>-151100</v>
      </c>
    </row>
    <row r="57" spans="1:16" x14ac:dyDescent="0.3">
      <c r="L57" s="42" t="s">
        <v>373</v>
      </c>
      <c r="M57" s="14">
        <v>134</v>
      </c>
      <c r="N57" s="14">
        <v>77720</v>
      </c>
      <c r="O57" s="14">
        <v>150000</v>
      </c>
      <c r="P57" s="14">
        <v>-72280</v>
      </c>
    </row>
    <row r="58" spans="1:16" x14ac:dyDescent="0.3">
      <c r="L58" s="42">
        <v>8618</v>
      </c>
      <c r="M58" s="14">
        <v>317</v>
      </c>
      <c r="N58" s="14">
        <v>228240</v>
      </c>
      <c r="O58" s="14">
        <v>100000</v>
      </c>
      <c r="P58" s="14">
        <v>128240</v>
      </c>
    </row>
    <row r="59" spans="1:16" x14ac:dyDescent="0.3">
      <c r="L59" s="42" t="s">
        <v>98</v>
      </c>
      <c r="M59" s="14">
        <v>128</v>
      </c>
      <c r="N59" s="14">
        <v>74240</v>
      </c>
      <c r="O59" s="14"/>
      <c r="P59" s="14">
        <v>74240</v>
      </c>
    </row>
    <row r="60" spans="1:16" x14ac:dyDescent="0.3">
      <c r="L60" s="26">
        <v>45998</v>
      </c>
      <c r="M60" s="14">
        <v>337</v>
      </c>
      <c r="N60" s="14">
        <v>239390</v>
      </c>
      <c r="O60" s="14"/>
      <c r="P60" s="14">
        <v>239390</v>
      </c>
    </row>
    <row r="61" spans="1:16" x14ac:dyDescent="0.3">
      <c r="L61" s="42" t="s">
        <v>98</v>
      </c>
      <c r="M61" s="14">
        <v>146</v>
      </c>
      <c r="N61" s="14">
        <v>84680</v>
      </c>
      <c r="O61" s="14"/>
      <c r="P61" s="14">
        <v>84680</v>
      </c>
    </row>
    <row r="62" spans="1:16" x14ac:dyDescent="0.3">
      <c r="L62" s="42" t="s">
        <v>384</v>
      </c>
      <c r="M62" s="14">
        <v>191</v>
      </c>
      <c r="N62" s="14">
        <v>154710</v>
      </c>
      <c r="O62" s="14"/>
      <c r="P62" s="14">
        <v>154710</v>
      </c>
    </row>
    <row r="63" spans="1:16" x14ac:dyDescent="0.3">
      <c r="L63" s="26">
        <v>45999</v>
      </c>
      <c r="M63" s="14">
        <v>172</v>
      </c>
      <c r="N63" s="14">
        <v>99760</v>
      </c>
      <c r="O63" s="14">
        <v>120000</v>
      </c>
      <c r="P63" s="14">
        <v>-20240</v>
      </c>
    </row>
    <row r="64" spans="1:16" x14ac:dyDescent="0.3">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104</v>
      </c>
      <c r="M66" s="14"/>
      <c r="N66" s="14">
        <v>0</v>
      </c>
      <c r="O66" s="14">
        <v>370050</v>
      </c>
      <c r="P66" s="14">
        <v>-370050</v>
      </c>
    </row>
    <row r="67" spans="12:16" x14ac:dyDescent="0.3">
      <c r="L67" s="42" t="s">
        <v>374</v>
      </c>
      <c r="M67" s="14">
        <v>170</v>
      </c>
      <c r="N67" s="14">
        <v>137700</v>
      </c>
      <c r="O67" s="14">
        <v>100000</v>
      </c>
      <c r="P67" s="14">
        <v>37700</v>
      </c>
    </row>
    <row r="68" spans="12:16" x14ac:dyDescent="0.3">
      <c r="L68" s="42" t="s">
        <v>376</v>
      </c>
      <c r="M68" s="14">
        <v>138</v>
      </c>
      <c r="N68" s="14">
        <v>80040</v>
      </c>
      <c r="O68" s="14">
        <v>0</v>
      </c>
      <c r="P68" s="14">
        <v>80040</v>
      </c>
    </row>
    <row r="69" spans="12:16" x14ac:dyDescent="0.3">
      <c r="L69" s="26">
        <v>46001</v>
      </c>
      <c r="M69" s="14"/>
      <c r="N69" s="14">
        <v>0</v>
      </c>
      <c r="O69" s="14">
        <v>227000</v>
      </c>
      <c r="P69" s="14">
        <v>-227000</v>
      </c>
    </row>
    <row r="70" spans="12:16" x14ac:dyDescent="0.3">
      <c r="L70" s="42" t="s">
        <v>104</v>
      </c>
      <c r="M70" s="14"/>
      <c r="N70" s="14">
        <v>0</v>
      </c>
      <c r="O70" s="14">
        <v>227000</v>
      </c>
      <c r="P70" s="14">
        <v>-227000</v>
      </c>
    </row>
    <row r="71" spans="12:16" x14ac:dyDescent="0.3">
      <c r="L71" s="26" t="s">
        <v>28</v>
      </c>
      <c r="M71" s="14">
        <v>6858</v>
      </c>
      <c r="N71" s="14">
        <v>5249340</v>
      </c>
      <c r="O71" s="14">
        <v>5335363</v>
      </c>
      <c r="P71" s="14">
        <v>3238430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67"/>
  <sheetViews>
    <sheetView tabSelected="1" topLeftCell="A363" zoomScale="104" workbookViewId="0">
      <selection activeCell="E335" sqref="E33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14670549</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14948730</v>
      </c>
      <c r="M5" s="45" t="s">
        <v>109</v>
      </c>
      <c r="N5" s="46">
        <f>(SUMIFS(Table14[Credit],Table14[Mode],"Bank")-SUMIFS(Table14[Debit],Table14[Mode],"Bank")-SUMIFS(Table14[Withdrawal],Table14[Mode],"Transfer"))</f>
        <v>889347</v>
      </c>
      <c r="O5">
        <v>360000</v>
      </c>
    </row>
    <row r="6" spans="1:16" x14ac:dyDescent="0.3">
      <c r="A6" s="38">
        <v>45980</v>
      </c>
      <c r="B6" t="s">
        <v>206</v>
      </c>
      <c r="C6" s="97">
        <v>2000</v>
      </c>
      <c r="D6" s="97"/>
      <c r="E6" t="s">
        <v>207</v>
      </c>
      <c r="F6" s="124" t="s">
        <v>110</v>
      </c>
      <c r="J6" s="52" t="s">
        <v>43</v>
      </c>
      <c r="K6" s="53">
        <f>(K5-K4)</f>
        <v>278181</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278431</v>
      </c>
      <c r="O7" s="90">
        <f>SUM(O5,O6)</f>
        <v>410000</v>
      </c>
      <c r="P7" s="14">
        <f>Table18[[#Totals],[amount]]-Table18[[#Totals],[Actual]]</f>
        <v>-131569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492000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3708413</v>
      </c>
    </row>
    <row r="169" spans="1:12" x14ac:dyDescent="0.3">
      <c r="A169" s="125">
        <v>45988</v>
      </c>
      <c r="B169" t="s">
        <v>183</v>
      </c>
      <c r="C169" s="11">
        <v>1000</v>
      </c>
      <c r="D169" s="11"/>
      <c r="F169" s="124" t="s">
        <v>109</v>
      </c>
      <c r="J169" s="4" t="s">
        <v>247</v>
      </c>
      <c r="K169" s="14"/>
      <c r="L169" s="14">
        <v>14620</v>
      </c>
    </row>
    <row r="170" spans="1:12" x14ac:dyDescent="0.3">
      <c r="A170" s="125">
        <v>45989</v>
      </c>
      <c r="B170" t="s">
        <v>247</v>
      </c>
      <c r="C170" s="11">
        <v>500</v>
      </c>
      <c r="D170" s="11"/>
      <c r="E170" t="s">
        <v>309</v>
      </c>
      <c r="F170" s="124" t="s">
        <v>109</v>
      </c>
      <c r="J170" s="4" t="s">
        <v>55</v>
      </c>
      <c r="K170" s="14"/>
      <c r="L170" s="14">
        <v>303120</v>
      </c>
    </row>
    <row r="171" spans="1:12" x14ac:dyDescent="0.3">
      <c r="A171" s="125">
        <v>45990</v>
      </c>
      <c r="B171" t="s">
        <v>183</v>
      </c>
      <c r="C171" s="11"/>
      <c r="D171" s="11">
        <v>10310</v>
      </c>
      <c r="E171" t="s">
        <v>114</v>
      </c>
      <c r="F171" s="124" t="s">
        <v>109</v>
      </c>
      <c r="J171" s="4" t="s">
        <v>114</v>
      </c>
      <c r="K171" s="14"/>
      <c r="L171" s="14">
        <v>125170</v>
      </c>
    </row>
    <row r="172" spans="1:12" x14ac:dyDescent="0.3">
      <c r="A172" s="125">
        <v>45990</v>
      </c>
      <c r="B172" t="s">
        <v>114</v>
      </c>
      <c r="C172" s="11">
        <v>10310</v>
      </c>
      <c r="D172" s="11"/>
      <c r="E172" t="s">
        <v>311</v>
      </c>
      <c r="F172" s="124" t="s">
        <v>109</v>
      </c>
      <c r="J172" s="4" t="s">
        <v>212</v>
      </c>
      <c r="K172" s="14"/>
      <c r="L172" s="14">
        <v>151850</v>
      </c>
    </row>
    <row r="173" spans="1:12" x14ac:dyDescent="0.3">
      <c r="A173" s="125">
        <v>45990</v>
      </c>
      <c r="B173" t="s">
        <v>54</v>
      </c>
      <c r="C173" s="11">
        <v>16100</v>
      </c>
      <c r="D173" s="11"/>
      <c r="E173" t="s">
        <v>232</v>
      </c>
      <c r="F173" s="124" t="s">
        <v>109</v>
      </c>
      <c r="J173" s="4" t="s">
        <v>54</v>
      </c>
      <c r="K173" s="14"/>
      <c r="L173" s="14">
        <v>152560</v>
      </c>
    </row>
    <row r="174" spans="1:12" x14ac:dyDescent="0.3">
      <c r="A174" s="125">
        <v>45990</v>
      </c>
      <c r="B174" t="s">
        <v>54</v>
      </c>
      <c r="C174" s="11">
        <v>3000</v>
      </c>
      <c r="D174" s="11"/>
      <c r="E174" t="s">
        <v>232</v>
      </c>
      <c r="F174" s="124" t="s">
        <v>109</v>
      </c>
      <c r="J174" s="4" t="s">
        <v>186</v>
      </c>
      <c r="K174" s="14"/>
      <c r="L174" s="14">
        <v>130270</v>
      </c>
    </row>
    <row r="175" spans="1:12" x14ac:dyDescent="0.3">
      <c r="A175" s="125">
        <v>45990</v>
      </c>
      <c r="B175" t="s">
        <v>21</v>
      </c>
      <c r="C175" s="11"/>
      <c r="D175" s="11">
        <v>13500</v>
      </c>
      <c r="E175" t="s">
        <v>232</v>
      </c>
      <c r="F175" s="124" t="s">
        <v>109</v>
      </c>
      <c r="J175" s="4" t="s">
        <v>397</v>
      </c>
      <c r="K175" s="14"/>
      <c r="L175" s="14">
        <v>2000</v>
      </c>
    </row>
    <row r="176" spans="1:12" x14ac:dyDescent="0.3">
      <c r="A176" s="125">
        <v>45990</v>
      </c>
      <c r="B176" t="s">
        <v>21</v>
      </c>
      <c r="C176" s="11"/>
      <c r="D176" s="11">
        <v>19000</v>
      </c>
      <c r="E176" t="s">
        <v>290</v>
      </c>
      <c r="F176" s="124" t="s">
        <v>109</v>
      </c>
      <c r="J176" s="4" t="s">
        <v>183</v>
      </c>
      <c r="K176" s="14">
        <v>127092</v>
      </c>
      <c r="L176" s="14">
        <v>14670</v>
      </c>
    </row>
    <row r="177" spans="1:12" x14ac:dyDescent="0.3">
      <c r="A177" s="125">
        <v>45990</v>
      </c>
      <c r="B177" t="s">
        <v>220</v>
      </c>
      <c r="C177" s="97">
        <v>20000</v>
      </c>
      <c r="D177" s="97"/>
      <c r="E177" t="s">
        <v>290</v>
      </c>
      <c r="F177" s="124" t="s">
        <v>109</v>
      </c>
      <c r="J177" s="4" t="s">
        <v>227</v>
      </c>
      <c r="K177" s="14">
        <v>500000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1353061</v>
      </c>
      <c r="L179" s="14"/>
    </row>
    <row r="180" spans="1:12" x14ac:dyDescent="0.3">
      <c r="A180" s="125">
        <v>45990</v>
      </c>
      <c r="B180" t="s">
        <v>237</v>
      </c>
      <c r="C180" s="11"/>
      <c r="D180" s="11">
        <v>260000</v>
      </c>
      <c r="F180" s="124" t="s">
        <v>109</v>
      </c>
      <c r="J180" s="4" t="s">
        <v>27</v>
      </c>
      <c r="K180" s="14">
        <v>505980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100000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1705000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327000</v>
      </c>
    </row>
    <row r="188" spans="1:12" x14ac:dyDescent="0.3">
      <c r="A188" s="125">
        <v>45990</v>
      </c>
      <c r="B188" t="s">
        <v>212</v>
      </c>
      <c r="C188" s="11">
        <v>1000</v>
      </c>
      <c r="D188" s="11"/>
      <c r="E188" t="s">
        <v>316</v>
      </c>
      <c r="F188" s="124" t="s">
        <v>109</v>
      </c>
      <c r="J188" s="4" t="s">
        <v>178</v>
      </c>
      <c r="K188" s="14"/>
      <c r="L188" s="14">
        <v>200000</v>
      </c>
    </row>
    <row r="189" spans="1:12" x14ac:dyDescent="0.3">
      <c r="A189" s="125">
        <v>45990</v>
      </c>
      <c r="B189" t="s">
        <v>183</v>
      </c>
      <c r="C189" s="11"/>
      <c r="D189" s="11">
        <v>1000</v>
      </c>
      <c r="E189" t="s">
        <v>317</v>
      </c>
      <c r="F189" s="124" t="s">
        <v>109</v>
      </c>
      <c r="J189" s="4" t="s">
        <v>237</v>
      </c>
      <c r="K189" s="14">
        <v>2285500</v>
      </c>
      <c r="L189" s="14">
        <v>4226426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945900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60000</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v>16200</v>
      </c>
      <c r="L200" s="14">
        <v>35000</v>
      </c>
    </row>
    <row r="201" spans="1:12" x14ac:dyDescent="0.3">
      <c r="A201" s="38">
        <v>45992</v>
      </c>
      <c r="B201" t="s">
        <v>186</v>
      </c>
      <c r="C201" s="11">
        <v>3000</v>
      </c>
      <c r="D201" s="11"/>
      <c r="E201" t="s">
        <v>209</v>
      </c>
      <c r="F201" s="124" t="s">
        <v>109</v>
      </c>
      <c r="J201" s="4" t="s">
        <v>297</v>
      </c>
      <c r="K201" s="14">
        <v>337000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1103325</v>
      </c>
      <c r="L203" s="14"/>
    </row>
    <row r="204" spans="1:12" x14ac:dyDescent="0.3">
      <c r="A204" s="38">
        <v>45992</v>
      </c>
      <c r="B204" t="s">
        <v>297</v>
      </c>
      <c r="C204" s="11"/>
      <c r="D204" s="11">
        <v>30000</v>
      </c>
      <c r="F204" s="124" t="s">
        <v>109</v>
      </c>
      <c r="J204" s="4" t="s">
        <v>356</v>
      </c>
      <c r="K204" s="14">
        <v>124560</v>
      </c>
      <c r="L204" s="14"/>
    </row>
    <row r="205" spans="1:12" x14ac:dyDescent="0.3">
      <c r="A205" s="38">
        <v>45992</v>
      </c>
      <c r="B205" t="s">
        <v>21</v>
      </c>
      <c r="C205" s="11"/>
      <c r="D205" s="11">
        <v>7750</v>
      </c>
      <c r="E205" t="s">
        <v>240</v>
      </c>
      <c r="F205" s="124" t="s">
        <v>109</v>
      </c>
      <c r="J205" s="4" t="s">
        <v>341</v>
      </c>
      <c r="K205" s="14"/>
      <c r="L205" s="14">
        <v>613950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392000</v>
      </c>
    </row>
    <row r="208" spans="1:12" x14ac:dyDescent="0.3">
      <c r="A208" s="38">
        <v>45992</v>
      </c>
      <c r="B208" t="s">
        <v>55</v>
      </c>
      <c r="C208" s="11">
        <v>7750</v>
      </c>
      <c r="D208" s="11"/>
      <c r="E208" t="s">
        <v>240</v>
      </c>
      <c r="F208" s="124" t="s">
        <v>109</v>
      </c>
      <c r="J208" s="4" t="s">
        <v>28</v>
      </c>
      <c r="K208" s="14">
        <v>14948730</v>
      </c>
      <c r="L208" s="14">
        <v>14765549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100000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6" x14ac:dyDescent="0.3">
      <c r="A321" s="38">
        <v>45999</v>
      </c>
      <c r="B321" t="s">
        <v>54</v>
      </c>
      <c r="C321" s="11">
        <v>5310</v>
      </c>
      <c r="D321" s="11"/>
      <c r="E321" t="s">
        <v>232</v>
      </c>
      <c r="F321" s="124" t="s">
        <v>109</v>
      </c>
    </row>
    <row r="322" spans="1:6"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x14ac:dyDescent="0.3">
      <c r="A324" s="125">
        <v>45999</v>
      </c>
      <c r="B324" t="s">
        <v>114</v>
      </c>
      <c r="C324" s="11">
        <v>400</v>
      </c>
      <c r="D324" s="11"/>
      <c r="E324" t="s">
        <v>383</v>
      </c>
      <c r="F324" s="124" t="s">
        <v>109</v>
      </c>
    </row>
    <row r="325" spans="1:6" x14ac:dyDescent="0.3">
      <c r="A325" s="38">
        <v>45999</v>
      </c>
      <c r="B325" t="s">
        <v>387</v>
      </c>
      <c r="C325" s="11"/>
      <c r="D325" s="11">
        <v>100000</v>
      </c>
      <c r="E325" t="s">
        <v>110</v>
      </c>
      <c r="F325" s="124" t="s">
        <v>109</v>
      </c>
    </row>
    <row r="326" spans="1:6" x14ac:dyDescent="0.3">
      <c r="A326" s="125">
        <v>46000</v>
      </c>
      <c r="B326" t="s">
        <v>371</v>
      </c>
      <c r="C326" s="11">
        <v>70000</v>
      </c>
      <c r="D326" s="11"/>
      <c r="E326" t="s">
        <v>263</v>
      </c>
      <c r="F326" s="124" t="s">
        <v>109</v>
      </c>
    </row>
    <row r="327" spans="1:6" x14ac:dyDescent="0.3">
      <c r="A327" s="125">
        <v>46000</v>
      </c>
      <c r="B327" t="s">
        <v>186</v>
      </c>
      <c r="C327" s="11">
        <v>13600</v>
      </c>
      <c r="D327" s="11"/>
      <c r="E327" t="s">
        <v>378</v>
      </c>
      <c r="F327" s="124" t="s">
        <v>109</v>
      </c>
    </row>
    <row r="328" spans="1:6" x14ac:dyDescent="0.3">
      <c r="A328" s="125">
        <v>46000</v>
      </c>
      <c r="B328" t="s">
        <v>54</v>
      </c>
      <c r="C328" s="97">
        <v>10500</v>
      </c>
      <c r="D328" s="97"/>
      <c r="E328" t="s">
        <v>232</v>
      </c>
      <c r="F328" s="124" t="s">
        <v>109</v>
      </c>
    </row>
    <row r="329" spans="1:6" x14ac:dyDescent="0.3">
      <c r="A329" s="125">
        <v>46000</v>
      </c>
      <c r="B329" t="s">
        <v>114</v>
      </c>
      <c r="C329" s="11">
        <v>20000</v>
      </c>
      <c r="D329" s="11"/>
      <c r="E329" t="s">
        <v>249</v>
      </c>
      <c r="F329" s="124" t="s">
        <v>109</v>
      </c>
    </row>
    <row r="330" spans="1:6" x14ac:dyDescent="0.3">
      <c r="A330" s="125">
        <v>46000</v>
      </c>
      <c r="B330" t="s">
        <v>332</v>
      </c>
      <c r="C330" s="11"/>
      <c r="D330" s="11">
        <v>250000</v>
      </c>
      <c r="F330" s="124" t="s">
        <v>109</v>
      </c>
    </row>
    <row r="331" spans="1:6" x14ac:dyDescent="0.3">
      <c r="A331" s="125">
        <v>46000</v>
      </c>
      <c r="B331" t="s">
        <v>95</v>
      </c>
      <c r="C331" s="11">
        <v>200050</v>
      </c>
      <c r="D331" s="11"/>
      <c r="E331" t="s">
        <v>389</v>
      </c>
      <c r="F331" s="124" t="s">
        <v>109</v>
      </c>
    </row>
    <row r="332" spans="1:6" x14ac:dyDescent="0.3">
      <c r="A332" s="125">
        <v>46000</v>
      </c>
      <c r="B332" t="s">
        <v>153</v>
      </c>
      <c r="C332" s="11"/>
      <c r="D332" s="11">
        <v>200000</v>
      </c>
      <c r="E332" t="s">
        <v>390</v>
      </c>
      <c r="F332" s="124" t="s">
        <v>109</v>
      </c>
    </row>
    <row r="333" spans="1:6" x14ac:dyDescent="0.3">
      <c r="A333" s="125">
        <v>46000</v>
      </c>
      <c r="B333" t="s">
        <v>153</v>
      </c>
      <c r="C333" s="11"/>
      <c r="D333" s="11">
        <v>100000</v>
      </c>
      <c r="E333" t="s">
        <v>263</v>
      </c>
      <c r="F333" s="124" t="s">
        <v>109</v>
      </c>
    </row>
    <row r="334" spans="1:6" x14ac:dyDescent="0.3">
      <c r="A334" s="125">
        <v>46000</v>
      </c>
      <c r="C334" s="11"/>
      <c r="D334" s="11"/>
      <c r="F334" s="124" t="s">
        <v>109</v>
      </c>
    </row>
    <row r="335" spans="1:6" x14ac:dyDescent="0.3">
      <c r="A335" s="125">
        <v>46000</v>
      </c>
      <c r="B335" t="s">
        <v>153</v>
      </c>
      <c r="C335" s="11"/>
      <c r="D335" s="11">
        <v>100000</v>
      </c>
      <c r="E335" t="s">
        <v>391</v>
      </c>
      <c r="F335" s="124" t="s">
        <v>109</v>
      </c>
    </row>
    <row r="336" spans="1:6" x14ac:dyDescent="0.3">
      <c r="A336" s="125">
        <v>46000</v>
      </c>
      <c r="B336" t="s">
        <v>55</v>
      </c>
      <c r="C336" s="97">
        <v>1300</v>
      </c>
      <c r="D336" s="97"/>
      <c r="E336" t="s">
        <v>392</v>
      </c>
      <c r="F336" s="124" t="s">
        <v>109</v>
      </c>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393</v>
      </c>
      <c r="F338" s="124" t="s">
        <v>109</v>
      </c>
    </row>
    <row r="339" spans="1:6" x14ac:dyDescent="0.3">
      <c r="A339" s="125">
        <v>46000</v>
      </c>
      <c r="B339" t="s">
        <v>55</v>
      </c>
      <c r="C339" s="11">
        <v>600</v>
      </c>
      <c r="D339" s="11"/>
      <c r="E339" t="s">
        <v>394</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395</v>
      </c>
      <c r="F342" s="124" t="s">
        <v>109</v>
      </c>
    </row>
    <row r="343" spans="1:6" x14ac:dyDescent="0.3">
      <c r="A343" s="125">
        <v>46000</v>
      </c>
      <c r="B343" t="s">
        <v>220</v>
      </c>
      <c r="C343" s="11">
        <v>5000</v>
      </c>
      <c r="D343" s="11"/>
      <c r="E343" t="s">
        <v>396</v>
      </c>
      <c r="F343" s="124" t="s">
        <v>109</v>
      </c>
    </row>
    <row r="344" spans="1:6" x14ac:dyDescent="0.3">
      <c r="A344" s="125">
        <v>46000</v>
      </c>
      <c r="B344" t="s">
        <v>397</v>
      </c>
      <c r="C344" s="11">
        <v>2000</v>
      </c>
      <c r="D344" s="11"/>
      <c r="E344" t="s">
        <v>251</v>
      </c>
      <c r="F344" s="124" t="s">
        <v>109</v>
      </c>
    </row>
    <row r="345" spans="1:6"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x14ac:dyDescent="0.3">
      <c r="A347" s="125">
        <v>46000</v>
      </c>
      <c r="B347" t="s">
        <v>21</v>
      </c>
      <c r="C347" s="11"/>
      <c r="D347" s="11">
        <v>6000</v>
      </c>
      <c r="E347" t="s">
        <v>400</v>
      </c>
      <c r="F347" s="124" t="s">
        <v>109</v>
      </c>
    </row>
    <row r="348" spans="1:6" x14ac:dyDescent="0.3">
      <c r="A348" s="125">
        <v>46000</v>
      </c>
      <c r="B348" t="s">
        <v>220</v>
      </c>
      <c r="C348" s="11">
        <v>6000</v>
      </c>
      <c r="D348" s="11"/>
      <c r="E348" t="s">
        <v>400</v>
      </c>
      <c r="F348" s="124" t="s">
        <v>109</v>
      </c>
    </row>
    <row r="349" spans="1:6" x14ac:dyDescent="0.3">
      <c r="A349" s="125">
        <v>46000</v>
      </c>
      <c r="B349" t="s">
        <v>381</v>
      </c>
      <c r="C349" s="11"/>
      <c r="D349" s="11">
        <v>16200</v>
      </c>
      <c r="E349" t="s">
        <v>391</v>
      </c>
      <c r="F349" s="88" t="s">
        <v>109</v>
      </c>
    </row>
    <row r="350" spans="1:6" x14ac:dyDescent="0.3">
      <c r="A350" s="125">
        <v>46001</v>
      </c>
      <c r="B350" t="s">
        <v>371</v>
      </c>
      <c r="C350" s="11">
        <v>102000</v>
      </c>
      <c r="D350" s="11"/>
      <c r="F350" s="124" t="s">
        <v>109</v>
      </c>
    </row>
    <row r="351" spans="1:6" x14ac:dyDescent="0.3">
      <c r="A351" s="125">
        <v>46001</v>
      </c>
      <c r="B351" t="s">
        <v>186</v>
      </c>
      <c r="C351" s="11">
        <v>13600</v>
      </c>
      <c r="D351" s="11"/>
      <c r="E351" t="s">
        <v>378</v>
      </c>
      <c r="F351" s="124" t="s">
        <v>109</v>
      </c>
    </row>
    <row r="352" spans="1:6" x14ac:dyDescent="0.3">
      <c r="A352" s="125">
        <v>46001</v>
      </c>
      <c r="B352" t="s">
        <v>186</v>
      </c>
      <c r="C352" s="11">
        <v>5000</v>
      </c>
      <c r="D352" s="11"/>
      <c r="E352" t="s">
        <v>401</v>
      </c>
      <c r="F352" s="124" t="s">
        <v>109</v>
      </c>
    </row>
    <row r="353" spans="1:6" x14ac:dyDescent="0.3">
      <c r="A353" s="125">
        <v>46001</v>
      </c>
      <c r="B353" t="s">
        <v>186</v>
      </c>
      <c r="C353" s="11">
        <v>250</v>
      </c>
      <c r="D353" s="11"/>
      <c r="F353" s="124"/>
    </row>
    <row r="354" spans="1:6" x14ac:dyDescent="0.3">
      <c r="A354" s="125">
        <v>46001</v>
      </c>
      <c r="B354" t="s">
        <v>332</v>
      </c>
      <c r="C354" s="11"/>
      <c r="D354" s="11">
        <v>150000</v>
      </c>
      <c r="E354" t="s">
        <v>332</v>
      </c>
      <c r="F354" s="124" t="s">
        <v>109</v>
      </c>
    </row>
    <row r="355" spans="1:6"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x14ac:dyDescent="0.3">
      <c r="A357" s="125">
        <v>46001</v>
      </c>
      <c r="B357" t="s">
        <v>153</v>
      </c>
      <c r="C357" s="11"/>
      <c r="D357" s="11">
        <v>150000</v>
      </c>
      <c r="E357" t="s">
        <v>263</v>
      </c>
      <c r="F357" s="124" t="s">
        <v>109</v>
      </c>
    </row>
    <row r="358" spans="1:6" x14ac:dyDescent="0.3">
      <c r="A358" s="125">
        <v>46001</v>
      </c>
      <c r="B358" t="s">
        <v>220</v>
      </c>
      <c r="C358" s="11">
        <v>5000</v>
      </c>
      <c r="D358" s="11"/>
      <c r="E358" t="s">
        <v>405</v>
      </c>
      <c r="F358" s="124" t="s">
        <v>109</v>
      </c>
    </row>
    <row r="359" spans="1:6" x14ac:dyDescent="0.3">
      <c r="A359" s="125">
        <v>46001</v>
      </c>
      <c r="C359" s="11"/>
      <c r="D359" s="11"/>
      <c r="F359" s="124"/>
    </row>
    <row r="360" spans="1:6" x14ac:dyDescent="0.3">
      <c r="A360" s="125">
        <v>46001</v>
      </c>
      <c r="C360" s="11"/>
      <c r="D360" s="11"/>
      <c r="F360" s="124"/>
    </row>
    <row r="361" spans="1:6" x14ac:dyDescent="0.3">
      <c r="A361" s="125">
        <v>46001</v>
      </c>
      <c r="C361" s="11"/>
      <c r="D361" s="11"/>
      <c r="F361" s="124"/>
    </row>
    <row r="362" spans="1:6" x14ac:dyDescent="0.3">
      <c r="A362" s="125">
        <v>46001</v>
      </c>
      <c r="C362" s="11"/>
      <c r="D362" s="11"/>
      <c r="F362" s="124"/>
    </row>
    <row r="363" spans="1:6" x14ac:dyDescent="0.3">
      <c r="A363" s="125">
        <v>46001</v>
      </c>
      <c r="C363" s="11"/>
      <c r="D363" s="11"/>
      <c r="F363" s="124"/>
    </row>
    <row r="364" spans="1:6" x14ac:dyDescent="0.3">
      <c r="A364" s="125">
        <v>46001</v>
      </c>
      <c r="C364" s="11"/>
      <c r="D364" s="11"/>
      <c r="F364" s="124"/>
    </row>
    <row r="365" spans="1:6" x14ac:dyDescent="0.3">
      <c r="A365" s="125">
        <v>46001</v>
      </c>
      <c r="C365" s="11"/>
      <c r="D365" s="11"/>
      <c r="F365" s="124"/>
    </row>
    <row r="366" spans="1:6" x14ac:dyDescent="0.3">
      <c r="A366" s="125">
        <v>46001</v>
      </c>
      <c r="C366" s="11"/>
      <c r="D366" s="11"/>
      <c r="F366" s="124"/>
    </row>
    <row r="367" spans="1:6" x14ac:dyDescent="0.3">
      <c r="A367" s="38"/>
      <c r="C367" s="14">
        <f>SUBTOTAL(109,Table14[Debit])</f>
        <v>14670549</v>
      </c>
      <c r="D367" s="14">
        <f>SUBTOTAL(109,Table14[Credit])</f>
        <v>14948730</v>
      </c>
      <c r="F367" s="54">
        <f>(Table14[[#Totals],[Credit]]-Table14[[#Totals],[Debit]])</f>
        <v>278181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4"/>
      <c r="M10" s="134">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4"/>
      <c r="M11" s="134">
        <v>0</v>
      </c>
    </row>
    <row r="12" spans="1:14" x14ac:dyDescent="0.3">
      <c r="A12" s="1">
        <v>45993</v>
      </c>
      <c r="B12" t="s">
        <v>336</v>
      </c>
      <c r="E12">
        <v>242450</v>
      </c>
      <c r="F12" t="s">
        <v>185</v>
      </c>
      <c r="G12">
        <f>SUMIFS(Table14[Debit], Table14[Date], Table8[[#This Row],[Date]], Table14[Party], Table8[[#This Row],[Party]])</f>
        <v>242450</v>
      </c>
      <c r="H12">
        <f>Table8[[#This Row],[Price]]-Table8[[#This Row],[Paid]]</f>
        <v>0</v>
      </c>
      <c r="K12" s="26">
        <v>45981</v>
      </c>
      <c r="L12" s="134">
        <v>141950</v>
      </c>
      <c r="M12" s="134">
        <v>0</v>
      </c>
    </row>
    <row r="13" spans="1:14" x14ac:dyDescent="0.3">
      <c r="A13" s="1">
        <v>45995</v>
      </c>
      <c r="B13" t="s">
        <v>64</v>
      </c>
      <c r="E13">
        <v>56000</v>
      </c>
      <c r="F13" t="s">
        <v>185</v>
      </c>
      <c r="G13">
        <f>SUMIFS(Table14[Debit], Table14[Date], Table8[[#This Row],[Date]], Table14[Party], Table8[[#This Row],[Party]])</f>
        <v>56000</v>
      </c>
      <c r="H13">
        <f>Table8[[#This Row],[Price]]-Table8[[#This Row],[Paid]]</f>
        <v>0</v>
      </c>
      <c r="K13" s="26">
        <v>45983</v>
      </c>
      <c r="L13" s="134">
        <v>158000</v>
      </c>
      <c r="M13" s="134">
        <v>0</v>
      </c>
    </row>
    <row r="14" spans="1:14" x14ac:dyDescent="0.3">
      <c r="G14">
        <f>SUMIFS(Table14[Debit], Table14[Date], Table8[[#This Row],[Date]], Table14[Party], Table8[[#This Row],[Party]])</f>
        <v>0</v>
      </c>
      <c r="H14">
        <f>Table8[[#This Row],[Price]]-Table8[[#This Row],[Paid]]</f>
        <v>0</v>
      </c>
      <c r="K14" s="26">
        <v>45986</v>
      </c>
      <c r="L14" s="134">
        <v>231500</v>
      </c>
      <c r="M14" s="134">
        <v>0</v>
      </c>
    </row>
    <row r="15" spans="1:14" x14ac:dyDescent="0.3">
      <c r="E15">
        <f>SUBTOTAL(109,Table8[Price])</f>
        <v>960900</v>
      </c>
      <c r="H15">
        <f>SUBTOTAL(109,Table8[Balance])</f>
        <v>0</v>
      </c>
      <c r="K15" s="26">
        <v>45987</v>
      </c>
      <c r="L15" s="134"/>
      <c r="M15" s="134">
        <v>-240125</v>
      </c>
    </row>
    <row r="16" spans="1:14" x14ac:dyDescent="0.3">
      <c r="K16" s="4" t="s">
        <v>104</v>
      </c>
      <c r="L16" s="134"/>
      <c r="M16" s="134">
        <v>0</v>
      </c>
    </row>
    <row r="17" spans="1:13" x14ac:dyDescent="0.3">
      <c r="K17" s="26">
        <v>45988</v>
      </c>
      <c r="L17" s="134">
        <v>85000</v>
      </c>
      <c r="M17" s="134">
        <v>0</v>
      </c>
    </row>
    <row r="18" spans="1:13" x14ac:dyDescent="0.3">
      <c r="K18" s="26">
        <v>45990</v>
      </c>
      <c r="L18" s="134">
        <v>46000</v>
      </c>
      <c r="M18" s="134">
        <v>0</v>
      </c>
    </row>
    <row r="19" spans="1:13" x14ac:dyDescent="0.3">
      <c r="A19" t="s">
        <v>57</v>
      </c>
      <c r="B19" t="s">
        <v>157</v>
      </c>
      <c r="C19" t="s">
        <v>158</v>
      </c>
      <c r="D19" t="s">
        <v>4</v>
      </c>
      <c r="E19" t="s">
        <v>159</v>
      </c>
      <c r="K19" s="26">
        <v>45993</v>
      </c>
      <c r="L19" s="134">
        <v>242450</v>
      </c>
      <c r="M19" s="134">
        <v>0</v>
      </c>
    </row>
    <row r="20" spans="1:13" x14ac:dyDescent="0.3">
      <c r="A20" t="s">
        <v>132</v>
      </c>
      <c r="B20">
        <v>1</v>
      </c>
      <c r="C20">
        <v>25</v>
      </c>
      <c r="D20">
        <v>1400</v>
      </c>
      <c r="E20">
        <f>Table2325[[#This Row],[boxes]]*Table2325[[#This Row],[kgs]]*Table2325[[#This Row],[Rate]]</f>
        <v>35000</v>
      </c>
      <c r="K20" s="26">
        <v>45995</v>
      </c>
      <c r="L20" s="134">
        <v>56000</v>
      </c>
      <c r="M20" s="134">
        <v>0</v>
      </c>
    </row>
    <row r="21" spans="1:13" x14ac:dyDescent="0.3">
      <c r="A21" t="s">
        <v>130</v>
      </c>
      <c r="B21">
        <v>1</v>
      </c>
      <c r="C21">
        <v>3</v>
      </c>
      <c r="D21">
        <v>1340</v>
      </c>
      <c r="E21">
        <f>Table2325[[#This Row],[boxes]]*Table2325[[#This Row],[kgs]]*Table2325[[#This Row],[Rate]]</f>
        <v>4020</v>
      </c>
      <c r="K21" s="4" t="s">
        <v>28</v>
      </c>
      <c r="L21" s="134">
        <v>960900</v>
      </c>
      <c r="M21" s="134">
        <v>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4">
        <v>0</v>
      </c>
      <c r="L5" s="134">
        <v>0</v>
      </c>
      <c r="M5" s="134">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4">
        <v>269000</v>
      </c>
      <c r="L6" s="134">
        <v>0</v>
      </c>
      <c r="M6" s="134">
        <v>268000</v>
      </c>
    </row>
    <row r="7" spans="1:13" x14ac:dyDescent="0.3">
      <c r="A7" s="85">
        <v>45979</v>
      </c>
      <c r="B7" s="85" t="s">
        <v>166</v>
      </c>
      <c r="C7" s="82" t="s">
        <v>180</v>
      </c>
      <c r="F7">
        <v>0</v>
      </c>
      <c r="G7">
        <v>0</v>
      </c>
      <c r="H7" s="81">
        <v>0</v>
      </c>
      <c r="J7" s="4" t="s">
        <v>118</v>
      </c>
      <c r="K7" s="134">
        <v>24000</v>
      </c>
      <c r="L7" s="134">
        <v>24000</v>
      </c>
      <c r="M7" s="134">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4">
        <v>0</v>
      </c>
      <c r="L8" s="134">
        <v>0</v>
      </c>
      <c r="M8" s="134">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4">
        <v>0</v>
      </c>
      <c r="L9" s="134">
        <v>400000</v>
      </c>
      <c r="M9" s="134">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4">
        <v>52000</v>
      </c>
      <c r="L10" s="134">
        <v>52000</v>
      </c>
      <c r="M10" s="134">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4">
        <v>345000</v>
      </c>
      <c r="L11" s="134">
        <v>476000</v>
      </c>
      <c r="M11" s="134">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4" zoomScale="118" workbookViewId="0">
      <selection activeCell="H30" sqref="H30"/>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0</v>
      </c>
      <c r="H28" s="1">
        <v>46000</v>
      </c>
      <c r="I28">
        <f>SUMIFS(Table14[Debit], Table14[Date], Table16[[#This Row],[Date]], Table14[Party], "Advance Salary", Table14[Description], Table16[[#This Row],[Person]] )</f>
        <v>6000</v>
      </c>
      <c r="J28" t="s">
        <v>400</v>
      </c>
    </row>
    <row r="29" spans="2:10" x14ac:dyDescent="0.3">
      <c r="B29" s="1">
        <v>46004</v>
      </c>
      <c r="C29" s="20">
        <f>SUMIFS(Table14[Debit], Table14[Date], Table11[[#This Row],[Date]], Table14[Party],"Salary", Table14[Description],Table11[[#This Row],[Column1]])</f>
        <v>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10"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451000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119600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1594801</v>
      </c>
      <c r="C2" s="32">
        <f>GETPIVOTDATA("Sum of Tiyaar/gaz",$A$3)</f>
        <v>1570370</v>
      </c>
      <c r="D2" s="31">
        <f>((B2*48)+((C2/1.0936)*10))/C2</f>
        <v>57.890870236439042</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38741</v>
      </c>
      <c r="C32" s="14">
        <v>34652</v>
      </c>
      <c r="D32" s="28">
        <f t="shared" si="1"/>
        <v>62.808199845283703</v>
      </c>
      <c r="E32" s="11">
        <f t="shared" si="2"/>
        <v>42367.157599999999</v>
      </c>
      <c r="F32" s="11">
        <f t="shared" si="0"/>
        <v>34652</v>
      </c>
      <c r="G32" s="78">
        <f t="shared" si="6"/>
        <v>18.210231785764165</v>
      </c>
      <c r="H32" s="28">
        <f t="shared" si="3"/>
        <v>31686.174103877107</v>
      </c>
      <c r="I32" s="28">
        <f t="shared" si="5"/>
        <v>62.808199845283703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19105</v>
      </c>
      <c r="D44" s="28">
        <f t="shared" si="13"/>
        <v>60.543430742248162</v>
      </c>
      <c r="E44" s="11">
        <f t="shared" si="14"/>
        <v>22372.868799999997</v>
      </c>
      <c r="F44" s="11">
        <f t="shared" si="15"/>
        <v>19105</v>
      </c>
      <c r="G44" s="78">
        <f t="shared" si="16"/>
        <v>14.606391470011204</v>
      </c>
      <c r="H44" s="28">
        <f t="shared" si="17"/>
        <v>17469.824433065107</v>
      </c>
      <c r="I44" s="28">
        <f t="shared" si="18"/>
        <v>60.543430742248162</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5493</v>
      </c>
      <c r="D63" s="28">
        <f t="shared" si="25"/>
        <v>130.33690201707807</v>
      </c>
      <c r="E63" s="11">
        <f t="shared" si="26"/>
        <v>15167.138399999998</v>
      </c>
      <c r="F63" s="11">
        <f t="shared" si="27"/>
        <v>5493</v>
      </c>
      <c r="G63" s="78">
        <f t="shared" si="28"/>
        <v>63.783544033593046</v>
      </c>
      <c r="H63" s="28">
        <f t="shared" si="29"/>
        <v>5022.8602779809808</v>
      </c>
      <c r="I63" s="28">
        <f t="shared" si="30"/>
        <v>130.33690201707807</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t="s">
        <v>28</v>
      </c>
      <c r="B73" s="30">
        <v>79388</v>
      </c>
      <c r="C73" s="30">
        <v>1570370</v>
      </c>
      <c r="D73" s="28">
        <f t="shared" si="25"/>
        <v>11.570688368471624</v>
      </c>
      <c r="E73" s="11">
        <f t="shared" si="26"/>
        <v>86818.716799999995</v>
      </c>
      <c r="F73" s="11">
        <f t="shared" si="27"/>
        <v>1570370</v>
      </c>
      <c r="G73" s="78">
        <f t="shared" si="28"/>
        <v>-1708.7919954145189</v>
      </c>
      <c r="H73" s="28">
        <f t="shared" si="29"/>
        <v>1435963.7893196782</v>
      </c>
      <c r="I73" s="28">
        <f t="shared" si="30"/>
        <v>11.570688368471624</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125170</v>
      </c>
      <c r="H37" s="1"/>
      <c r="J37">
        <f>SUM(Table15[Amount])</f>
        <v>303120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Billing!AB5</f>
        <v>19750734</v>
      </c>
      <c r="C2" s="105">
        <f>Billing!AC5</f>
        <v>3268511.6108266339</v>
      </c>
    </row>
    <row r="3" spans="1:3" ht="21" x14ac:dyDescent="0.4">
      <c r="A3" s="104" t="str">
        <f>Billing!Q6</f>
        <v>Ejaz Sahab</v>
      </c>
      <c r="B3" s="107">
        <f>Billing!AB6</f>
        <v>3663904</v>
      </c>
      <c r="C3" s="105">
        <f>Billing!AC6</f>
        <v>-138566.58229700057</v>
      </c>
    </row>
    <row r="4" spans="1:3" ht="21" x14ac:dyDescent="0.4">
      <c r="A4" s="104" t="str">
        <f>Billing!Q7</f>
        <v>Arshad</v>
      </c>
      <c r="B4" s="107">
        <f>Billing!AB7</f>
        <v>5702935</v>
      </c>
      <c r="C4" s="106">
        <f>Billing!AC7</f>
        <v>525643.09070958383</v>
      </c>
    </row>
    <row r="5" spans="1:3" ht="21" x14ac:dyDescent="0.4">
      <c r="A5" s="104" t="str">
        <f>Billing!Q8</f>
        <v>Shehzad Kamoki</v>
      </c>
      <c r="B5" s="107">
        <f>Billing!AB8</f>
        <v>1268740</v>
      </c>
      <c r="C5" s="106">
        <f>Billing!AC8</f>
        <v>530.34403803967871</v>
      </c>
    </row>
    <row r="6" spans="1:3" ht="21" x14ac:dyDescent="0.4">
      <c r="A6" s="104" t="str">
        <f>Billing!Q9</f>
        <v>Sufi Nawaz Sahab</v>
      </c>
      <c r="B6" s="107">
        <f>Billing!AB9</f>
        <v>10629100</v>
      </c>
      <c r="C6" s="105">
        <f>Billing!AC9</f>
        <v>609704.47256766632</v>
      </c>
    </row>
    <row r="7" spans="1:3" ht="21" x14ac:dyDescent="0.4">
      <c r="A7" s="104" t="str">
        <f>Billing!Q10</f>
        <v>Sajad Khan</v>
      </c>
      <c r="B7" s="107">
        <f>Billing!AB10</f>
        <v>6897871</v>
      </c>
      <c r="C7" s="105">
        <f>Billing!AC10</f>
        <v>921.06291148532182</v>
      </c>
    </row>
    <row r="8" spans="1:3" ht="21" x14ac:dyDescent="0.4">
      <c r="A8" s="104" t="str">
        <f>Billing!Q11</f>
        <v>Raaz Fabrics</v>
      </c>
      <c r="B8" s="107">
        <f>Billing!AB11</f>
        <v>1000000</v>
      </c>
      <c r="C8" s="106">
        <f>Billing!AC11</f>
        <v>393873.44550109748</v>
      </c>
    </row>
    <row r="9" spans="1:3" ht="21" x14ac:dyDescent="0.4">
      <c r="A9" s="104" t="str">
        <f>Billing!Q12</f>
        <v>Azam</v>
      </c>
      <c r="B9" s="107">
        <f>Billing!AB12</f>
        <v>3322620</v>
      </c>
      <c r="C9" s="105">
        <f>Billing!AC12</f>
        <v>19742.838332114741</v>
      </c>
    </row>
    <row r="10" spans="1:3" ht="21" x14ac:dyDescent="0.4">
      <c r="A10" s="104" t="str">
        <f>Billing!Q13</f>
        <v>Ubaidullah</v>
      </c>
      <c r="B10" s="107">
        <f>Billing!AB13</f>
        <v>640190</v>
      </c>
      <c r="C10" s="105">
        <f>Billing!AC13</f>
        <v>1084.6891002196353</v>
      </c>
    </row>
    <row r="11" spans="1:3" ht="21" x14ac:dyDescent="0.4">
      <c r="A11" s="104" t="str">
        <f>Billing!Q14</f>
        <v>Ashraf Zia</v>
      </c>
      <c r="B11" s="107">
        <f>Billing!AB14</f>
        <v>130000</v>
      </c>
      <c r="C11" s="105">
        <f>Billing!AC14</f>
        <v>125724.21360643749</v>
      </c>
    </row>
    <row r="12" spans="1:3" ht="21" x14ac:dyDescent="0.4">
      <c r="A12" s="104" t="str">
        <f>Billing!Q15</f>
        <v>Hafiz Qureshi</v>
      </c>
      <c r="B12" s="107">
        <f>Billing!AB15</f>
        <v>1705980</v>
      </c>
      <c r="C12" s="105">
        <f>Billing!AC15</f>
        <v>148582.91148500377</v>
      </c>
    </row>
    <row r="13" spans="1:3" ht="21" x14ac:dyDescent="0.4">
      <c r="A13" s="104" t="str">
        <f>Billing!Q16</f>
        <v>Badshah Fabrics</v>
      </c>
      <c r="B13" s="107">
        <f>Billing!AB16</f>
        <v>4925761</v>
      </c>
      <c r="C13" s="105">
        <f>Billing!AC16</f>
        <v>51642.986832480878</v>
      </c>
    </row>
    <row r="14" spans="1:3" ht="21" x14ac:dyDescent="0.4">
      <c r="A14" s="104" t="str">
        <f>Billing!Q17</f>
        <v>Reject</v>
      </c>
      <c r="B14" s="107">
        <f>Billing!AB17</f>
        <v>0</v>
      </c>
      <c r="C14" s="105">
        <f>Billing!AC17</f>
        <v>0</v>
      </c>
    </row>
    <row r="15" spans="1:3" ht="21" x14ac:dyDescent="0.4">
      <c r="A15" s="104" t="str">
        <f>Billing!Q18</f>
        <v>Amjad 7up</v>
      </c>
      <c r="B15" s="107">
        <f>Billing!AB18</f>
        <v>480000</v>
      </c>
      <c r="C15" s="106">
        <f>Billing!AC18</f>
        <v>3851.4996342355735</v>
      </c>
    </row>
    <row r="16" spans="1:3" ht="21" x14ac:dyDescent="0.4">
      <c r="A16" s="104" t="str">
        <f>Billing!Q19</f>
        <v>Hazrat Khan</v>
      </c>
      <c r="B16" s="107">
        <f>Billing!AB19</f>
        <v>95000</v>
      </c>
      <c r="C16" s="106">
        <f>Billing!AC19</f>
        <v>-5844.9158741770225</v>
      </c>
    </row>
    <row r="17" spans="1:3" ht="21" x14ac:dyDescent="0.4">
      <c r="A17" s="104" t="str">
        <f>Billing!Q20</f>
        <v>Haseeb Shamsi</v>
      </c>
      <c r="B17" s="107">
        <f>Billing!AB20</f>
        <v>594405</v>
      </c>
      <c r="C17" s="105">
        <f>Billing!AC20</f>
        <v>-0.28163862461224198</v>
      </c>
    </row>
    <row r="18" spans="1:3" ht="21" x14ac:dyDescent="0.4">
      <c r="A18" s="104" t="str">
        <f>Billing!Q21</f>
        <v>Faizan</v>
      </c>
      <c r="B18" s="107">
        <f>Billing!AB21</f>
        <v>4915571</v>
      </c>
      <c r="C18" s="106">
        <f>Billing!AC21</f>
        <v>-204715.11119239125</v>
      </c>
    </row>
    <row r="19" spans="1:3" ht="21" x14ac:dyDescent="0.4">
      <c r="A19" s="104" t="str">
        <f>Billing!Q22</f>
        <v>Shafique Ansari</v>
      </c>
      <c r="B19" s="107">
        <f>Billing!AB22</f>
        <v>835660</v>
      </c>
      <c r="C19" s="106">
        <f>Billing!AC22</f>
        <v>356.82516459410544</v>
      </c>
    </row>
    <row r="20" spans="1:3" ht="21" x14ac:dyDescent="0.4">
      <c r="A20" s="104" t="str">
        <f>Billing!Q23</f>
        <v>Amjad sohail</v>
      </c>
      <c r="B20" s="107">
        <f>Billing!AB23</f>
        <v>2300000</v>
      </c>
      <c r="C20" s="105">
        <f>Billing!AC23</f>
        <v>-3729.8829553760588</v>
      </c>
    </row>
    <row r="21" spans="1:3" ht="21" x14ac:dyDescent="0.4">
      <c r="A21" s="104" t="str">
        <f>Billing!Q24</f>
        <v>Salman Zaffar</v>
      </c>
      <c r="B21" s="14">
        <f>Billing!AB24</f>
        <v>0</v>
      </c>
      <c r="C21" s="105">
        <f>Billing!AC24</f>
        <v>468592.72128749092</v>
      </c>
    </row>
    <row r="22" spans="1:3" ht="21" x14ac:dyDescent="0.4">
      <c r="A22" s="104" t="str">
        <f>Billing!Q25</f>
        <v>Shahid Qasayi</v>
      </c>
      <c r="B22" s="128">
        <f>Billing!AB25</f>
        <v>1103325</v>
      </c>
      <c r="C22" s="105">
        <f>Billing!AC25</f>
        <v>31632.937088514911</v>
      </c>
    </row>
    <row r="23" spans="1:3" ht="21" x14ac:dyDescent="0.4">
      <c r="A23" s="104" t="str">
        <f>Billing!Q26</f>
        <v>Hameed corporation</v>
      </c>
      <c r="B23" s="128">
        <f>Billing!AB26</f>
        <v>424323</v>
      </c>
      <c r="C23" s="105">
        <f>Billing!AC26</f>
        <v>0.33577176299877465</v>
      </c>
    </row>
    <row r="24" spans="1:3" ht="21" x14ac:dyDescent="0.4">
      <c r="A24" s="104" t="str">
        <f>Billing!Q27</f>
        <v>ibraheem behraam</v>
      </c>
      <c r="B24" s="128">
        <f>Billing!AB27</f>
        <v>337000</v>
      </c>
      <c r="C24" s="105">
        <f>Billing!AC27</f>
        <v>2383.6869056327851</v>
      </c>
    </row>
    <row r="25" spans="1:3" ht="21" x14ac:dyDescent="0.4">
      <c r="A25" s="104" t="str">
        <f>Billing!Q28</f>
        <v>Zia-ullah karachi</v>
      </c>
      <c r="B25" s="128">
        <f>Billing!AB28</f>
        <v>124560</v>
      </c>
      <c r="C25" s="105">
        <f>Billing!AC28</f>
        <v>1.0826627651840681</v>
      </c>
    </row>
    <row r="26" spans="1:3" ht="21" x14ac:dyDescent="0.4">
      <c r="A26" s="104">
        <f>Billing!Q29</f>
        <v>0</v>
      </c>
      <c r="B26" s="128">
        <f>Billing!AB29</f>
        <v>0</v>
      </c>
      <c r="C26" s="105">
        <f>Billing!AC29</f>
        <v>0</v>
      </c>
    </row>
    <row r="27" spans="1:3" ht="21" x14ac:dyDescent="0.4">
      <c r="A27" s="104">
        <f>Billing!Q30</f>
        <v>0</v>
      </c>
      <c r="B27" s="128">
        <f>Billing!AB30</f>
        <v>0</v>
      </c>
      <c r="C27" s="105">
        <f>Billing!AC30</f>
        <v>0</v>
      </c>
    </row>
    <row r="28" spans="1:3" ht="21" x14ac:dyDescent="0.4">
      <c r="A28" s="104">
        <f>Billing!Q31</f>
        <v>0</v>
      </c>
      <c r="B28" s="128">
        <f>Billing!AB31</f>
        <v>0</v>
      </c>
      <c r="C28" s="105">
        <f>Billing!AC31</f>
        <v>0</v>
      </c>
    </row>
  </sheetData>
  <conditionalFormatting sqref="C2:C28">
    <cfRule type="cellIs" dxfId="29" priority="1" operator="lessThan">
      <formula>10</formula>
    </cfRule>
  </conditionalFormatting>
  <conditionalFormatting sqref="C2:C29">
    <cfRule type="cellIs" dxfId="2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2025-12-10T21:15:47Z</dcterms:modified>
  <cp:category/>
  <cp:contentStatus/>
</cp:coreProperties>
</file>