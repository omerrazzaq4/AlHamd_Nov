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12" documentId="8_{475843C5-500E-4738-B9D9-47939CD7324F}" xr6:coauthVersionLast="47" xr6:coauthVersionMax="47" xr10:uidLastSave="{65ABB617-03B8-4DBA-97E2-78E66BA70C4F}"/>
  <bookViews>
    <workbookView xWindow="-108" yWindow="-108" windowWidth="23256" windowHeight="12456"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6" i="12" l="1"/>
  <c r="H11" i="6"/>
  <c r="I11" i="6" s="1"/>
  <c r="G11" i="6"/>
  <c r="G12" i="6"/>
  <c r="I12" i="6"/>
  <c r="I90" i="1"/>
  <c r="J90" i="1" s="1" a="1"/>
  <c r="J90" i="1" s="1"/>
  <c r="I91" i="1"/>
  <c r="J91" i="1" a="1"/>
  <c r="J91" i="1" s="1"/>
  <c r="I92" i="1"/>
  <c r="J92" i="1" a="1"/>
  <c r="J92" i="1" s="1"/>
  <c r="I93" i="1"/>
  <c r="J93" i="1" s="1" a="1"/>
  <c r="J93" i="1" s="1"/>
  <c r="I94" i="1"/>
  <c r="J94" i="1" s="1" a="1"/>
  <c r="J94" i="1" s="1"/>
  <c r="I95" i="1"/>
  <c r="J95" i="1" s="1" a="1"/>
  <c r="J95" i="1" s="1"/>
  <c r="I96" i="1"/>
  <c r="J96" i="1" s="1" a="1"/>
  <c r="J96" i="1" s="1"/>
  <c r="I97" i="1"/>
  <c r="J97" i="1" a="1"/>
  <c r="J97" i="1" s="1"/>
  <c r="I98" i="1"/>
  <c r="J98" i="1" s="1" a="1"/>
  <c r="J98" i="1" s="1"/>
  <c r="I99" i="1"/>
  <c r="J99" i="1" a="1"/>
  <c r="J99" i="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3" i="6" s="1"/>
  <c r="G10" i="6"/>
  <c r="H8" i="6"/>
  <c r="I8" i="6" s="1"/>
  <c r="G8" i="6"/>
  <c r="I89" i="1"/>
  <c r="J89" i="1" a="1"/>
  <c r="J89" i="1" s="1"/>
  <c r="F11" i="15"/>
  <c r="F10" i="15"/>
  <c r="G8" i="15"/>
  <c r="H8" i="15" s="1"/>
  <c r="G9" i="15"/>
  <c r="H9" i="15" s="1"/>
  <c r="G10" i="15"/>
  <c r="H10" i="15" s="1"/>
  <c r="J27" i="15"/>
  <c r="E36" i="7"/>
  <c r="E35" i="7"/>
  <c r="G5" i="7"/>
  <c r="H5" i="7" s="1"/>
  <c r="G4" i="7"/>
  <c r="H4" i="7" s="1"/>
  <c r="G7" i="6"/>
  <c r="K6" i="6" s="1"/>
  <c r="C4" i="8" s="1"/>
  <c r="X26" i="9" a="1"/>
  <c r="X26" i="9" s="1"/>
  <c r="Y26" i="9" a="1"/>
  <c r="Y26" i="9" s="1"/>
  <c r="X27" i="9" a="1"/>
  <c r="X27" i="9" s="1"/>
  <c r="Y27" i="9" a="1"/>
  <c r="Y27" i="9" s="1"/>
  <c r="X28" i="9" a="1"/>
  <c r="X28" i="9" s="1"/>
  <c r="Y28" i="9" a="1"/>
  <c r="Y28" i="9" s="1"/>
  <c r="X29" i="9" a="1"/>
  <c r="X29" i="9" s="1"/>
  <c r="Y29" i="9" a="1"/>
  <c r="Y29" i="9" s="1"/>
  <c r="V26" i="9" a="1"/>
  <c r="V26" i="9" s="1"/>
  <c r="W26" i="9" a="1"/>
  <c r="W26" i="9" s="1"/>
  <c r="V27" i="9" a="1"/>
  <c r="V27" i="9" s="1"/>
  <c r="W27" i="9" a="1"/>
  <c r="W27"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a="1"/>
  <c r="J83" i="1" s="1"/>
  <c r="I82" i="1"/>
  <c r="J82" i="1" a="1"/>
  <c r="J82" i="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V25" i="9" s="1" a="1"/>
  <c r="V25" i="9" s="1"/>
  <c r="C7" i="8"/>
  <c r="R26" i="9" a="1"/>
  <c r="R26" i="9" s="1"/>
  <c r="S26" i="9" a="1"/>
  <c r="S26" i="9" s="1"/>
  <c r="T26" i="9" a="1"/>
  <c r="T26" i="9" s="1"/>
  <c r="U26" i="9" a="1"/>
  <c r="U26" i="9" s="1"/>
  <c r="AA26" i="9"/>
  <c r="B23" i="20" s="1"/>
  <c r="R27" i="9" a="1"/>
  <c r="R27" i="9" s="1"/>
  <c r="S27" i="9" a="1"/>
  <c r="S27" i="9" s="1"/>
  <c r="T27" i="9" a="1"/>
  <c r="T27" i="9" s="1"/>
  <c r="U27" i="9" a="1"/>
  <c r="U27" i="9" s="1"/>
  <c r="AA27" i="9"/>
  <c r="B24" i="20" s="1"/>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c r="I21" i="2"/>
  <c r="D21" i="2"/>
  <c r="E21" i="2"/>
  <c r="E50" i="2"/>
  <c r="F50" i="2"/>
  <c r="H50" i="2"/>
  <c r="I50" i="2"/>
  <c r="D50" i="2"/>
  <c r="E51" i="2"/>
  <c r="G51" i="2"/>
  <c r="F51" i="2"/>
  <c r="H51" i="2"/>
  <c r="I51" i="2"/>
  <c r="D51" i="2"/>
  <c r="E52" i="2"/>
  <c r="F52" i="2"/>
  <c r="H52" i="2"/>
  <c r="I52" i="2"/>
  <c r="D52" i="2"/>
  <c r="E53" i="2"/>
  <c r="F53" i="2"/>
  <c r="E54" i="2"/>
  <c r="F54" i="2"/>
  <c r="F24" i="2"/>
  <c r="H24" i="2"/>
  <c r="I24" i="2"/>
  <c r="D24" i="2"/>
  <c r="E24" i="2"/>
  <c r="E55" i="2"/>
  <c r="F55" i="2"/>
  <c r="F25" i="2"/>
  <c r="H25" i="2"/>
  <c r="I25" i="2"/>
  <c r="D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G6" i="2" s="1"/>
  <c r="H6" i="2"/>
  <c r="I6" i="2" s="1"/>
  <c r="D6" i="2" s="1"/>
  <c r="E6" i="2"/>
  <c r="F5" i="2"/>
  <c r="H5" i="2" s="1"/>
  <c r="I5" i="2" s="1"/>
  <c r="D5" i="2" s="1"/>
  <c r="E5" i="2"/>
  <c r="E34" i="2"/>
  <c r="F34" i="2"/>
  <c r="F18" i="2"/>
  <c r="H18" i="2"/>
  <c r="I18" i="2"/>
  <c r="D18" i="2"/>
  <c r="E18" i="2"/>
  <c r="E35" i="2"/>
  <c r="F35" i="2"/>
  <c r="E36" i="2"/>
  <c r="F36" i="2"/>
  <c r="G36" i="2"/>
  <c r="F22" i="2"/>
  <c r="H22" i="2"/>
  <c r="I22" i="2"/>
  <c r="D22" i="2"/>
  <c r="E22" i="2"/>
  <c r="F7" i="2"/>
  <c r="G7" i="2" s="1"/>
  <c r="H83" i="1" s="1"/>
  <c r="E7" i="2"/>
  <c r="E37" i="2"/>
  <c r="F37" i="2"/>
  <c r="H37" i="2"/>
  <c r="I37" i="2"/>
  <c r="D37" i="2"/>
  <c r="E39" i="2"/>
  <c r="F39" i="2"/>
  <c r="E40" i="2"/>
  <c r="F40" i="2"/>
  <c r="E41" i="2"/>
  <c r="F41" i="2"/>
  <c r="H41" i="2"/>
  <c r="I41" i="2"/>
  <c r="D41" i="2"/>
  <c r="E42" i="2"/>
  <c r="F42" i="2"/>
  <c r="G42" i="2"/>
  <c r="E43" i="2"/>
  <c r="F43" i="2"/>
  <c r="G43" i="2"/>
  <c r="E44" i="2"/>
  <c r="F44" i="2"/>
  <c r="G44" i="2"/>
  <c r="F19" i="2"/>
  <c r="H19" i="2"/>
  <c r="I19" i="2"/>
  <c r="D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c r="D13" i="2" s="1"/>
  <c r="E13" i="2"/>
  <c r="F23" i="2"/>
  <c r="H23" i="2"/>
  <c r="I23" i="2"/>
  <c r="D23" i="2"/>
  <c r="E23" i="2"/>
  <c r="F15" i="2"/>
  <c r="G15" i="2" s="1"/>
  <c r="H97" i="1" s="1"/>
  <c r="E15" i="2"/>
  <c r="F16" i="2"/>
  <c r="E16" i="2"/>
  <c r="F26" i="2"/>
  <c r="E26" i="2"/>
  <c r="F29" i="2"/>
  <c r="E29" i="2"/>
  <c r="F30" i="2"/>
  <c r="H30" i="2"/>
  <c r="I30" i="2"/>
  <c r="D30" i="2"/>
  <c r="F31" i="2"/>
  <c r="H31" i="2"/>
  <c r="I31" i="2"/>
  <c r="D31" i="2"/>
  <c r="E31" i="2"/>
  <c r="G31" i="2"/>
  <c r="F32" i="2"/>
  <c r="H32" i="2"/>
  <c r="I32" i="2"/>
  <c r="D32" i="2"/>
  <c r="F14" i="2"/>
  <c r="G14" i="2" s="1"/>
  <c r="H96" i="1" s="1"/>
  <c r="H14" i="2"/>
  <c r="I14" i="2"/>
  <c r="D14" i="2" s="1"/>
  <c r="E14" i="2"/>
  <c r="E30" i="2"/>
  <c r="E32" i="2"/>
  <c r="N4" i="17"/>
  <c r="F12" i="2"/>
  <c r="H12" i="2" s="1"/>
  <c r="I12" i="2" s="1"/>
  <c r="D12" i="2" s="1"/>
  <c r="E12" i="2"/>
  <c r="F11" i="2"/>
  <c r="G11" i="2" s="1"/>
  <c r="E11" i="2"/>
  <c r="E17" i="2"/>
  <c r="G17" i="2" s="1"/>
  <c r="F17" i="2"/>
  <c r="H17" i="2"/>
  <c r="I17" i="2" s="1"/>
  <c r="D17" i="2" s="1"/>
  <c r="F9" i="2"/>
  <c r="G9" i="2" s="1"/>
  <c r="H89" i="1" s="1"/>
  <c r="H9" i="2"/>
  <c r="I9" i="2"/>
  <c r="D9" i="2"/>
  <c r="E9" i="2"/>
  <c r="E8" i="2"/>
  <c r="F8" i="2"/>
  <c r="G8" i="2" s="1"/>
  <c r="H8" i="2"/>
  <c r="I8" i="2" s="1"/>
  <c r="D8" i="2" s="1"/>
  <c r="E10" i="2"/>
  <c r="E4" i="2"/>
  <c r="C8" i="8"/>
  <c r="F10" i="2"/>
  <c r="G10" i="2" s="1"/>
  <c r="H90" i="1" s="1"/>
  <c r="H10" i="2"/>
  <c r="I10" i="2"/>
  <c r="D10" i="2" s="1"/>
  <c r="F4" i="2"/>
  <c r="G4" i="2" s="1"/>
  <c r="H4" i="2"/>
  <c r="I4" i="2"/>
  <c r="D4" i="2" s="1"/>
  <c r="N3" i="7"/>
  <c r="N5" i="7"/>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34" i="2"/>
  <c r="I34" i="2"/>
  <c r="D34" i="2"/>
  <c r="H59" i="2"/>
  <c r="I59" i="2"/>
  <c r="D59" i="2"/>
  <c r="G61" i="2"/>
  <c r="C52" i="17"/>
  <c r="K4" i="17" s="1"/>
  <c r="C16" i="10"/>
  <c r="J30" i="15"/>
  <c r="C6" i="8"/>
  <c r="G67" i="2"/>
  <c r="G71" i="2"/>
  <c r="G38" i="2"/>
  <c r="G66" i="2"/>
  <c r="G65" i="2"/>
  <c r="G60" i="2"/>
  <c r="G49" i="2"/>
  <c r="G69" i="2"/>
  <c r="G68" i="2"/>
  <c r="G29" i="2"/>
  <c r="G35" i="2"/>
  <c r="G63" i="2"/>
  <c r="G70" i="2"/>
  <c r="G59" i="2"/>
  <c r="G12" i="2"/>
  <c r="H92" i="1" s="1"/>
  <c r="G52" i="2"/>
  <c r="G32" i="2"/>
  <c r="G47" i="2"/>
  <c r="G57" i="2"/>
  <c r="G26" i="2"/>
  <c r="G48" i="2"/>
  <c r="H36" i="2"/>
  <c r="I36" i="2"/>
  <c r="D36" i="2"/>
  <c r="G39" i="2"/>
  <c r="G58" i="2"/>
  <c r="H7" i="2"/>
  <c r="I7" i="2"/>
  <c r="D7" i="2" s="1"/>
  <c r="H47" i="2"/>
  <c r="I47" i="2"/>
  <c r="D47" i="2"/>
  <c r="G23" i="2"/>
  <c r="G21" i="2"/>
  <c r="G54" i="2"/>
  <c r="H43" i="2"/>
  <c r="I43" i="2"/>
  <c r="D43" i="2"/>
  <c r="G53" i="2"/>
  <c r="G20" i="2"/>
  <c r="G28" i="2"/>
  <c r="G56" i="2"/>
  <c r="H35" i="2"/>
  <c r="I35" i="2"/>
  <c r="D35" i="2"/>
  <c r="H39" i="2"/>
  <c r="I39" i="2"/>
  <c r="D39" i="2"/>
  <c r="G30" i="2"/>
  <c r="G16" i="2"/>
  <c r="H99" i="1" s="1"/>
  <c r="G40" i="2"/>
  <c r="H20" i="2"/>
  <c r="I20" i="2"/>
  <c r="D20" i="2"/>
  <c r="H16" i="2"/>
  <c r="I16" i="2" s="1"/>
  <c r="D16" i="2" s="1"/>
  <c r="H44" i="2"/>
  <c r="I44" i="2"/>
  <c r="D44" i="2"/>
  <c r="G33" i="2"/>
  <c r="G55" i="2"/>
  <c r="G62" i="2"/>
  <c r="H40" i="2"/>
  <c r="I40" i="2"/>
  <c r="D40" i="2"/>
  <c r="H29" i="2"/>
  <c r="I29" i="2"/>
  <c r="D29" i="2"/>
  <c r="G13" i="2"/>
  <c r="H95" i="1" s="1"/>
  <c r="G19" i="2"/>
  <c r="G41" i="2"/>
  <c r="G34" i="2"/>
  <c r="H54" i="2"/>
  <c r="I54" i="2"/>
  <c r="D54" i="2"/>
  <c r="G50" i="2"/>
  <c r="G27" i="2"/>
  <c r="G24" i="2"/>
  <c r="H60" i="2"/>
  <c r="I60" i="2"/>
  <c r="D60" i="2"/>
  <c r="G46" i="2"/>
  <c r="H26" i="2"/>
  <c r="I26" i="2"/>
  <c r="D26" i="2"/>
  <c r="H45" i="2"/>
  <c r="I45" i="2"/>
  <c r="D45" i="2"/>
  <c r="H58" i="2"/>
  <c r="I58" i="2"/>
  <c r="D58" i="2"/>
  <c r="H38" i="2"/>
  <c r="I38" i="2"/>
  <c r="D38" i="2"/>
  <c r="G37" i="2"/>
  <c r="H42" i="2"/>
  <c r="I42" i="2"/>
  <c r="D42" i="2"/>
  <c r="G25" i="2"/>
  <c r="H53" i="2"/>
  <c r="I53" i="2"/>
  <c r="D53" i="2"/>
  <c r="H33" i="2"/>
  <c r="I33" i="2"/>
  <c r="D33" i="2"/>
  <c r="H28" i="2"/>
  <c r="I28" i="2"/>
  <c r="D28" i="2"/>
  <c r="G22" i="2"/>
  <c r="G18" i="2"/>
  <c r="H55" i="2"/>
  <c r="I55" i="2"/>
  <c r="D55" i="2"/>
  <c r="E39" i="7"/>
  <c r="C5" i="8"/>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U25" i="9" l="1" a="1"/>
  <c r="U25" i="9" s="1"/>
  <c r="H91" i="1"/>
  <c r="H94" i="1"/>
  <c r="H88" i="1"/>
  <c r="H86" i="1"/>
  <c r="H85" i="1"/>
  <c r="H87" i="1"/>
  <c r="H84" i="1"/>
  <c r="H82" i="1"/>
  <c r="H11" i="2"/>
  <c r="I11" i="2" s="1"/>
  <c r="H15" i="2"/>
  <c r="I15" i="2" s="1"/>
  <c r="D15" i="2" s="1"/>
  <c r="H93" i="1"/>
  <c r="G5" i="2"/>
  <c r="H98" i="1" s="1"/>
  <c r="E99" i="9"/>
  <c r="E100" i="9"/>
  <c r="D92" i="9"/>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A5" i="20"/>
  <c r="A18" i="21"/>
  <c r="A16" i="21"/>
  <c r="A5" i="21"/>
  <c r="B5" i="21" s="1"/>
  <c r="A11" i="20"/>
  <c r="B4" i="9"/>
  <c r="S25" i="9" a="1"/>
  <c r="S25" i="9" s="1"/>
  <c r="D89" i="9"/>
  <c r="S10" i="9" s="1" a="1"/>
  <c r="S10" i="9" s="1"/>
  <c r="W25" i="9" a="1"/>
  <c r="W25" i="9" s="1"/>
  <c r="Z25" i="9" s="1"/>
  <c r="A4" i="21"/>
  <c r="B4" i="21" s="1"/>
  <c r="AA25" i="9"/>
  <c r="B22" i="20" s="1"/>
  <c r="A4" i="20"/>
  <c r="A22" i="20"/>
  <c r="A17" i="2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T20" i="9" a="1"/>
  <c r="T20" i="9" s="1"/>
  <c r="L55" i="9"/>
  <c r="B10" i="9"/>
  <c r="J53" i="9" a="1"/>
  <c r="J53" i="9" s="1"/>
  <c r="F86" i="9"/>
  <c r="U7" i="9" s="1" a="1"/>
  <c r="U7" i="9" s="1"/>
  <c r="I100" i="1" a="1"/>
  <c r="I100" i="1" s="1"/>
  <c r="L90" i="9"/>
  <c r="AA11" i="9" s="1"/>
  <c r="B8" i="20" s="1"/>
  <c r="R21" i="9" a="1"/>
  <c r="R21" i="9" s="1"/>
  <c r="T21" i="9" a="1"/>
  <c r="T21" i="9"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B16" i="2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E13" i="9"/>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S13" i="9" a="1"/>
  <c r="S13"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27" i="9"/>
  <c r="AB27" i="9" s="1"/>
  <c r="C24" i="20" s="1"/>
  <c r="Z34" i="9"/>
  <c r="AB34" i="9" s="1"/>
  <c r="Z26" i="9"/>
  <c r="AB26" i="9" s="1"/>
  <c r="C23" i="20"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B17" i="21"/>
  <c r="L96" i="9"/>
  <c r="AA17" i="9" s="1"/>
  <c r="B14" i="20" s="1"/>
  <c r="L100" i="9"/>
  <c r="AA21" i="9" s="1"/>
  <c r="L93" i="9"/>
  <c r="AA14" i="9" s="1"/>
  <c r="B11" i="20" s="1"/>
  <c r="L89" i="9"/>
  <c r="AA10" i="9" s="1"/>
  <c r="B7" i="20" s="1"/>
  <c r="B18" i="21"/>
  <c r="L99" i="9"/>
  <c r="AA20" i="9" s="1"/>
  <c r="B17" i="20" s="1"/>
  <c r="K100" i="1"/>
  <c r="H50" i="9" a="1"/>
  <c r="H50" i="9" s="1"/>
  <c r="H68" i="9" a="1"/>
  <c r="H68" i="9" s="1"/>
  <c r="H51" i="9" a="1"/>
  <c r="H51" i="9" s="1"/>
  <c r="V19" i="9" a="1"/>
  <c r="V19" i="9" s="1"/>
  <c r="H6" i="7"/>
  <c r="B28" i="20"/>
  <c r="N7" i="17"/>
  <c r="C19" i="10" s="1"/>
  <c r="J37" i="14"/>
  <c r="C12" i="8" s="1"/>
  <c r="H11" i="15"/>
  <c r="I13" i="6"/>
  <c r="G11" i="15"/>
  <c r="H13" i="6"/>
  <c r="D37" i="14"/>
  <c r="C10" i="8" s="1"/>
  <c r="C43" i="12"/>
  <c r="E38" i="18"/>
  <c r="I37" i="12"/>
  <c r="D38" i="18"/>
  <c r="C11" i="8" s="1"/>
  <c r="D52" i="17"/>
  <c r="C12" i="10"/>
  <c r="D2" i="2"/>
  <c r="K69" i="9" l="1"/>
  <c r="M69" i="9" s="1"/>
  <c r="C14" i="9"/>
  <c r="E17" i="9"/>
  <c r="AB25" i="9"/>
  <c r="C22" i="20" s="1"/>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00" i="1" a="1"/>
  <c r="J100"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M93" i="9"/>
  <c r="Z7" i="9"/>
  <c r="AB7" i="9" s="1"/>
  <c r="C4" i="20" s="1"/>
  <c r="K50" i="9"/>
  <c r="P7" i="17"/>
  <c r="C9" i="8"/>
  <c r="C14" i="8" s="1"/>
  <c r="C4" i="10" s="1"/>
  <c r="C15" i="10" s="1"/>
  <c r="C17" i="10" s="1"/>
  <c r="F38" i="18"/>
  <c r="F52"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<sst xmlns="http://schemas.openxmlformats.org/spreadsheetml/2006/main" count="857" uniqueCount="242">
  <si>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</si>
  <si>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</si>
  <si>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</si>
  <si>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</si>
  <si>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</si>
  <si>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</si>
  <si>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</si>
  <si>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</si>
  <si>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</si>
  <si>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</si>
  <si>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</si>
  <si>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</si>
  <si>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</si>
  <si>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</si>
  <si>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</si>
  <si>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</si>
  <si>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</si>
  <si>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</si>
  <si>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</si>
  <si>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</si>
  <si>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</si>
  <si>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</si>
  <si>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</si>
  <si>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</si>
  <si>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</si>
  <si>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</si>
  <si>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</si>
  <si>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</si>
  <si>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</si>
  <si>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</si>
  <si>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</si>
  <si>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</si>
  <si>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</si>
  <si>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</si>
  <si>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</si>
  <si>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</si>
  <si>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</si>
  <si>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</si>
  <si>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</si>
  <si>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</si>
  <si>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</si>
  <si>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</si>
  <si>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</si>
  <si>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</si>
  <si>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</si>
  <si>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</si>
  <si>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</si>
  <si>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</si>
  <si>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</si>
  <si>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</si>
  <si>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</si>
  <si>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</si>
  <si>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</si>
  <si>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</si>
  <si>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</si>
  <si>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</si>
  <si>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</si>
  <si>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</si>
  <si>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</si>
  <si>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</si>
  <si>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</si>
  <si>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</si>
  <si>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</si>
  <si>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</si>
  <si>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</si>
  <si>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</si>
  <si>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</si>
  <si>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</si>
  <si>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</si>
  <si>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</si>
  <si>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</si>
  <si>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</si>
  <si>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</si>
  <si>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</si>
  <si>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</si>
  <si>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</si>
  <si>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</si>
  <si>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</si>
  <si>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</si>
  <si>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</si>
  <si>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</si>
  <si>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</si>
  <si>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</si>
  <si>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</si>
  <si>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</si>
  <si>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</si>
  <si>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</si>
  <si>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</si>
  <si>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</si>
  <si>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</si>
  <si>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</si>
  <si>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</si>
  <si>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</si>
  <si>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</si>
  <si>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</si>
  <si>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</si>
  <si>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</si>
  <si>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</si>
  <si>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</si>
  <si>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</si>
  <si>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</si>
  <si>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</si>
  <si>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</si>
  <si>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</si>
  <si>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</si>
  <si>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</si>
  <si>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</si>
  <si>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</si>
  <si>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</si>
  <si>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</si>
  <si>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</si>
  <si>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</si>
  <si>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</si>
  <si>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</si>
  <si>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</si>
  <si>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</si>
  <si>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</si>
  <si>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</si>
  <si>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</si>
  <si>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</si>
  <si>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</si>
  <si>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</si>
  <si>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</si>
  <si>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</si>
  <si>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</si>
  <si>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</si>
  <si>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</si>
  <si>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</si>
  <si>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</si>
  <si>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</si>
  <si>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</si>
  <si>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</si>
  <si>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</si>
  <si>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</si>
  <si>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</si>
  <si>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</si>
  <si>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</si>
  <si>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</si>
  <si>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</si>
  <si>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</si>
  <si>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</si>
  <si>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</si>
  <si>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</si>
  <si>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</si>
  <si>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</si>
  <si>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</si>
  <si>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</si>
  <si>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</si>
  <si>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</si>
  <si>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</si>
  <si>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</si>
  <si>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</si>
  <si>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</si>
  <si>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</si>
  <si>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</si>
  <si>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</si>
  <si>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</si>
  <si>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</si>
  <si>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</si>
  <si>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</si>
  <si>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</si>
  <si>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</si>
  <si>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</si>
  <si>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</si>
  <si>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</si>
  <si>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</si>
  <si>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</si>
  <si>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</si>
  <si>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</si>
  <si>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</si>
  <si>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</si>
  <si>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</si>
  <si>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</si>
  <si>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</si>
  <si>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</si>
  <si>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</si>
  <si>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</si>
  <si>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</si>
  <si>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</si>
  <si>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</si>
  <si>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</si>
  <si>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</si>
  <si>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</si>
  <si>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</si>
  <si>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</si>
  <si>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</si>
  <si>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</si>
  <si>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</si>
  <si>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</si>
  <si>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</si>
  <si>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</si>
  <si>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</si>
  <si>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</si>
  <si>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</si>
  <si>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</si>
  <si>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</si>
  <si>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</si>
  <si>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</si>
  <si>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</si>
  <si>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</si>
  <si>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</si>
  <si>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</si>
  <si>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</si>
  <si>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</si>
  <si>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</si>
  <si>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</si>
  <si>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</si>
  <si>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</si>
  <si>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</si>
  <si>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</si>
  <si>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</si>
  <si>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</si>
  <si>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</si>
  <si>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</si>
  <si>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</si>
  <si>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</si>
  <si>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</si>
  <si>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</si>
  <si>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</si>
  <si>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</si>
  <si>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</si>
  <si>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</si>
  <si>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</si>
  <si>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</si>
  <si>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</si>
  <si>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</si>
  <si>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</si>
  <si>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</si>
  <si>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</si>
  <si>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</si>
  <si>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</si>
  <si>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</si>
  <si>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</si>
  <si>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(Multiple Items)</t>
  </si>
  <si>
    <t>clips</t>
  </si>
  <si>
    <t>petrol</t>
  </si>
  <si>
    <t>Petrol</t>
  </si>
  <si>
    <t>october</t>
  </si>
  <si>
    <t>TID:267053</t>
  </si>
  <si>
    <t>Amjad Sohail</t>
  </si>
  <si>
    <t>Arb Dasti</t>
  </si>
  <si>
    <t>Azam Payment (175k)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</si>
</sst>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282384</xdr:colOff>
      <xdr:row>110</xdr:row>
      <xdr:rowOff>2672</xdr:rowOff>
    </xdr:from>
    <xdr:to>
      <xdr:col>14</xdr:col>
      <xdr:colOff>583820</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583251</xdr:colOff>
      <xdr:row>7</xdr:row>
      <xdr:rowOff>43181</xdr:rowOff>
    </xdr:from>
    <xdr:to>
      <xdr:col>13</xdr:col>
      <xdr:colOff>468725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281540</xdr:colOff>
      <xdr:row>12</xdr:row>
      <xdr:rowOff>138748</xdr:rowOff>
    </xdr:from>
    <xdr:to>
      <xdr:col>14</xdr:col>
      <xdr:colOff>604468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646818</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5069447" createdVersion="8" refreshedVersion="8" minRefreshableVersion="3" recordCount="37" xr:uid="{B5BDFB73-D93A-4A7A-8149-666BC190B09B}">
  <cacheSource type="worksheet">
    <worksheetSource name="Table14"/>
  </cacheSource>
  <cacheFields count="7">
    <cacheField name="Date" numFmtId="14">
      <sharedItems containsSemiMixedTypes="0" containsNonDate="0" containsDate="1" containsString="0" minDate="2025-10-17T00:00:00" maxDate="2025-11-21T00:00:00"/>
    </cacheField>
    <cacheField name="Party" numFmtId="0">
      <sharedItems containsBlank="1" count="61">
        <s v="Closing October CF"/>
        <s v="Omer"/>
        <s v="Dasti"/>
        <s v="kaleem ullah"/>
        <s v="Aurangzeb"/>
        <s v="Malik Zaheer"/>
        <s v="Parts"/>
        <s v="BSC"/>
        <s v="salary"/>
        <s v="Arshad"/>
        <s v="Rashan"/>
        <s v="Transport"/>
        <s v="Finish"/>
        <s v="advance salary"/>
        <s v="madina dyes"/>
        <s v="ejaz sahab"/>
        <m/>
        <s v="Closing September CF" u="1"/>
        <s v="Misc" u="1"/>
        <s v="Ishaq" u="1"/>
        <s v="Temp" u="1"/>
        <s v="Faizan" u="1"/>
        <s v="Sajad khan" u="1"/>
        <s v="Unicolour" u="1"/>
        <s v="copper" u="1"/>
        <s v="sunsuper theka" u="1"/>
        <s v="Dyes" u="1"/>
        <s v="electric bill" u="1"/>
        <s v="Shafique Ansari" u="1"/>
        <s v="Chain Acc" u="1"/>
        <s v="Ubaidullah" u="1"/>
        <s v="Rafaqat" u="1"/>
        <s v="Amjad 7up" u="1"/>
        <s v="ARB dasti" u="1"/>
        <s v="Amjad Sohail" u="1"/>
        <s v="Haseeb shamsi" u="1"/>
        <s v="Hazrat khan" u="1"/>
        <s v="Sufi Nawaz Sahab" u="1"/>
        <s v="Badshah Fabrics" u="1"/>
        <s v="Hafiz Qureshi" u="1"/>
        <s v="Faysal Akraam" u="1"/>
        <s v="Raaz Fabrics" u="1"/>
        <s v="General Dyes" u="1"/>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500" maxValue="400012"/>
    </cacheField>
    <cacheField name="Credit" numFmtId="164">
      <sharedItems containsString="0" containsBlank="1" containsNumber="1" containsInteger="1" minValue="-584716" maxValue="646818"/>
    </cacheField>
    <cacheField name="Description" numFmtId="0">
      <sharedItems containsDate="1" containsBlank="1" containsMixedTypes="1" minDate="2025-11-19T00:00:00" maxDate="2025-11-21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553240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4712.874908558893"/>
    </cacheField>
    <cacheField name="Rate" numFmtId="0">
      <sharedItems containsString="0" containsBlank="1" containsNumber="1" minValue="10" maxValue="12"/>
    </cacheField>
    <cacheField name="Total" numFmtId="164">
      <sharedItems containsSemiMixedTypes="0" containsString="0" containsNumber="1" minValue="0" maxValue="536554.4989027066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5995371" createdVersion="8" refreshedVersion="8" minRefreshableVersion="3" recordCount="4" xr:uid="{AC867DCC-CE64-4D1A-827D-F1F3EE10EE4E}">
  <cacheSource type="worksheet">
    <worksheetSource name="Table8"/>
  </cacheSource>
  <cacheFields count="9">
    <cacheField name="Date" numFmtId="14">
      <sharedItems containsSemiMixedTypes="0" containsNonDate="0" containsDate="1" containsString="0" minDate="2025-05-16T00:00:00" maxDate="2025-11-21T00:00:00" count="37">
        <d v="2025-10-17T00:00:00"/>
        <d v="2025-11-18T00:00:00"/>
        <d v="2025-11-20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4195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6458333" createdVersion="8" refreshedVersion="8" minRefreshableVersion="3" recordCount="9"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10">
        <d v="2025-10-17T00:00:00"/>
        <d v="2025-11-18T00:00:00"/>
        <d v="2025-11-19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11-21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55">
        <s v="Closing Balance CF"/>
        <m/>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NonDate="0" containsString="0" containsBlank="1"/>
    </cacheField>
    <cacheField name="Rate" numFmtId="164">
      <sharedItems containsNonDate="0" containsString="0" containsBlank="1"/>
    </cacheField>
    <cacheField name="Rent" numFmtId="164">
      <sharedItems containsNonDate="0" containsString="0" containsBlank="1"/>
    </cacheField>
    <cacheField name="Total" numFmtId="164">
      <sharedItems containsSemiMixedTypes="0" containsString="0" containsNumber="1" containsInteger="1" minValue="0" maxValue="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6805556" createdVersion="8" refreshedVersion="8" minRefreshableVersion="3" recordCount="6" xr:uid="{376A650C-1F79-4049-BC45-E34989F046B2}">
  <cacheSource type="worksheet">
    <worksheetSource name="Table2"/>
  </cacheSource>
  <cacheFields count="8">
    <cacheField name="Date" numFmtId="14">
      <sharedItems containsNonDate="0" containsDate="1" containsString="0" containsBlank="1" minDate="2025-11-18T00:00:00" maxDate="2025-11-21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24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7152779" createdVersion="8" refreshedVersion="8" minRefreshableVersion="3" recordCount="102" xr:uid="{46CBB50D-3613-4E5B-8212-DD0313DCD05A}">
  <cacheSource type="worksheet">
    <worksheetSource name="Table1"/>
  </cacheSource>
  <cacheFields count="14">
    <cacheField name="Date" numFmtId="14">
      <sharedItems containsSemiMixedTypes="0" containsNonDate="0" containsDate="1" containsString="0" minDate="2025-07-25T00:00:00" maxDate="2025-11-21T00:00:00" count="95">
        <d v="2025-11-18T00:00:00"/>
        <d v="2025-11-19T00:00:00"/>
        <d v="2025-11-20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s v="YING" u="1"/>
        <s v="Meow" u="1"/>
        <s v="Umer Sb" u="1"/>
        <s v="-" u="1"/>
        <s v="Sajjad" u="1"/>
        <s v="Haji Ejaz" u="1"/>
      </sharedItems>
    </cacheField>
    <cacheField name="Bill Number" numFmtId="0">
      <sharedItems containsBlank="1" containsMixedTypes="1" containsNumber="1" containsInteger="1" minValue="604" maxValue="1108" count="492">
        <s v="October Closing CF"/>
        <n v="1091"/>
        <n v="1092"/>
        <n v="1093"/>
        <n v="1094"/>
        <n v="1095"/>
        <n v="1096"/>
        <n v="1097"/>
        <n v="1098"/>
        <n v="1099"/>
        <n v="1100"/>
        <n v="1101"/>
        <n v="1102"/>
        <n v="1103"/>
        <n v="1104"/>
        <n v="1105"/>
        <n v="1106"/>
        <n v="1107"/>
        <n v="1108"/>
        <m/>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57">
        <m/>
        <n v="1879"/>
        <n v="1867"/>
        <s v="1880+1885"/>
        <n v="1878"/>
        <n v="1897"/>
        <n v="1920"/>
        <n v="1898"/>
        <n v="1875"/>
        <n v="1918"/>
        <n v="1906"/>
        <n v="1873"/>
        <n v="188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42762"/>
    </cacheField>
    <cacheField name="Tiyaar/gaz" numFmtId="164">
      <sharedItems containsString="0" containsBlank="1" containsNumber="1" containsInteger="1" minValue="835" maxValue="27661"/>
    </cacheField>
    <cacheField name="shortage %" numFmtId="165">
      <sharedItems containsBlank="1" containsMixedTypes="1" containsNumber="1" minValue="1.5221542124693741" maxValue="2.6823320641823756"/>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d v="2025-10-17T00:00:00"/>
    <x v="0"/>
    <m/>
    <n v="646818"/>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n v="5000"/>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n v="18250"/>
    <m/>
    <s v="Master Tanveer"/>
    <s v="Bank"/>
    <m/>
  </r>
  <r>
    <d v="2025-11-20T00:00:00"/>
    <x v="15"/>
    <m/>
    <n v="200000"/>
    <s v="advance"/>
    <s v="Bank"/>
    <m/>
  </r>
  <r>
    <d v="2025-11-20T00:00:00"/>
    <x v="10"/>
    <n v="9740"/>
    <m/>
    <s v="Daig"/>
    <s v="Bank"/>
    <m/>
  </r>
  <r>
    <d v="2025-11-20T00:00:00"/>
    <x v="16"/>
    <m/>
    <m/>
    <m/>
    <m/>
    <m/>
  </r>
  <r>
    <d v="2025-11-20T00:00:00"/>
    <x v="1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4712.874908558893"/>
    <n v="10"/>
    <n v="536554.49890270666"/>
  </r>
  <r>
    <x v="1"/>
    <n v="14893.928310168252"/>
    <n v="10"/>
    <n v="178727.13972201903"/>
  </r>
  <r>
    <x v="2"/>
    <n v="24349.853694220925"/>
    <n v="10"/>
    <n v="292198.24433065113"/>
  </r>
  <r>
    <x v="3"/>
    <n v="0"/>
    <n v="10.5"/>
    <n v="0"/>
  </r>
  <r>
    <x v="4"/>
    <n v="0"/>
    <n v="10"/>
    <n v="0"/>
  </r>
  <r>
    <x v="5"/>
    <n v="0"/>
    <n v="10"/>
    <n v="0"/>
  </r>
  <r>
    <x v="6"/>
    <n v="0"/>
    <n v="10"/>
    <n v="0"/>
  </r>
  <r>
    <x v="7"/>
    <n v="0"/>
    <n v="10"/>
    <n v="0"/>
  </r>
  <r>
    <x v="8"/>
    <n v="0"/>
    <n v="10"/>
    <n v="0"/>
  </r>
  <r>
    <x v="9"/>
    <n v="0"/>
    <n v="12"/>
    <n v="0"/>
  </r>
  <r>
    <x v="10"/>
    <n v="0"/>
    <m/>
    <n v="0"/>
  </r>
  <r>
    <x v="11"/>
    <n v="0"/>
    <m/>
    <n v="0"/>
  </r>
  <r>
    <x v="12"/>
    <n v="0"/>
    <m/>
    <n v="0"/>
  </r>
  <r>
    <x v="13"/>
    <n v="0"/>
    <m/>
    <n v="0"/>
  </r>
  <r>
    <x v="14"/>
    <n v="0"/>
    <m/>
    <n v="0"/>
  </r>
  <r>
    <x v="15"/>
    <n v="0"/>
    <m/>
    <n v="0"/>
  </r>
  <r>
    <x v="16"/>
    <n v="27720.373079736652"/>
    <m/>
    <n v="332644.4769568397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s v="Dyes"/>
    <m/>
    <m/>
    <n v="141950"/>
    <x v="1"/>
    <n v="14195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PVA"/>
    <m/>
    <m/>
    <n v="0"/>
    <n v="0"/>
    <n v="0"/>
  </r>
  <r>
    <m/>
    <x v="3"/>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s v="NF"/>
    <m/>
    <m/>
    <m/>
  </r>
  <r>
    <x v="1"/>
    <x v="0"/>
    <x v="10"/>
    <s v="Silky"/>
    <x v="6"/>
    <n v="12000"/>
    <n v="6508"/>
    <s v="NF"/>
    <m/>
    <m/>
    <m/>
  </r>
  <r>
    <x v="1"/>
    <x v="0"/>
    <x v="11"/>
    <s v="Silky"/>
    <x v="7"/>
    <n v="8003"/>
    <n v="5167"/>
    <s v="NF"/>
    <m/>
    <m/>
    <m/>
  </r>
  <r>
    <x v="1"/>
    <x v="0"/>
    <x v="12"/>
    <s v="Silky"/>
    <x v="7"/>
    <n v="8003"/>
    <n v="3366"/>
    <s v="NF"/>
    <m/>
    <m/>
    <m/>
  </r>
  <r>
    <x v="1"/>
    <x v="0"/>
    <x v="13"/>
    <s v="Silky"/>
    <x v="6"/>
    <n v="12000"/>
    <n v="6423"/>
    <s v="NF"/>
    <m/>
    <m/>
    <m/>
  </r>
  <r>
    <x v="1"/>
    <x v="0"/>
    <x v="14"/>
    <s v="Silky"/>
    <x v="8"/>
    <n v="8051"/>
    <n v="8739"/>
    <s v="NF"/>
    <m/>
    <m/>
    <m/>
  </r>
  <r>
    <x v="1"/>
    <x v="0"/>
    <x v="15"/>
    <s v="Silky"/>
    <x v="9"/>
    <n v="24516"/>
    <n v="6876"/>
    <s v="NF"/>
    <m/>
    <m/>
    <m/>
  </r>
  <r>
    <x v="2"/>
    <x v="16"/>
    <x v="16"/>
    <s v="Silky"/>
    <x v="10"/>
    <n v="36489"/>
    <n v="27661"/>
    <s v="NF"/>
    <m/>
    <m/>
    <m/>
  </r>
  <r>
    <x v="2"/>
    <x v="16"/>
    <x v="17"/>
    <s v="Silky"/>
    <x v="11"/>
    <n v="42762"/>
    <n v="835"/>
    <s v="NF"/>
    <m/>
    <m/>
    <m/>
  </r>
  <r>
    <x v="2"/>
    <x v="16"/>
    <x v="18"/>
    <s v="Silky"/>
    <x v="12"/>
    <n v="8030"/>
    <n v="1819"/>
    <s v="NF"/>
    <m/>
    <m/>
    <m/>
  </r>
  <r>
    <x v="1"/>
    <x v="20"/>
    <x v="19"/>
    <m/>
    <x v="0"/>
    <m/>
    <m/>
    <e v="#DIV/0!"/>
    <m/>
    <m/>
    <m/>
  </r>
  <r>
    <x v="1"/>
    <x v="20"/>
    <x v="19"/>
    <m/>
    <x v="0"/>
    <m/>
    <m/>
    <e v="#DIV/0!"/>
    <m/>
    <m/>
    <m/>
  </r>
  <r>
    <x v="1"/>
    <x v="20"/>
    <x v="19"/>
    <m/>
    <x v="0"/>
    <m/>
    <m/>
    <e v="#DIV/0!"/>
    <m/>
    <m/>
    <m/>
  </r>
  <r>
    <x v="1"/>
    <x v="20"/>
    <x v="1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14:K118" firstHeaderRow="0" firstDataRow="1" firstDataCol="1"/>
  <pivotFields count="14">
    <pivotField axis="axisRow" numFmtId="14" showAll="0">
      <items count="96">
        <item m="1" x="79"/>
        <item m="1" x="80"/>
        <item m="1" x="81"/>
        <item m="1" x="82"/>
        <item m="1" x="83"/>
        <item m="1" x="84"/>
        <item m="1" x="94"/>
        <item m="1" x="85"/>
        <item m="1" x="86"/>
        <item m="1" x="87"/>
        <item m="1" x="88"/>
        <item m="1" x="89"/>
        <item m="1" x="90"/>
        <item m="1" x="91"/>
        <item m="1" x="92"/>
        <item m="1" x="93"/>
        <item m="1" x="56"/>
        <item m="1" x="55"/>
        <item m="1" x="50"/>
        <item m="1" x="57"/>
        <item m="1" x="58"/>
        <item m="1" x="59"/>
        <item m="1" x="60"/>
        <item m="1" x="61"/>
        <item m="1" x="62"/>
        <item m="1" x="63"/>
        <item m="1" x="64"/>
        <item m="1" x="65"/>
        <item m="1" x="66"/>
        <item m="1" x="67"/>
        <item m="1" x="68"/>
        <item m="1" x="69"/>
        <item m="1" x="70"/>
        <item m="1" x="71"/>
        <item m="1" x="72"/>
        <item m="1" x="73"/>
        <item m="1" x="74"/>
        <item m="1" x="75"/>
        <item m="1" x="76"/>
        <item m="1" x="77"/>
        <item m="1" x="78"/>
        <item m="1" x="28"/>
        <item m="1" x="29"/>
        <item m="1" x="30"/>
        <item m="1" x="31"/>
        <item m="1" x="32"/>
        <item m="1" x="33"/>
        <item m="1" x="34"/>
        <item m="1" x="35"/>
        <item m="1" x="36"/>
        <item m="1" x="37"/>
        <item m="1" x="38"/>
        <item m="1" x="39"/>
        <item m="1" x="40"/>
        <item m="1" x="41"/>
        <item m="1" x="51"/>
        <item m="1" x="42"/>
        <item m="1" x="43"/>
        <item m="1" x="52"/>
        <item m="1" x="44"/>
        <item m="1" x="45"/>
        <item m="1" x="46"/>
        <item m="1" x="53"/>
        <item m="1" x="54"/>
        <item m="1" x="47"/>
        <item m="1" x="48"/>
        <item m="1" x="49"/>
        <item m="1" x="3"/>
        <item m="1" x="4"/>
        <item m="1" x="5"/>
        <item m="1" x="6"/>
        <item m="1" x="7"/>
        <item m="1" x="8"/>
        <item m="1" x="9"/>
        <item m="1" x="10"/>
        <item m="1" x="11"/>
        <item m="1" x="12"/>
        <item m="1" x="13"/>
        <item m="1" x="14"/>
        <item m="1" x="15"/>
        <item m="1" x="16"/>
        <item m="1" x="27"/>
        <item m="1" x="17"/>
        <item m="1" x="18"/>
        <item m="1" x="19"/>
        <item m="1" x="20"/>
        <item m="1" x="21"/>
        <item m="1" x="22"/>
        <item m="1" x="26"/>
        <item m="1" x="23"/>
        <item m="1" x="24"/>
        <item m="1" x="25"/>
        <item x="0"/>
        <item x="1"/>
        <item x="2"/>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4">
    <i>
      <x v="92"/>
    </i>
    <i>
      <x v="93"/>
    </i>
    <i>
      <x v="94"/>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14:G135" firstHeaderRow="0" firstDataRow="1" firstDataCol="1" rowPageCount="3" colPageCount="1"/>
  <pivotFields count="14">
    <pivotField axis="axisPage" showAll="0">
      <items count="96">
        <item m="1" x="79"/>
        <item m="1" x="80"/>
        <item m="1" x="81"/>
        <item m="1" x="82"/>
        <item m="1" x="83"/>
        <item m="1" x="84"/>
        <item m="1" x="94"/>
        <item m="1" x="85"/>
        <item m="1" x="86"/>
        <item m="1" x="87"/>
        <item m="1" x="88"/>
        <item m="1" x="89"/>
        <item m="1" x="90"/>
        <item m="1" x="91"/>
        <item m="1" x="92"/>
        <item m="1" x="93"/>
        <item m="1" x="56"/>
        <item m="1" x="55"/>
        <item m="1" x="50"/>
        <item m="1" x="57"/>
        <item m="1" x="58"/>
        <item m="1" x="59"/>
        <item m="1" x="60"/>
        <item m="1" x="61"/>
        <item m="1" x="62"/>
        <item m="1" x="63"/>
        <item m="1" x="64"/>
        <item m="1" x="65"/>
        <item m="1" x="66"/>
        <item m="1" x="67"/>
        <item m="1" x="68"/>
        <item m="1" x="69"/>
        <item m="1" x="70"/>
        <item m="1" x="71"/>
        <item m="1" x="72"/>
        <item m="1" x="73"/>
        <item m="1" x="74"/>
        <item m="1" x="75"/>
        <item m="1" x="76"/>
        <item m="1" x="77"/>
        <item m="1" x="78"/>
        <item m="1" x="28"/>
        <item m="1" x="29"/>
        <item m="1" x="30"/>
        <item m="1" x="31"/>
        <item m="1" x="32"/>
        <item m="1" x="33"/>
        <item m="1" x="34"/>
        <item m="1" x="35"/>
        <item m="1" x="36"/>
        <item m="1" x="37"/>
        <item m="1" x="38"/>
        <item m="1" x="39"/>
        <item m="1" x="40"/>
        <item m="1" x="41"/>
        <item m="1" x="51"/>
        <item m="1" x="42"/>
        <item m="1" x="43"/>
        <item m="1" x="52"/>
        <item m="1" x="44"/>
        <item m="1" x="45"/>
        <item m="1" x="46"/>
        <item m="1" x="53"/>
        <item m="1" x="54"/>
        <item m="1" x="47"/>
        <item m="1" x="48"/>
        <item m="1" x="49"/>
        <item m="1" x="3"/>
        <item m="1" x="4"/>
        <item m="1" x="5"/>
        <item m="1" x="6"/>
        <item m="1" x="7"/>
        <item m="1" x="8"/>
        <item m="1" x="9"/>
        <item m="1" x="10"/>
        <item m="1" x="11"/>
        <item m="1" x="12"/>
        <item m="1" x="13"/>
        <item m="1" x="14"/>
        <item m="1" x="15"/>
        <item m="1" x="16"/>
        <item m="1" x="27"/>
        <item m="1" x="17"/>
        <item m="1" x="18"/>
        <item m="1" x="19"/>
        <item m="1" x="20"/>
        <item m="1" x="21"/>
        <item m="1" x="22"/>
        <item m="1" x="26"/>
        <item m="1" x="23"/>
        <item m="1" x="24"/>
        <item m="1" x="25"/>
        <item x="0"/>
        <item x="1"/>
        <item x="2"/>
        <item t="default"/>
      </items>
    </pivotField>
    <pivotField axis="axisPage" multipleItemSelectionAllowed="1" showAll="0">
      <items count="28">
        <item x="2"/>
        <item x="0"/>
        <item m="1" x="26"/>
        <item x="6"/>
        <item m="1" x="25"/>
        <item m="1" x="24"/>
        <item m="1" x="23"/>
        <item x="1"/>
        <item x="3"/>
        <item m="1" x="22"/>
        <item x="4"/>
        <item m="1" x="21"/>
        <item x="20"/>
        <item x="5"/>
        <item x="10"/>
        <item x="8"/>
        <item x="9"/>
        <item x="7"/>
        <item x="11"/>
        <item x="12"/>
        <item x="13"/>
        <item x="14"/>
        <item x="15"/>
        <item x="16"/>
        <item x="17"/>
        <item x="18"/>
        <item x="19"/>
        <item t="default"/>
      </items>
    </pivotField>
    <pivotField axis="axisRow" numFmtId="164" showAll="0">
      <items count="49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382"/>
        <item m="1" x="383"/>
        <item m="1" x="384"/>
        <item m="1" x="385"/>
        <item m="1" x="386"/>
        <item m="1" x="387"/>
        <item m="1" x="388"/>
        <item m="1" x="389"/>
        <item m="1" x="390"/>
        <item m="1" x="391"/>
        <item m="1" x="392"/>
        <item m="1" x="393"/>
        <item m="1" x="394"/>
        <item m="1" x="395"/>
        <item m="1" x="396"/>
        <item m="1" x="397"/>
        <item m="1" x="398"/>
        <item m="1" x="399"/>
        <item m="1" x="428"/>
        <item m="1" x="400"/>
        <item m="1" x="401"/>
        <item m="1" x="402"/>
        <item m="1" x="403"/>
        <item m="1" x="404"/>
        <item m="1" x="405"/>
        <item m="1" x="417"/>
        <item m="1" x="406"/>
        <item m="1" x="407"/>
        <item m="1" x="408"/>
        <item m="1" x="409"/>
        <item m="1" x="410"/>
        <item m="1" x="411"/>
        <item m="1" x="412"/>
        <item m="1" x="413"/>
        <item m="1" x="414"/>
        <item m="1" x="415"/>
        <item m="1" x="416"/>
        <item m="1" x="418"/>
        <item m="1" x="419"/>
        <item m="1" x="420"/>
        <item m="1" x="421"/>
        <item m="1" x="422"/>
        <item m="1" x="423"/>
        <item m="1" x="424"/>
        <item m="1" x="425"/>
        <item m="1" x="426"/>
        <item m="1" x="427"/>
        <item m="1" x="429"/>
        <item m="1" x="430"/>
        <item m="1" x="431"/>
        <item m="1" x="432"/>
        <item m="1" x="433"/>
        <item m="1" x="434"/>
        <item m="1" x="435"/>
        <item m="1" x="436"/>
        <item m="1" x="437"/>
        <item m="1" x="438"/>
        <item m="1" x="439"/>
        <item m="1" x="440"/>
        <item m="1" x="441"/>
        <item m="1" x="442"/>
        <item m="1" x="443"/>
        <item m="1" x="274"/>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275"/>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2"/>
        <item m="1" x="373"/>
        <item m="1" x="374"/>
        <item m="1" x="371"/>
        <item m="1" x="375"/>
        <item m="1" x="376"/>
        <item m="1" x="377"/>
        <item m="1" x="378"/>
        <item m="1" x="379"/>
        <item m="1" x="380"/>
        <item m="1" x="381"/>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x="1"/>
        <item x="2"/>
        <item x="3"/>
        <item x="4"/>
        <item x="5"/>
        <item x="6"/>
        <item x="7"/>
        <item x="8"/>
        <item x="0"/>
        <item x="9"/>
        <item x="10"/>
        <item x="11"/>
        <item x="12"/>
        <item x="13"/>
        <item x="14"/>
        <item x="15"/>
        <item x="16"/>
        <item x="17"/>
        <item x="18"/>
        <item x="19"/>
        <item t="default"/>
      </items>
    </pivotField>
    <pivotField showAll="0"/>
    <pivotField axis="axisPage" multipleItemSelectionAllowed="1" showAll="0">
      <items count="258">
        <item m="1" x="211"/>
        <item m="1" x="240"/>
        <item m="1" x="241"/>
        <item m="1" x="249"/>
        <item m="1" x="239"/>
        <item m="1" x="238"/>
        <item m="1" x="242"/>
        <item m="1" x="253"/>
        <item m="1" x="245"/>
        <item m="1" x="246"/>
        <item m="1" x="243"/>
        <item m="1" x="244"/>
        <item m="1" x="254"/>
        <item m="1" x="247"/>
        <item m="1" x="248"/>
        <item m="1" x="251"/>
        <item m="1" x="252"/>
        <item m="1" x="250"/>
        <item m="1" x="206"/>
        <item m="1" x="256"/>
        <item m="1" x="205"/>
        <item m="1" x="255"/>
        <item m="1" x="208"/>
        <item m="1" x="207"/>
        <item m="1" x="209"/>
        <item m="1" x="215"/>
        <item m="1" x="210"/>
        <item m="1" x="212"/>
        <item m="1" x="216"/>
        <item m="1" x="217"/>
        <item m="1" x="236"/>
        <item m="1" x="213"/>
        <item m="1" x="214"/>
        <item m="1" x="176"/>
        <item m="1" x="198"/>
        <item m="1" x="237"/>
        <item m="1" x="218"/>
        <item m="1" x="219"/>
        <item m="1" x="220"/>
        <item m="1" x="221"/>
        <item m="1" x="222"/>
        <item m="1" x="152"/>
        <item m="1" x="223"/>
        <item m="1" x="224"/>
        <item m="1" x="225"/>
        <item m="1" x="226"/>
        <item m="1" x="227"/>
        <item m="1" x="228"/>
        <item m="1" x="229"/>
        <item m="1" x="230"/>
        <item m="1" x="231"/>
        <item m="1" x="232"/>
        <item m="1" x="233"/>
        <item m="1" x="234"/>
        <item m="1" x="235"/>
        <item x="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9"/>
        <item m="1" x="200"/>
        <item m="1" x="201"/>
        <item m="1" x="202"/>
        <item m="1" x="203"/>
        <item m="1" x="204"/>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50"/>
        <item m="1" x="131"/>
        <item m="1" x="132"/>
        <item m="1" x="133"/>
        <item m="1" x="134"/>
        <item m="1" x="135"/>
        <item m="1" x="136"/>
        <item m="1" x="137"/>
        <item m="1" x="138"/>
        <item m="1" x="139"/>
        <item m="1" x="140"/>
        <item m="1" x="141"/>
        <item m="1" x="142"/>
        <item m="1" x="143"/>
        <item m="1" x="144"/>
        <item m="1" x="145"/>
        <item m="1" x="146"/>
        <item m="1" x="147"/>
        <item m="1" x="148"/>
        <item m="1" x="149"/>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x="11"/>
        <item m="1" x="68"/>
        <item x="1"/>
        <item x="2"/>
        <item x="3"/>
        <item x="4"/>
        <item x="5"/>
        <item x="6"/>
        <item x="7"/>
        <item x="8"/>
        <item x="9"/>
        <item x="10"/>
        <item x="12"/>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21">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5" firstHeaderRow="0" firstDataRow="1" firstDataCol="1" rowPageCount="1" colPageCount="1"/>
  <pivotFields count="9">
    <pivotField axis="axisRow" numFmtId="14" showAll="0">
      <items count="111">
        <item m="1" x="94"/>
        <item m="1" x="95"/>
        <item m="1" x="96"/>
        <item m="1" x="97"/>
        <item m="1" x="98"/>
        <item m="1" x="99"/>
        <item m="1" x="100"/>
        <item m="1" x="109"/>
        <item m="1" x="90"/>
        <item m="1" x="101"/>
        <item m="1" x="102"/>
        <item m="1" x="103"/>
        <item m="1" x="104"/>
        <item m="1" x="105"/>
        <item m="1" x="106"/>
        <item m="1" x="107"/>
        <item m="1" x="61"/>
        <item m="1" x="62"/>
        <item m="1" x="108"/>
        <item m="1" x="63"/>
        <item m="1" x="60"/>
        <item m="1" x="64"/>
        <item m="1" x="66"/>
        <item m="1" x="67"/>
        <item m="1" x="68"/>
        <item m="1" x="70"/>
        <item m="1" x="71"/>
        <item m="1" x="72"/>
        <item m="1" x="65"/>
        <item m="1" x="69"/>
        <item m="1" x="73"/>
        <item m="1" x="74"/>
        <item m="1" x="75"/>
        <item m="1" x="76"/>
        <item m="1" x="59"/>
        <item m="1" x="77"/>
        <item m="1" x="91"/>
        <item m="1" x="92"/>
        <item m="1" x="93"/>
        <item m="1" x="78"/>
        <item m="1" x="79"/>
        <item m="1" x="80"/>
        <item m="1" x="81"/>
        <item m="1" x="82"/>
        <item m="1" x="83"/>
        <item m="1" x="84"/>
        <item m="1" x="85"/>
        <item m="1" x="86"/>
        <item m="1" x="87"/>
        <item m="1" x="88"/>
        <item m="1" x="89"/>
        <item m="1" x="30"/>
        <item m="1" x="31"/>
        <item m="1" x="32"/>
        <item m="1" x="33"/>
        <item m="1" x="34"/>
        <item m="1" x="35"/>
        <item m="1" x="36"/>
        <item m="1" x="37"/>
        <item m="1" x="39"/>
        <item m="1" x="40"/>
        <item m="1" x="41"/>
        <item m="1" x="38"/>
        <item m="1" x="42"/>
        <item m="1" x="43"/>
        <item m="1" x="44"/>
        <item m="1" x="45"/>
        <item m="1" x="46"/>
        <item m="1" x="47"/>
        <item m="1" x="48"/>
        <item m="1" x="49"/>
        <item m="1" x="50"/>
        <item m="1" x="51"/>
        <item m="1" x="52"/>
        <item m="1" x="53"/>
        <item m="1" x="54"/>
        <item m="1" x="55"/>
        <item m="1" x="56"/>
        <item m="1" x="57"/>
        <item m="1" x="58"/>
        <item x="0"/>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x="1"/>
        <item m="1" x="29"/>
        <item x="2"/>
        <item t="default"/>
      </items>
    </pivotField>
    <pivotField axis="axisPage" showAll="0">
      <items count="10">
        <item x="1"/>
        <item x="0"/>
        <item m="1" x="6"/>
        <item m="1" x="8"/>
        <item x="2"/>
        <item x="3"/>
        <item x="4"/>
        <item m="1" x="7"/>
        <item x="5"/>
        <item t="default"/>
      </items>
    </pivotField>
    <pivotField axis="axisRow" showAll="0">
      <items count="56">
        <item m="1" x="45"/>
        <item m="1" x="29"/>
        <item m="1" x="41"/>
        <item m="1" x="11"/>
        <item m="1" x="46"/>
        <item m="1" x="47"/>
        <item m="1" x="42"/>
        <item m="1" x="43"/>
        <item m="1" x="44"/>
        <item m="1" x="22"/>
        <item m="1" x="48"/>
        <item m="1" x="49"/>
        <item m="1" x="50"/>
        <item m="1" x="51"/>
        <item m="1" x="52"/>
        <item m="1" x="53"/>
        <item m="1" x="18"/>
        <item m="1" x="19"/>
        <item m="1" x="54"/>
        <item m="1" x="20"/>
        <item x="0"/>
        <item m="1" x="21"/>
        <item m="1" x="23"/>
        <item m="1" x="24"/>
        <item m="1" x="25"/>
        <item m="1" x="26"/>
        <item m="1" x="27"/>
        <item m="1" x="28"/>
        <item m="1" x="30"/>
        <item m="1" x="31"/>
        <item m="1" x="13"/>
        <item m="1" x="32"/>
        <item m="1" x="33"/>
        <item m="1" x="34"/>
        <item m="1" x="17"/>
        <item m="1" x="35"/>
        <item m="1" x="36"/>
        <item m="1" x="15"/>
        <item m="1" x="37"/>
        <item m="1" x="38"/>
        <item m="1" x="39"/>
        <item m="1" x="40"/>
        <item m="1" x="3"/>
        <item m="1" x="4"/>
        <item m="1" x="5"/>
        <item m="1" x="6"/>
        <item m="1" x="7"/>
        <item m="1" x="8"/>
        <item m="1" x="9"/>
        <item m="1" x="10"/>
        <item m="1" x="12"/>
        <item m="1" x="14"/>
        <item m="1" x="16"/>
        <item m="1" x="2"/>
        <item x="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
    <i>
      <x v="80"/>
    </i>
    <i r="1">
      <x v="20"/>
    </i>
    <i>
      <x v="107"/>
    </i>
    <i r="1">
      <x v="20"/>
    </i>
    <i>
      <x v="10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1" firstHeaderRow="0" firstDataRow="1" firstDataCol="1"/>
  <pivotFields count="7">
    <pivotField numFmtId="14" showAll="0"/>
    <pivotField axis="axisRow" showAll="0">
      <items count="62">
        <item x="13"/>
        <item x="9"/>
        <item x="7"/>
        <item m="1" x="47"/>
        <item m="1" x="51"/>
        <item x="12"/>
        <item x="5"/>
        <item m="1" x="18"/>
        <item x="6"/>
        <item x="10"/>
        <item x="8"/>
        <item m="1" x="59"/>
        <item m="1" x="46"/>
        <item x="11"/>
        <item m="1" x="40"/>
        <item m="1" x="57"/>
        <item x="2"/>
        <item m="1" x="20"/>
        <item x="1"/>
        <item x="15"/>
        <item x="16"/>
        <item m="1" x="22"/>
        <item m="1" x="60"/>
        <item m="1" x="37"/>
        <item m="1" x="39"/>
        <item m="1" x="58"/>
        <item m="1" x="50"/>
        <item m="1" x="23"/>
        <item m="1" x="52"/>
        <item m="1" x="53"/>
        <item m="1" x="54"/>
        <item m="1" x="55"/>
        <item m="1" x="30"/>
        <item m="1" x="56"/>
        <item m="1" x="41"/>
        <item m="1" x="31"/>
        <item m="1" x="26"/>
        <item m="1" x="45"/>
        <item m="1" x="44"/>
        <item m="1" x="29"/>
        <item m="1" x="38"/>
        <item x="3"/>
        <item m="1" x="19"/>
        <item m="1" x="48"/>
        <item m="1" x="33"/>
        <item m="1" x="49"/>
        <item m="1" x="17"/>
        <item m="1" x="21"/>
        <item x="14"/>
        <item m="1" x="24"/>
        <item m="1" x="25"/>
        <item m="1" x="27"/>
        <item m="1" x="28"/>
        <item m="1" x="32"/>
        <item m="1" x="34"/>
        <item m="1" x="35"/>
        <item m="1" x="36"/>
        <item m="1" x="43"/>
        <item x="4"/>
        <item m="1" x="42"/>
        <item x="0"/>
        <item t="default"/>
      </items>
    </pivotField>
    <pivotField dataField="1" showAll="0"/>
    <pivotField dataField="1" showAll="0"/>
    <pivotField showAll="0"/>
    <pivotField showAll="0"/>
    <pivotField showAll="0"/>
  </pivotFields>
  <rowFields count="1">
    <field x="1"/>
  </rowFields>
  <rowItems count="18">
    <i>
      <x/>
    </i>
    <i>
      <x v="1"/>
    </i>
    <i>
      <x v="2"/>
    </i>
    <i>
      <x v="5"/>
    </i>
    <i>
      <x v="6"/>
    </i>
    <i>
      <x v="8"/>
    </i>
    <i>
      <x v="9"/>
    </i>
    <i>
      <x v="10"/>
    </i>
    <i>
      <x v="13"/>
    </i>
    <i>
      <x v="16"/>
    </i>
    <i>
      <x v="18"/>
    </i>
    <i>
      <x v="19"/>
    </i>
    <i>
      <x v="20"/>
    </i>
    <i>
      <x v="41"/>
    </i>
    <i>
      <x v="48"/>
    </i>
    <i>
      <x v="58"/>
    </i>
    <i>
      <x v="60"/>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7"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h="1" x="20"/>
        <item x="5"/>
        <item x="10"/>
        <item x="8"/>
        <item x="9"/>
        <item x="7"/>
        <item x="11"/>
        <item x="12"/>
        <item x="13"/>
        <item x="14"/>
        <item x="15"/>
        <item x="16"/>
        <item x="17"/>
        <item x="18"/>
        <item x="19"/>
        <item t="default"/>
      </items>
    </pivotField>
    <pivotField showAll="0"/>
    <pivotField showAll="0"/>
    <pivotField axis="axisRow" showAll="0">
      <items count="258">
        <item m="1" x="240"/>
        <item m="1" x="241"/>
        <item m="1" x="239"/>
        <item m="1" x="238"/>
        <item m="1" x="242"/>
        <item m="1" x="244"/>
        <item m="1" x="243"/>
        <item m="1" x="245"/>
        <item m="1" x="246"/>
        <item m="1" x="247"/>
        <item m="1" x="248"/>
        <item m="1" x="249"/>
        <item m="1" x="250"/>
        <item m="1" x="251"/>
        <item m="1" x="176"/>
        <item m="1" x="198"/>
        <item m="1" x="252"/>
        <item m="1" x="253"/>
        <item m="1" x="254"/>
        <item m="1" x="206"/>
        <item m="1" x="205"/>
        <item m="1" x="255"/>
        <item m="1" x="256"/>
        <item m="1" x="215"/>
        <item m="1" x="207"/>
        <item m="1" x="208"/>
        <item m="1" x="209"/>
        <item m="1" x="210"/>
        <item m="1" x="211"/>
        <item m="1" x="212"/>
        <item m="1" x="213"/>
        <item m="1" x="214"/>
        <item m="1" x="216"/>
        <item m="1" x="236"/>
        <item m="1" x="217"/>
        <item m="1" x="237"/>
        <item m="1" x="218"/>
        <item m="1" x="219"/>
        <item m="1" x="220"/>
        <item m="1" x="221"/>
        <item m="1" x="222"/>
        <item m="1" x="152"/>
        <item m="1" x="223"/>
        <item m="1" x="224"/>
        <item m="1" x="225"/>
        <item m="1" x="226"/>
        <item m="1" x="227"/>
        <item m="1" x="228"/>
        <item m="1" x="229"/>
        <item m="1" x="230"/>
        <item m="1" x="231"/>
        <item m="1" x="232"/>
        <item m="1" x="233"/>
        <item m="1" x="234"/>
        <item m="1" x="235"/>
        <item x="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9"/>
        <item m="1" x="200"/>
        <item m="1" x="201"/>
        <item m="1" x="202"/>
        <item m="1" x="203"/>
        <item m="1" x="204"/>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50"/>
        <item m="1" x="131"/>
        <item m="1" x="132"/>
        <item m="1" x="133"/>
        <item m="1" x="134"/>
        <item m="1" x="135"/>
        <item m="1" x="136"/>
        <item m="1" x="137"/>
        <item m="1" x="138"/>
        <item m="1" x="139"/>
        <item m="1" x="140"/>
        <item m="1" x="141"/>
        <item m="1" x="142"/>
        <item m="1" x="143"/>
        <item m="1" x="144"/>
        <item m="1" x="145"/>
        <item m="1" x="146"/>
        <item m="1" x="147"/>
        <item m="1" x="148"/>
        <item m="1" x="149"/>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x="11"/>
        <item m="1" x="68"/>
        <item x="1"/>
        <item x="2"/>
        <item x="3"/>
        <item x="4"/>
        <item x="5"/>
        <item x="6"/>
        <item x="7"/>
        <item x="8"/>
        <item x="9"/>
        <item x="10"/>
        <item x="1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4">
    <i>
      <x v="55"/>
    </i>
    <i>
      <x v="244"/>
    </i>
    <i>
      <x v="246"/>
    </i>
    <i>
      <x v="247"/>
    </i>
    <i>
      <x v="248"/>
    </i>
    <i>
      <x v="249"/>
    </i>
    <i>
      <x v="250"/>
    </i>
    <i>
      <x v="251"/>
    </i>
    <i>
      <x v="252"/>
    </i>
    <i>
      <x v="253"/>
    </i>
    <i>
      <x v="254"/>
    </i>
    <i>
      <x v="255"/>
    </i>
    <i>
      <x v="25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7">
        <i x="2" s="1"/>
        <i x="11" s="1"/>
        <i x="8" s="1"/>
        <i x="4" s="1"/>
        <i x="1" s="1"/>
        <i x="12" s="1"/>
        <i x="5" s="1"/>
        <i x="7" s="1"/>
        <i x="10" s="1"/>
        <i x="9" s="1"/>
        <i x="6" s="1"/>
        <i x="3" s="1"/>
        <i x="211" s="1" nd="1"/>
        <i x="240" s="1" nd="1"/>
        <i x="241" s="1" nd="1"/>
        <i x="249" s="1" nd="1"/>
        <i x="239" s="1" nd="1"/>
        <i x="238" s="1" nd="1"/>
        <i x="242" s="1" nd="1"/>
        <i x="253" s="1" nd="1"/>
        <i x="245" s="1" nd="1"/>
        <i x="246" s="1" nd="1"/>
        <i x="243" s="1" nd="1"/>
        <i x="244" s="1" nd="1"/>
        <i x="254" s="1" nd="1"/>
        <i x="247" s="1" nd="1"/>
        <i x="248" s="1" nd="1"/>
        <i x="251" s="1" nd="1"/>
        <i x="252" s="1" nd="1"/>
        <i x="250" s="1" nd="1"/>
        <i x="206" s="1" nd="1"/>
        <i x="256" s="1" nd="1"/>
        <i x="205" s="1" nd="1"/>
        <i x="255" s="1" nd="1"/>
        <i x="208" s="1" nd="1"/>
        <i x="169" s="1" nd="1"/>
        <i x="207" s="1" nd="1"/>
        <i x="209" s="1" nd="1"/>
        <i x="215" s="1" nd="1"/>
        <i x="210" s="1" nd="1"/>
        <i x="212" s="1" nd="1"/>
        <i x="228" s="1" nd="1"/>
        <i x="151" s="1" nd="1"/>
        <i x="216" s="1" nd="1"/>
        <i x="156" s="1" nd="1"/>
        <i x="222" s="1" nd="1"/>
        <i x="217" s="1" nd="1"/>
        <i x="220" s="1" nd="1"/>
        <i x="225" s="1" nd="1"/>
        <i x="236" s="1" nd="1"/>
        <i x="218" s="1" nd="1"/>
        <i x="230" s="1" nd="1"/>
        <i x="233" s="1" nd="1"/>
        <i x="224" s="1" nd="1"/>
        <i x="213" s="1" nd="1"/>
        <i x="221" s="1" nd="1"/>
        <i x="214" s="1" nd="1"/>
        <i x="219" s="1" nd="1"/>
        <i x="152" s="1" nd="1"/>
        <i x="223" s="1" nd="1"/>
        <i x="229" s="1" nd="1"/>
        <i x="166" s="1" nd="1"/>
        <i x="226" s="1" nd="1"/>
        <i x="231" s="1" nd="1"/>
        <i x="227" s="1" nd="1"/>
        <i x="193" s="1" nd="1"/>
        <i x="232" s="1" nd="1"/>
        <i x="234" s="1" nd="1"/>
        <i x="154" s="1" nd="1"/>
        <i x="161" s="1" nd="1"/>
        <i x="235" s="1" nd="1"/>
        <i x="158" s="1" nd="1"/>
        <i x="159" s="1" nd="1"/>
        <i x="153" s="1" nd="1"/>
        <i x="157" s="1" nd="1"/>
        <i x="44" s="1" nd="1"/>
        <i x="155" s="1" nd="1"/>
        <i x="164" s="1" nd="1"/>
        <i x="160" s="1" nd="1"/>
        <i x="162" s="1" nd="1"/>
        <i x="165" s="1" nd="1"/>
        <i x="173" s="1" nd="1"/>
        <i x="163" s="1" nd="1"/>
        <i x="172" s="1" nd="1"/>
        <i x="177" s="1" nd="1"/>
        <i x="171" s="1" nd="1"/>
        <i x="174" s="1" nd="1"/>
        <i x="184" s="1" nd="1"/>
        <i x="170" s="1" nd="1"/>
        <i x="167" s="1" nd="1"/>
        <i x="168" s="1" nd="1"/>
        <i x="183" s="1" nd="1"/>
        <i x="40" s="1" nd="1"/>
        <i x="176" s="1" nd="1"/>
        <i x="187" s="1" nd="1"/>
        <i x="182" s="1" nd="1"/>
        <i x="175" s="1" nd="1"/>
        <i x="199" s="1" nd="1"/>
        <i x="180" s="1" nd="1"/>
        <i x="190" s="1" nd="1"/>
        <i x="188" s="1" nd="1"/>
        <i x="178" s="1" nd="1"/>
        <i x="186" s="1" nd="1"/>
        <i x="185" s="1" nd="1"/>
        <i x="181" s="1" nd="1"/>
        <i x="191" s="1" nd="1"/>
        <i x="189" s="1" nd="1"/>
        <i x="192" s="1" nd="1"/>
        <i x="179" s="1" nd="1"/>
        <i x="120" s="1" nd="1"/>
        <i x="194" s="1" nd="1"/>
        <i x="195" s="1" nd="1"/>
        <i x="78" s="1" nd="1"/>
        <i x="80" s="1" nd="1"/>
        <i x="202" s="1" nd="1"/>
        <i x="74" s="1" nd="1"/>
        <i x="121" s="1" nd="1"/>
        <i x="196" s="1" nd="1"/>
        <i x="197" s="1" nd="1"/>
        <i x="77" s="1" nd="1"/>
        <i x="204" s="1" nd="1"/>
        <i x="76" s="1" nd="1"/>
        <i x="91" s="1" nd="1"/>
        <i x="203" s="1" nd="1"/>
        <i x="198" s="1" nd="1"/>
        <i x="95" s="1" nd="1"/>
        <i x="201" s="1" nd="1"/>
        <i x="200" s="1" nd="1"/>
        <i x="116" s="1" nd="1"/>
        <i x="69" s="1" nd="1"/>
        <i x="81" s="1" nd="1"/>
        <i x="117" s="1" nd="1"/>
        <i x="115" s="1" nd="1"/>
        <i x="73" s="1" nd="1"/>
        <i x="75" s="1" nd="1"/>
        <i x="79" s="1" nd="1"/>
        <i x="70" s="1" nd="1"/>
        <i x="105" s="1" nd="1"/>
        <i x="110" s="1" nd="1"/>
        <i x="71" s="1" nd="1"/>
        <i x="72" s="1" nd="1"/>
        <i x="82" s="1" nd="1"/>
        <i x="85" s="1" nd="1"/>
        <i x="92" s="1" nd="1"/>
        <i x="84" s="1" nd="1"/>
        <i x="87" s="1" nd="1"/>
        <i x="86" s="1" nd="1"/>
        <i x="129" s="1" nd="1"/>
        <i x="83" s="1" nd="1"/>
        <i x="108" s="1" nd="1"/>
        <i x="124" s="1" nd="1"/>
        <i x="88" s="1" nd="1"/>
        <i x="113" s="1" nd="1"/>
        <i x="126" s="1" nd="1"/>
        <i x="97" s="1" nd="1"/>
        <i x="138" s="1" nd="1"/>
        <i x="96" s="1" nd="1"/>
        <i x="93" s="1" nd="1"/>
        <i x="89" s="1" nd="1"/>
        <i x="90" s="1" nd="1"/>
        <i x="109" s="1" nd="1"/>
        <i x="98" s="1" nd="1"/>
        <i x="21" s="1" nd="1"/>
        <i x="99" s="1" nd="1"/>
        <i x="94" s="1" nd="1"/>
        <i x="101" s="1" nd="1"/>
        <i x="102" s="1" nd="1"/>
        <i x="131" s="1" nd="1"/>
        <i x="100" s="1" nd="1"/>
        <i x="118" s="1" nd="1"/>
        <i x="106" s="1" nd="1"/>
        <i x="103" s="1" nd="1"/>
        <i x="107" s="1" nd="1"/>
        <i x="104" s="1" nd="1"/>
        <i x="111" s="1" nd="1"/>
        <i x="130" s="1" nd="1"/>
        <i x="125" s="1" nd="1"/>
        <i x="144" s="1" nd="1"/>
        <i x="112" s="1" nd="1"/>
        <i x="14" s="1" nd="1"/>
        <i x="123" s="1" nd="1"/>
        <i x="114" s="1" nd="1"/>
        <i x="139" s="1" nd="1"/>
        <i x="122" s="1" nd="1"/>
        <i x="137" s="1" nd="1"/>
        <i x="22" s="1" nd="1"/>
        <i x="128" s="1" nd="1"/>
        <i x="127" s="1" nd="1"/>
        <i x="143" s="1" nd="1"/>
        <i x="140" s="1" nd="1"/>
        <i x="33" s="1" nd="1"/>
        <i x="148" s="1" nd="1"/>
        <i x="132" s="1" nd="1"/>
        <i x="141" s="1" nd="1"/>
        <i x="146" s="1" nd="1"/>
        <i x="24" s="1" nd="1"/>
        <i x="50" s="1" nd="1"/>
        <i x="150" s="1" nd="1"/>
        <i x="147" s="1" nd="1"/>
        <i x="15" s="1" nd="1"/>
        <i x="35" s="1" nd="1"/>
        <i x="142" s="1" nd="1"/>
        <i x="17" s="1" nd="1"/>
        <i x="133" s="1" nd="1"/>
        <i x="136" s="1" nd="1"/>
        <i x="32" s="1" nd="1"/>
        <i x="145" s="1" nd="1"/>
        <i x="134" s="1" nd="1"/>
        <i x="135" s="1" nd="1"/>
        <i x="19" s="1" nd="1"/>
        <i x="37" s="1" nd="1"/>
        <i x="38" s="1" nd="1"/>
        <i x="51" s="1" nd="1"/>
        <i x="149" s="1" nd="1"/>
        <i x="13" s="1" nd="1"/>
        <i x="36" s="1" nd="1"/>
        <i x="29" s="1" nd="1"/>
        <i x="16" s="1" nd="1"/>
        <i x="20" s="1" nd="1"/>
        <i x="26" s="1" nd="1"/>
        <i x="18" s="1" nd="1"/>
        <i x="42" s="1" nd="1"/>
        <i x="46" s="1" nd="1"/>
        <i x="47" s="1" nd="1"/>
        <i x="39" s="1" nd="1"/>
        <i x="23" s="1" nd="1"/>
        <i x="25" s="1" nd="1"/>
        <i x="27" s="1" nd="1"/>
        <i x="30" s="1" nd="1"/>
        <i x="43" s="1" nd="1"/>
        <i x="28" s="1" nd="1"/>
        <i x="49" s="1" nd="1"/>
        <i x="64" s="1" nd="1"/>
        <i x="31" s="1" nd="1"/>
        <i x="52" s="1" nd="1"/>
        <i x="48" s="1" nd="1"/>
        <i x="34" s="1" nd="1"/>
        <i x="56" s="1" nd="1"/>
        <i x="41" s="1" nd="1"/>
        <i x="65" s="1" nd="1"/>
        <i x="45" s="1" nd="1"/>
        <i x="68" s="1" nd="1"/>
        <i x="55" s="1" nd="1"/>
        <i x="60" s="1" nd="1"/>
        <i x="57" s="1" nd="1"/>
        <i x="59" s="1" nd="1"/>
        <i x="54" s="1" nd="1"/>
        <i x="53" s="1" nd="1"/>
        <i x="58" s="1" nd="1"/>
        <i x="66" s="1" nd="1"/>
        <i x="62" s="1" nd="1"/>
        <i x="61" s="1" nd="1"/>
        <i x="67" s="1" nd="1"/>
        <i x="63" s="1" nd="1"/>
        <i x="119" s="1" nd="1"/>
        <i x="23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0" totalsRowCount="1" headerRowDxfId="106" dataDxfId="105" headerRowCellStyle="Comma" dataCellStyle="Comma">
  <autoFilter ref="A1:K99"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8" totalsRowDxfId="87"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84" headerRowBorderDxfId="83" tableBorderDxfId="82">
  <autoFilter ref="A1:I12"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2" totalsRowCount="1">
  <autoFilter ref="A1:G51" xr:uid="{CB032221-B416-47A8-9A76-693DE76CFD04}"/>
  <tableColumns count="7">
    <tableColumn id="1" xr3:uid="{554B1EED-65B6-4E9A-B646-82727FAC40DE}" name="Date" dataDxfId="66" totalsRowDxfId="3"/>
    <tableColumn id="2" xr3:uid="{32259059-42CF-4947-83DE-115AA430BE2B}" name="Party"/>
    <tableColumn id="3" xr3:uid="{A1320223-D55D-483C-91C3-AB19B95CC9D8}" name="Debit" totalsRowFunction="sum" dataDxfId="65" totalsRowDxfId="2" dataCellStyle="Comma"/>
    <tableColumn id="4" xr3:uid="{E9745767-9FF0-4B1C-9052-FF335D1D7588}" name="Credit" totalsRowFunction="sum" dataDxfId="64" totalsRowDxfId="1" dataCellStyle="Comma"/>
    <tableColumn id="5" xr3:uid="{5C88A48E-2467-4E6D-B626-2442B7FD0BE4}" name="Description"/>
    <tableColumn id="6" xr3:uid="{63CA4666-144E-4BE6-8B7C-7CB992BD3041}" name="Mode" totalsRowFunction="custom" dataDxfId="63"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44" headerRowBorderDxfId="43">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39" headerRowBorderDxfId="38">
  <autoFilter ref="A4:H10"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44712.874908558893</v>
      </c>
      <c r="D2">
        <v>10</v>
      </c>
      <c r="E2" s="14">
        <f>(SUMIFS(ledger!G:G, ledger!B:B, B2, ledger!E:E, "&lt;&gt;*RD*",ledger!D:D, "Silky") / 1.0936)*12 + (SUMIFS(ledger!G:G, ledger!B:B, B2, ledger!E:E, "&lt;&gt;*RD*",ledger!D:D, "Chamki") / 1.0936)*10</f>
        <v>536554.49890270666</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4">_xlfn.UNIQUE(Table1[Party Name])</f>
        <v>BSC</v>
      </c>
      <c r="R5" s="22" cm="1">
        <f t="array" ref="R5">_xlfn.BYROW(B49,_xlfn.LAMBDA(_xlpm.party,SUMIFS(ledger!G:G,ledger!B:B,_xlpm.party,ledger!E:E,"&lt;&gt;*RD*")))+_xlfn.IFNA(C84,0)</f>
        <v>2254306</v>
      </c>
      <c r="S5" s="22" cm="1">
        <f t="array" ref="S5">_xlfn.BYROW(B49, _xlfn.LAMBDA(_xlpm.party, SUMIFS(ledger!G:G, ledger!B:B, _xlpm.party, ledger!E:E, "&lt;&gt;*RD*") / 1.0936 ))+_xlfn.IFNA(D84,0)</f>
        <v>2061362.4725676666</v>
      </c>
      <c r="T5" s="22" cm="1">
        <f t="array" ref="T5">(_xlfn.BYROW(B49,_xlfn.LAMBDA(_xlpm.party,SUMIFS(ledger!G:G,ledger!B:B,_xlpm.party,ledger!E:E,"&lt;&gt;*RD*",ledger!D:D,"Chamki")+SUMIFS(ledger!G:G, ledger!B:B, _xlpm.party, ledger!E:E, "&lt;&gt;*RD*", ledger!D:D, "Crinkle")))/1.0936)+_xlfn.IFNA(E84,0)</f>
        <v>1895402.3408924653</v>
      </c>
      <c r="U5" s="70" cm="1">
        <f t="array" ref="U5">(_xlfn.BYROW(B49,_xlfn.LAMBDA(_xlpm.party,SUMIFS(ledger!G:G,ledger!B:B,_xlpm.party,ledger!E:E,"&lt;&gt;*RD*",ledger!D:D,"Silky")))/1.0936)+_xlfn.IFNA(F84,0)</f>
        <v>165960.13167520118</v>
      </c>
      <c r="V5" s="22" cm="1">
        <f t="array" ref="V5">(_xlfn.BYROW(B49,_xlfn.LAMBDA(_xlpm.party,
(SUMIFS(ledger!J:J,ledger!B:B,_xlpm.party,ledger!E:E,"&lt;&gt;*RD*",ledger!D:D,"Chamki",ledger!C:C,"&lt;&gt;October Closing CF")+
SUMIFS(ledger!J:J,ledger!B:B,_xlpm.party,ledger!E:E,"&lt;&gt;*RD*",ledger!D:D,"Crinkle",ledger!C:C,"&lt;&gt;October Closing CF")
)+_xlfn.IFNA(G84,0))))</f>
        <v>18954023.408924658</v>
      </c>
      <c r="W5" s="70" cm="1">
        <f t="array" ref="W5">_xlfn.BYROW(B49, _xlfn.LAMBDA(_xlpm.party,
   SUMIFS(ledger!J:J, ledger!B:B, _xlpm.party, ledger!E:E, "&lt;&gt;*RD*", ledger!D:D, "Silky", ledger!C:C, "&lt;&gt;October Closing CF")
)) + _xlfn.IFNA(H84, 0)</f>
        <v>2069125.8229700075</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21023149.231894664</v>
      </c>
      <c r="AA5" s="22">
        <f>(SUMIF(Table14[Party],Q5,Table14[Credit]))+_xlfn.IFNA(L84,0)</f>
        <v>18810634</v>
      </c>
      <c r="AB5" s="33">
        <f>Z5-AA5</f>
        <v>2212515.2318946645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604680</v>
      </c>
      <c r="S10" s="22" cm="1">
        <f t="array" ref="S10">_xlfn.BYROW(B54, _xlfn.LAMBDA(_xlpm.party, SUMIFS(ledger!G:G, ledger!B:B, _xlpm.party, ledger!E:E, "&lt;&gt;*RD*") / 1.0936 ))+_xlfn.IFNA(D89,0)</f>
        <v>552926.11558156554</v>
      </c>
      <c r="T10" s="22" cm="1">
        <f t="array" ref="T10">(_xlfn.BYROW(B54,_xlfn.LAMBDA(_xlpm.party,SUMIFS(ledger!G:G,ledger!B:B,_xlpm.party,ledger!E:E,"&lt;&gt;*RD*",ledger!D:D,"Chamki")+SUMIFS(ledger!G:G, ledger!B:B, _xlpm.party, ledger!E:E, "&lt;&gt;*RD*", ledger!D:D, "Crinkle")))/1.0936)+_xlfn.IFNA(E89,0)</f>
        <v>547436.90563277248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5474369.0563277248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5545728.7856620336</v>
      </c>
      <c r="AA10" s="22">
        <f>(SUMIF(Table14[Party],Q10,Table14[Credit]))+_xlfn.IFNA(L89,0)</f>
        <v>5544810</v>
      </c>
      <c r="AB10" s="33">
        <f t="shared" si="2"/>
        <v>918.78566203359514</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100916</v>
      </c>
      <c r="S11" s="22" cm="1">
        <f t="array" ref="S11">_xlfn.BYROW(B55, _xlfn.LAMBDA(_xlpm.party, SUMIFS(ledger!G:G, ledger!B:B, _xlpm.party, ledger!E:E, "&lt;&gt;*RD*") / 1.0936 ))+_xlfn.IFNA(D90,0)</f>
        <v>92278.712509144127</v>
      </c>
      <c r="T11" s="22" cm="1">
        <f t="array" ref="T11">(_xlfn.BYROW(B55,_xlfn.LAMBDA(_xlpm.party,SUMIFS(ledger!G:G,ledger!B:B,_xlpm.party,ledger!E:E,"&lt;&gt;*RD*",ledger!D:D,"Chamki")+SUMIFS(ledger!G:G, ledger!B:B, _xlpm.party, ledger!E:E, "&lt;&gt;*RD*", ledger!D:D, "Crinkle")))/1.0936)+_xlfn.IFNA(E90,0)</f>
        <v>92278.712509144127</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922787.12509144121</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922787.12509144121</v>
      </c>
      <c r="AA11" s="22">
        <f>(SUMIF(Table14[Party],Q11,Table14[Credit]))+_xlfn.IFNA(L90,0)</f>
        <v>900000</v>
      </c>
      <c r="AB11" s="33">
        <f t="shared" si="2"/>
        <v>22787.125091441208</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204500</v>
      </c>
      <c r="S12" s="22" cm="1">
        <f t="array" ref="S12">_xlfn.BYROW(B56, _xlfn.LAMBDA(_xlpm.party, SUMIFS(ledger!G:G, ledger!B:B, _xlpm.party, ledger!E:E, "&lt;&gt;*RD*") / 1.0936 ))+_xlfn.IFNA(D91,0)</f>
        <v>186997.07388441847</v>
      </c>
      <c r="T12" s="22" cm="1">
        <f t="array" ref="T12">(_xlfn.BYROW(B56,_xlfn.LAMBDA(_xlpm.party,SUMIFS(ledger!G:G,ledger!B:B,_xlpm.party,ledger!E:E,"&lt;&gt;*RD*",ledger!D:D,"Chamki")+SUMIFS(ledger!G:G, ledger!B:B, _xlpm.party, ledger!E:E, "&lt;&gt;*RD*", ledger!D:D, "Crinkle")))/1.0936)+_xlfn.IFNA(E91,0)</f>
        <v>161808.70519385519</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1618087.0519385519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1945535.8449158745</v>
      </c>
      <c r="AA12" s="22">
        <f>(SUMIF(Table14[Party],Q12,Table14[Credit]))+_xlfn.IFNA(L91,0)</f>
        <v>2092620</v>
      </c>
      <c r="AB12" s="33">
        <f t="shared" si="2"/>
        <v>-147084.15508412546</v>
      </c>
      <c r="AC12" s="21">
        <v>10</v>
      </c>
      <c r="AD12" s="21">
        <v>13</v>
      </c>
    </row>
    <row r="13" spans="2:3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442848</v>
      </c>
      <c r="S16" s="22" cm="1">
        <f t="array" ref="S16">_xlfn.BYROW(B60, _xlfn.LAMBDA(_xlpm.party, SUMIFS(ledger!G:G, ledger!B:B, _xlpm.party, ledger!E:E, "&lt;&gt;*RD*") / 1.0936 ))+_xlfn.IFNA(D95,0)</f>
        <v>404945.13533284568</v>
      </c>
      <c r="T16" s="22" cm="1">
        <f t="array" ref="T16">(_xlfn.BYROW(B60,_xlfn.LAMBDA(_xlpm.party,SUMIFS(ledger!G:G,ledger!B:B,_xlpm.party,ledger!E:E,"&lt;&gt;*RD*",ledger!D:D,"Chamki")+SUMIFS(ledger!G:G, ledger!B:B, _xlpm.party, ledger!E:E, "&lt;&gt;*RD*", ledger!D:D, "Crinkle")))/1.0936)+_xlfn.IFNA(E95,0)</f>
        <v>341790.4169714704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3417904.1697147042</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4175760.7900512074</v>
      </c>
      <c r="AA16" s="22">
        <f>(SUMIF(Table14[Party],Q16,Table14[Credit]))+_xlfn.IFNA(L95,0)</f>
        <v>4875761</v>
      </c>
      <c r="AB16" s="33">
        <f t="shared" si="2"/>
        <v>-700000.20994879259</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1"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1"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1"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1860119.7878566205</v>
      </c>
      <c r="D21" t="s">
        <v>30</v>
      </c>
      <c r="Q21" s="102"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2915571</v>
      </c>
      <c r="AB21" s="33">
        <f t="shared" ref="AB21:AB35" si="4">Z21-AA21</f>
        <v>91923.513533284888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1860119.7878566205</v>
      </c>
      <c r="D23" t="s">
        <v>32</v>
      </c>
      <c r="Q23" s="21" t="str">
        <v>Amjad sohail</v>
      </c>
      <c r="R23" s="22" cm="1">
        <f t="array" ref="R23">_xlfn.BYROW(B67,_xlfn.LAMBDA(_xlpm.party,SUMIFS(ledger!G:G,ledger!B:B,_xlpm.party,ledger!E:E,"&lt;&gt;*RD*")))+_xlfn.IFNA(C102,0)</f>
        <v>108349</v>
      </c>
      <c r="S23" s="22" cm="1">
        <f t="array" ref="S23">_xlfn.BYROW(B67, _xlfn.LAMBDA(_xlpm.party, SUMIFS(ledger!G:G, ledger!B:B, _xlpm.party, ledger!E:E, "&lt;&gt;*RD*") / 1.0936 ))+_xlfn.IFNA(D102,0)</f>
        <v>99075.530358449163</v>
      </c>
      <c r="T23" s="22" cm="1">
        <f t="array" ref="T23">(_xlfn.BYROW(B67,_xlfn.LAMBDA(_xlpm.party,SUMIFS(ledger!G:G,ledger!B:B,_xlpm.party,ledger!E:E,"&lt;&gt;*RD*",ledger!D:D,"Chamki")+SUMIFS(ledger!G:G, ledger!B:B, _xlpm.party, ledger!E:E, "&lt;&gt;*RD*", ledger!D:D, "Crinkle")))/1.0936)+_xlfn.IFNA(E102,0)</f>
        <v>55241.40453547916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552414.04535479157</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1122257.6810534019</v>
      </c>
      <c r="AA23" s="22">
        <f>(SUMIF(Table14[Party],Q23,Table14[Credit]))+_xlfn.IFNA(L102,0)</f>
        <v>1300000</v>
      </c>
      <c r="AB23" s="33">
        <f t="shared" si="4"/>
        <v>-177742.3189465981</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R25" s="22" cm="1">
        <f t="array" ref="R25">_xlfn.BYROW(B69,_xlfn.LAMBDA(_xlpm.party,SUMIFS(ledger!G:G,ledger!B:B,_xlpm.party,ledger!E:E,"&lt;&gt;*RD*")))+_xlfn.IFNA(C104,0)</f>
        <v>0</v>
      </c>
      <c r="S25" s="22" cm="1">
        <f t="array" ref="S25">_xlfn.BYROW(B69, _xlfn.LAMBDA(_xlpm.party, SUMIFS(ledger!G:G, ledger!B:B, _xlpm.party, ledger!E:E, "&lt;&gt;*RD*") / 1.0936 ))+_xlfn.IFNA(D104,0)</f>
        <v>0</v>
      </c>
      <c r="T25" s="22" cm="1">
        <f t="array" ref="T25">(_xlfn.BYROW(B69,_xlfn.LAMBDA(_xlpm.party,SUMIFS(ledger!G:G,ledger!B:B,_xlpm.party,ledger!E:E,"&lt;&gt;*RD*",ledger!D:D,"Chamki")+SUMIFS(ledger!G:G, ledger!B:B, _xlpm.party, ledger!E:E, "&lt;&gt;*RD*", ledger!D:D, "Crinkle")))/1.0936)+_xlfn.IFNA(E104,0)</f>
        <v>0</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0</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0</v>
      </c>
      <c r="AA25" s="22">
        <f>(SUMIF(Table14[Party],Q25,Table14[Credit]))+_xlfn.IFNA(L104,0)</f>
        <v>0</v>
      </c>
      <c r="AB25" s="33">
        <f t="shared" si="4"/>
        <v>0</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68">_xlfn.UNIQUE(Table1[Party Name])</f>
        <v>BSC</v>
      </c>
      <c r="C49" s="22" cm="1">
        <f t="array" ref="C49:C68">_xlfn.BYROW(_xlfn.ANCHORARRAY(B49),_xlfn.LAMBDA(_xlpm.party,SUMIFS(ledger!G:G,ledger!B:B,_xlpm.party,ledger!E:E,"&lt;&gt;*RD*")))</f>
        <v>48898</v>
      </c>
      <c r="D49" s="22" cm="1">
        <f t="array" ref="D49:D68">_xlfn.BYROW(_xlfn.ANCHORARRAY(B49), _xlfn.LAMBDA(_xlpm.party, SUMIFS(ledger!G:G, ledger!B:B, _xlpm.party, ledger!E:E, "&lt;&gt;*RD*") / 1.0936 ))</f>
        <v>44712.874908558893</v>
      </c>
      <c r="E49" s="63" cm="1">
        <f t="array" ref="E49:E68">(_xlfn.BYROW(_xlfn.ANCHORARRAY(B49),_xlfn.LAMBDA(_xlpm.party,SUMIFS(ledger!G:G,ledger!B:B,_xlpm.party,ledger!E:E,"&lt;&gt;*RD*",ledger!D:D,"Chamki")+SUMIFS(ledger!G:G, ledger!B:B, _xlpm.party, ledger!E:E, "&lt;&gt;*RD*", ledger!D:D, "Crinkle")))/1.0936)</f>
        <v>0</v>
      </c>
      <c r="F49" s="63" cm="1">
        <f t="array" ref="F49:F68">(_xlfn.BYROW(_xlfn.ANCHORARRAY(B49),_xlfn.LAMBDA(_xlpm.party,SUMIFS(ledger!G:G,ledger!B:B,_xlpm.party,ledger!E:E,"&lt;&gt;*RD*",ledger!D:D,"Silky")))/1.0936)</f>
        <v>44712.874908558893</v>
      </c>
      <c r="G49" s="22" cm="1">
        <f t="array" ref="G49">(_xlfn.BYROW(B49,_xlfn.LAMBDA(_xlpm.party,
(SUMIFS(ledger!J:J,ledger!B:B,_xlpm.party,ledger!E:E,"&lt;&gt;*RD*",ledger!D:D,"Chamki",ledger!C:C,"&lt;&gt;October Closing CF")+
SUMIFS(ledger!J:J,ledger!B:B,_xlpm.party,ledger!E:E,"&lt;&gt;*RD*",ledger!D:D,"Crinkle",ledger!C:C,"&lt;&gt;October Closing CF")
))))</f>
        <v>0</v>
      </c>
      <c r="H49" s="22" cm="1">
        <f t="array" ref="H49">_xlfn.BYROW(B49, _xlfn.LAMBDA(_xlpm.party,
   SUMIFS(ledger!J:J, ledger!B:B, _xlpm.party, ledger!E:E, "&lt;&gt;*RD*", ledger!D:D, "Silky", ledger!C:C, "&lt;&gt;October Closing CF")
))</f>
        <v>581267.37381126557</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581267.37381126557</v>
      </c>
      <c r="L49" s="22">
        <f>(SUMIF(Table14[Party],B49,Table14[Credit]))</f>
        <v>398958</v>
      </c>
      <c r="M49" s="37">
        <f>K49-L49</f>
        <v>182309.37381126557</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0</v>
      </c>
      <c r="D54" s="22">
        <v>0</v>
      </c>
      <c r="E54" s="63">
        <v>0</v>
      </c>
      <c r="F54" s="63">
        <v>0</v>
      </c>
      <c r="G54" s="22" cm="1">
        <f t="array" ref="G54">(_xlfn.BYROW(B54,_xlfn.LAMBDA(_xlpm.party,
(SUMIFS(ledger!J:J,ledger!B:B,_xlpm.party,ledger!E:E,"&lt;&gt;*RD*",ledger!D:D,"Chamki",ledger!C:C,"&lt;&gt;October Closing CF")+
SUMIFS(ledger!J:J,ledger!B:B,_xlpm.party,ledger!E:E,"&lt;&gt;*RD*",ledger!D:D,"Crinkle",ledger!C:C,"&lt;&gt;October Closing CF")
))))</f>
        <v>0</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0</v>
      </c>
      <c r="L54" s="22">
        <f>(SUMIF(Table14[Party],B54,Table14[Credit]))</f>
        <v>0</v>
      </c>
      <c r="M54" s="37">
        <f t="shared" si="7"/>
        <v>0</v>
      </c>
      <c r="N54" s="21">
        <v>10</v>
      </c>
      <c r="O54" s="21">
        <v>12</v>
      </c>
    </row>
    <row r="55" spans="1:26" x14ac:dyDescent="0.3">
      <c r="B55" s="24" t="str">
        <v>Raaz Fabrics</v>
      </c>
      <c r="C55" s="22">
        <v>0</v>
      </c>
      <c r="D55" s="22">
        <v>0</v>
      </c>
      <c r="E55" s="63">
        <v>0</v>
      </c>
      <c r="F55" s="63">
        <v>0</v>
      </c>
      <c r="G55" s="22" cm="1">
        <f t="array" ref="G55">(_xlfn.BYROW(B55,_xlfn.LAMBDA(_xlpm.party,
(SUMIFS(ledger!J:J,ledger!B:B,_xlpm.party,ledger!E:E,"&lt;&gt;*RD*",ledger!D:D,"Chamki",ledger!C:C,"&lt;&gt;October Closing CF")+
SUMIFS(ledger!J:J,ledger!B:B,_xlpm.party,ledger!E:E,"&lt;&gt;*RD*",ledger!D:D,"Crinkle",ledger!C:C,"&lt;&gt;October Closing CF")
))))</f>
        <v>0</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0</v>
      </c>
      <c r="L55" s="22">
        <f>(SUMIF(Table14[Party],B55,Table14[Credit]))</f>
        <v>0</v>
      </c>
      <c r="M55" s="37">
        <f t="shared" si="7"/>
        <v>0</v>
      </c>
      <c r="N55" s="21">
        <v>10</v>
      </c>
      <c r="O55" s="21">
        <v>12</v>
      </c>
    </row>
    <row r="56" spans="1:26" x14ac:dyDescent="0.3">
      <c r="B56" s="24" t="str">
        <v>Azam</v>
      </c>
      <c r="C56" s="22">
        <v>0</v>
      </c>
      <c r="D56" s="22">
        <v>0</v>
      </c>
      <c r="E56" s="63">
        <v>0</v>
      </c>
      <c r="F56" s="63">
        <v>0</v>
      </c>
      <c r="G56" s="22" cm="1">
        <f t="array" ref="G56">(_xlfn.BYROW(B56,_xlfn.LAMBDA(_xlpm.party,
(SUMIFS(ledger!J:J,ledger!B:B,_xlpm.party,ledger!E:E,"&lt;&gt;*RD*",ledger!D:D,"Chamki",ledger!C:C,"&lt;&gt;October Closing CF")+
SUMIFS(ledger!J:J,ledger!B:B,_xlpm.party,ledger!E:E,"&lt;&gt;*RD*",ledger!D:D,"Crinkle",ledger!C:C,"&lt;&gt;October Closing CF")
))))</f>
        <v>0</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0</v>
      </c>
      <c r="L56" s="22">
        <f>(SUMIF(Table14[Party],B56,Table14[Credit]))</f>
        <v>475000</v>
      </c>
      <c r="M56" s="37">
        <f t="shared" ref="M56:M69" si="8">K56-L56</f>
        <v>-475000</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44712.874908558893</v>
      </c>
      <c r="Z57" s="18">
        <v>536554.49890270666</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0</v>
      </c>
      <c r="D60" s="22">
        <v>0</v>
      </c>
      <c r="E60" s="63">
        <v>0</v>
      </c>
      <c r="F60" s="63">
        <v>0</v>
      </c>
      <c r="G60" s="22" cm="1">
        <f t="array" ref="G60">(_xlfn.BYROW(B60,_xlfn.LAMBDA(_xlpm.party,
(SUMIFS(ledger!J:J,ledger!B:B,_xlpm.party,ledger!E:E,"&lt;&gt;*RD*",ledger!D:D,"Chamki",ledger!C:C,"&lt;&gt;October Closing CF")+
SUMIFS(ledger!J:J,ledger!B:B,_xlpm.party,ledger!E:E,"&lt;&gt;*RD*",ledger!D:D,"Crinkle",ledger!C:C,"&lt;&gt;October Closing CF")
))))</f>
        <v>0</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0</v>
      </c>
      <c r="L60" s="22">
        <f>SUMIF(Table14[Party], B60, Table14[Credit])</f>
        <v>875217</v>
      </c>
      <c r="M60" s="37">
        <f t="shared" si="8"/>
        <v>-875217</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0</v>
      </c>
      <c r="Z62" s="18">
        <v>0</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0</v>
      </c>
      <c r="Z63" s="18">
        <v>0</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0</v>
      </c>
      <c r="Z64" s="18">
        <v>0</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0</v>
      </c>
      <c r="M65" s="37">
        <f t="shared" si="8"/>
        <v>360364.85003657645</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0</v>
      </c>
      <c r="D67" s="22">
        <v>0</v>
      </c>
      <c r="E67" s="63">
        <v>0</v>
      </c>
      <c r="F67" s="63">
        <v>0</v>
      </c>
      <c r="G67" s="22" cm="1">
        <f t="array" ref="G67">(_xlfn.BYROW(B67,_xlfn.LAMBDA(_xlpm.party,
(SUMIFS(ledger!J:J,ledger!B:B,_xlpm.party,ledger!E:E,"&lt;&gt;*RD*",ledger!D:D,"Chamki",ledger!C:C,"&lt;&gt;October Closing CF")+
SUMIFS(ledger!J:J,ledger!B:B,_xlpm.party,ledger!E:E,"&lt;&gt;*RD*",ledger!D:D,"Crinkle",ledger!C:C,"&lt;&gt;October Closing CF")
))))</f>
        <v>0</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0</v>
      </c>
      <c r="L67" s="22">
        <f>SUMIF(Table14[Party], B67, Table14[Credit])</f>
        <v>500000</v>
      </c>
      <c r="M67" s="37">
        <f t="shared" si="8"/>
        <v>-500000</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0</v>
      </c>
      <c r="Z68" s="18">
        <v>0</v>
      </c>
    </row>
    <row r="69" spans="2:26" x14ac:dyDescent="0.3">
      <c r="C69" s="22"/>
      <c r="D69" s="22"/>
      <c r="E69" s="63"/>
      <c r="F69" s="21"/>
      <c r="G69" s="22" cm="1">
        <f t="array" ref="G69">(_xlfn.BYROW(B69,_xlfn.LAMBDA(_xlpm.party,
(SUMIFS(ledger!J:J,ledger!B:B,_xlpm.party,ledger!E:E,"&lt;&gt;*RD*",ledger!D:D,"Chamki",ledger!C:C,"&lt;&gt;October Closing CF")+
SUMIFS(ledger!J:J,ledger!B:B,_xlpm.party,ledger!E:E,"&lt;&gt;*RD*",ledger!D:D,"Crinkle",ledger!C:C,"&lt;&gt;October Closing CF")
))))</f>
        <v>0</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0</v>
      </c>
      <c r="L69" s="22">
        <f>SUMIF(Table14[Party], B69, Table14[Credit])</f>
        <v>0</v>
      </c>
      <c r="M69" s="37">
        <f t="shared" si="8"/>
        <v>0</v>
      </c>
      <c r="N69" s="21">
        <v>10</v>
      </c>
      <c r="O69" s="21">
        <v>12</v>
      </c>
      <c r="X69" s="4" t="s">
        <v>171</v>
      </c>
      <c r="Y69" s="5">
        <v>0</v>
      </c>
      <c r="Z69" s="18">
        <v>0</v>
      </c>
    </row>
    <row r="70" spans="2:26" x14ac:dyDescent="0.3">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111677.02999268472</v>
      </c>
      <c r="Z74" s="14">
        <v>1340124.3599122167</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3">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C104" s="22">
        <f>_xlfn.XLOOKUP($B69,[1]Billing!$Q$5:$Q$29,[1]Billing!$R$5:$R$29)</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3">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2254306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2061362.4725676666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1895402.3408924653</v>
      </c>
      <c r="E12" s="92">
        <f ca="1">Table21[[#This Row],[gazana]]*Table21[[#This Row],[Rate]]</f>
        <v>18954023.408924654</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165960.13167520118</v>
      </c>
      <c r="E14" s="66">
        <f ca="1">Table21[[#This Row],[gazana]]*Table21[[#This Row],[Rate]]</f>
        <v>1991521.5801024141</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20945544.989027068</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18810634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4" cm="1">
        <f t="array" aca="1" ref="E20" ca="1">_xlfn.XLOOKUP($B$6,_xlfn.ANCHORARRAY( Billing!Q5), OFFSET(Billing!AB5, 0, 0, ROWS(_xlfn.ANCHORARRAY(Billing!Q5))), "Not Found")</f>
        <v>2212515.2318946645</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936360</v>
      </c>
      <c r="D4" t="s">
        <v>221</v>
      </c>
    </row>
    <row r="5" spans="1:4" x14ac:dyDescent="0.3">
      <c r="B5" t="s">
        <v>48</v>
      </c>
      <c r="C5" s="11">
        <f>SUM(Table8[Price])+Table2325[[#Totals],[total]]</f>
        <v>422820</v>
      </c>
    </row>
    <row r="6" spans="1:4" x14ac:dyDescent="0.3">
      <c r="B6" t="s">
        <v>49</v>
      </c>
      <c r="C6" s="11">
        <f>SUM(Table2[Price])+Finish!J30</f>
        <v>762000</v>
      </c>
      <c r="D6" t="s">
        <v>220</v>
      </c>
    </row>
    <row r="7" spans="1:4" x14ac:dyDescent="0.3">
      <c r="B7" t="s">
        <v>50</v>
      </c>
      <c r="C7" s="11">
        <f>SUMIFS(Table14[Debit], Table14[Party],Table12[[#This Row],[Type]])</f>
        <v>0</v>
      </c>
    </row>
    <row r="8" spans="1:4" x14ac:dyDescent="0.3">
      <c r="B8" t="s">
        <v>51</v>
      </c>
      <c r="C8" s="11">
        <f>Electricity!E3</f>
        <v>0</v>
      </c>
    </row>
    <row r="9" spans="1:4" x14ac:dyDescent="0.3">
      <c r="B9" t="s">
        <v>52</v>
      </c>
      <c r="C9" s="11">
        <f>Table11[[#Totals],[Amount]]+'Salary Acc'!I37</f>
        <v>0</v>
      </c>
    </row>
    <row r="10" spans="1:4" x14ac:dyDescent="0.3">
      <c r="B10" t="s">
        <v>53</v>
      </c>
      <c r="C10" s="11">
        <f>Table5[[#Totals],[Amount]]</f>
        <v>16500</v>
      </c>
    </row>
    <row r="11" spans="1:4" x14ac:dyDescent="0.3">
      <c r="B11" t="s">
        <v>54</v>
      </c>
      <c r="C11" s="11">
        <f>Table13[[#Totals],[Debit]]</f>
        <v>18508</v>
      </c>
    </row>
    <row r="12" spans="1:4" x14ac:dyDescent="0.3">
      <c r="B12" t="s">
        <v>55</v>
      </c>
      <c r="C12" s="11">
        <f>Table15[[#Totals],[Amount]]</f>
        <v>47500</v>
      </c>
    </row>
    <row r="13" spans="1:4" x14ac:dyDescent="0.3">
      <c r="C13" s="11"/>
    </row>
    <row r="14" spans="1:4" x14ac:dyDescent="0.3">
      <c r="C14" s="14">
        <f>SUM(Table12[Amount])</f>
        <v>2203688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1860119.7878566205</v>
      </c>
    </row>
    <row r="4" spans="1:3" x14ac:dyDescent="0.3">
      <c r="B4" s="11" t="s">
        <v>44</v>
      </c>
      <c r="C4" s="11">
        <f>Table12[[#Totals],[Amount]]</f>
        <v>2203688</v>
      </c>
    </row>
    <row r="5" spans="1:3" x14ac:dyDescent="0.3">
      <c r="A5" s="6"/>
      <c r="B5" s="15" t="s">
        <v>68</v>
      </c>
      <c r="C5" s="15">
        <f>C3-C4</f>
        <v>-343568.2121433795</v>
      </c>
    </row>
    <row r="10" spans="1:3" ht="15" thickBot="1" x14ac:dyDescent="0.35">
      <c r="B10" t="s">
        <v>66</v>
      </c>
      <c r="C10" s="14" t="s">
        <v>67</v>
      </c>
    </row>
    <row r="11" spans="1:3" x14ac:dyDescent="0.3">
      <c r="B11" s="56" t="s">
        <v>0</v>
      </c>
      <c r="C11" s="57">
        <f>C3</f>
        <v>1860119.7878566205</v>
      </c>
    </row>
    <row r="12" spans="1:3" x14ac:dyDescent="0.3">
      <c r="B12" s="58" t="s">
        <v>69</v>
      </c>
      <c r="C12" s="59">
        <f>SUM(Table14[Credit])</f>
        <v>3111482</v>
      </c>
    </row>
    <row r="13" spans="1:3" ht="15" thickBot="1" x14ac:dyDescent="0.35">
      <c r="B13" s="74" t="s">
        <v>96</v>
      </c>
      <c r="C13" s="73">
        <f>(C11-C12)</f>
        <v>-1251362.2121433795</v>
      </c>
    </row>
    <row r="14" spans="1:3" ht="15" thickBot="1" x14ac:dyDescent="0.35">
      <c r="B14" s="58"/>
      <c r="C14" s="59"/>
    </row>
    <row r="15" spans="1:3" x14ac:dyDescent="0.3">
      <c r="B15" s="56" t="s">
        <v>44</v>
      </c>
      <c r="C15" s="57">
        <f>C4</f>
        <v>2203688</v>
      </c>
    </row>
    <row r="16" spans="1:3" x14ac:dyDescent="0.3">
      <c r="B16" s="58" t="s">
        <v>70</v>
      </c>
      <c r="C16" s="59">
        <f>SUM(Table14[Debit])</f>
        <v>3040597</v>
      </c>
    </row>
    <row r="17" spans="2:6" ht="15" thickBot="1" x14ac:dyDescent="0.35">
      <c r="B17" s="74" t="s">
        <v>71</v>
      </c>
      <c r="C17" s="73">
        <f>C15-C16</f>
        <v>-836909</v>
      </c>
    </row>
    <row r="18" spans="2:6" ht="15" thickBot="1" x14ac:dyDescent="0.35">
      <c r="B18" s="58"/>
      <c r="C18" s="59"/>
    </row>
    <row r="19" spans="2:6" ht="15" thickBot="1" x14ac:dyDescent="0.35">
      <c r="B19" s="75" t="s">
        <v>72</v>
      </c>
      <c r="C19" s="76">
        <f>Table18[[#Totals],[amount]]</f>
        <v>70885</v>
      </c>
    </row>
    <row r="20" spans="2:6" ht="15" thickBot="1" x14ac:dyDescent="0.35">
      <c r="B20" s="71"/>
      <c r="C20" s="72"/>
    </row>
    <row r="21" spans="2:6" ht="15" thickBot="1" x14ac:dyDescent="0.35">
      <c r="B21" s="60" t="s">
        <v>73</v>
      </c>
      <c r="C21" s="61">
        <f>(C13-C17)+C19</f>
        <v>-343568.2121433795</v>
      </c>
      <c r="E21" s="79" t="s">
        <v>74</v>
      </c>
      <c r="F21" s="80">
        <f>C5*0.05</f>
        <v>-17178.410607168975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18508</v>
      </c>
      <c r="E38">
        <f>SUBTOTAL(109,Table13[Credit])</f>
        <v>0</v>
      </c>
      <c r="F38">
        <f>Table13[[#Totals],[Debit]]-Table13[[#Totals],[Credit]]</f>
        <v>18508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topLeftCell="A82" zoomScale="90" zoomScaleNormal="90" workbookViewId="0">
      <selection activeCell="G109" sqref="G10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88671875" style="10" bestFit="1" customWidth="1"/>
    <col min="5" max="5" width="16.44140625" style="10" bestFit="1" customWidth="1"/>
    <col min="6" max="6" width="18.5546875" style="10" bestFit="1" customWidth="1"/>
    <col min="7" max="7" width="13.33203125" style="10" bestFit="1" customWidth="1"/>
    <col min="8" max="8" width="18" style="10" bestFit="1" customWidth="1"/>
    <col min="9" max="9" width="13.5546875" style="10" bestFit="1" customWidth="1"/>
    <col min="10" max="10" width="18.5546875" style="10" bestFit="1" customWidth="1"/>
    <col min="11" max="11" width="13"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4" t="s">
        <v>75</v>
      </c>
      <c r="B1" s="114" t="s">
        <v>2</v>
      </c>
      <c r="C1" s="114" t="s">
        <v>77</v>
      </c>
      <c r="D1" s="114" t="s">
        <v>78</v>
      </c>
      <c r="E1" s="114" t="s">
        <v>79</v>
      </c>
      <c r="F1" s="114" t="s">
        <v>80</v>
      </c>
      <c r="G1" s="114" t="s">
        <v>81</v>
      </c>
      <c r="H1" s="27" t="s">
        <v>82</v>
      </c>
      <c r="I1" s="27" t="s">
        <v>83</v>
      </c>
      <c r="J1" s="27" t="s">
        <v>84</v>
      </c>
      <c r="K1" s="27" t="s">
        <v>41</v>
      </c>
    </row>
    <row r="2" spans="1:28" x14ac:dyDescent="0.3">
      <c r="A2" s="115">
        <v>45979</v>
      </c>
      <c r="B2" s="24" t="s">
        <v>21</v>
      </c>
      <c r="C2" s="116" t="s">
        <v>202</v>
      </c>
      <c r="D2" s="116" t="s">
        <v>85</v>
      </c>
      <c r="E2" s="117"/>
      <c r="F2" s="37"/>
      <c r="G2" s="37"/>
      <c r="H2" s="118" t="e">
        <f>_xlfn.XLOOKUP(Table1[[#This Row],[Shipment Number]], 'pivot '!A:A,'pivot '!G:G, "NF")</f>
        <v>#DIV/0!</v>
      </c>
      <c r="I2" s="118">
        <f>_xlfn.XLOOKUP(Table1[[#This Row],[Party Name]],
[1]Billing!$Q$5:$Q$25,
[1]Billing!$T$5:$T$25)</f>
        <v>1895402.3408924653</v>
      </c>
      <c r="J2" s="118">
        <f>_xlfn.XLOOKUP(Table1[[#This Row],[Party Name]],
[1]Billing!$Q$5:$Q$25,
[1]Billing!$V$5:$V$25)</f>
        <v>18954023.408924658</v>
      </c>
      <c r="K2" s="116"/>
    </row>
    <row r="3" spans="1:28" x14ac:dyDescent="0.3">
      <c r="A3" s="115">
        <v>45979</v>
      </c>
      <c r="B3" s="24" t="s">
        <v>22</v>
      </c>
      <c r="C3" s="116" t="s">
        <v>202</v>
      </c>
      <c r="D3" s="116" t="s">
        <v>85</v>
      </c>
      <c r="E3" s="117"/>
      <c r="F3" s="37"/>
      <c r="G3" s="37"/>
      <c r="H3" s="118" t="e">
        <f>_xlfn.XLOOKUP(Table1[[#This Row],[Shipment Number]], 'pivot '!A:A,'pivot '!G:G, "NF")</f>
        <v>#DIV/0!</v>
      </c>
      <c r="I3" s="118">
        <f>_xlfn.XLOOKUP(Table1[[#This Row],[Party Name]],
[1]Billing!$Q$5:$Q$25,
[1]Billing!$T$5:$T$25)</f>
        <v>148145.57425018289</v>
      </c>
      <c r="J3" s="118">
        <f>_xlfn.XLOOKUP(Table1[[#This Row],[Party Name]],
[1]Billing!$Q$5:$Q$25,
[1]Billing!$V$5:$V$25)</f>
        <v>1481455.7425018288</v>
      </c>
      <c r="K3" s="116"/>
    </row>
    <row r="4" spans="1:28" x14ac:dyDescent="0.3">
      <c r="A4" s="115">
        <v>45979</v>
      </c>
      <c r="B4" s="24" t="s">
        <v>9</v>
      </c>
      <c r="C4" s="116" t="s">
        <v>202</v>
      </c>
      <c r="D4" s="116" t="s">
        <v>85</v>
      </c>
      <c r="E4" s="117"/>
      <c r="F4" s="37"/>
      <c r="G4" s="37"/>
      <c r="H4" s="118" t="e">
        <f>_xlfn.XLOOKUP(Table1[[#This Row],[Shipment Number]], 'pivot '!A:A,'pivot '!G:G, "NF")</f>
        <v>#DIV/0!</v>
      </c>
      <c r="I4" s="118">
        <f>_xlfn.XLOOKUP(Table1[[#This Row],[Party Name]],
[1]Billing!$Q$5:$Q$25,
[1]Billing!$T$5:$T$25)</f>
        <v>392581.38258961233</v>
      </c>
      <c r="J4" s="118">
        <f>_xlfn.XLOOKUP(Table1[[#This Row],[Party Name]],
[1]Billing!$Q$5:$Q$25,
[1]Billing!$V$5:$V$25)</f>
        <v>3925813.8258961234</v>
      </c>
      <c r="K4" s="116"/>
    </row>
    <row r="5" spans="1:28" x14ac:dyDescent="0.3">
      <c r="A5" s="115">
        <v>45979</v>
      </c>
      <c r="B5" s="24" t="s">
        <v>23</v>
      </c>
      <c r="C5" s="116" t="s">
        <v>202</v>
      </c>
      <c r="D5" s="116" t="s">
        <v>85</v>
      </c>
      <c r="E5" s="117"/>
      <c r="F5" s="37"/>
      <c r="G5" s="37"/>
      <c r="H5" s="118" t="e">
        <f>_xlfn.XLOOKUP(Table1[[#This Row],[Shipment Number]], 'pivot '!A:A,'pivot '!G:G, "NF")</f>
        <v>#DIV/0!</v>
      </c>
      <c r="I5" s="118">
        <f>_xlfn.XLOOKUP(Table1[[#This Row],[Party Name]],
[1]Billing!$Q$5:$Q$25,
[1]Billing!$T$5:$T$25)</f>
        <v>123086.13752743235</v>
      </c>
      <c r="J5" s="118">
        <f>_xlfn.XLOOKUP(Table1[[#This Row],[Party Name]],
[1]Billing!$Q$5:$Q$25,
[1]Billing!$V$5:$V$25)</f>
        <v>1269270.3440380397</v>
      </c>
      <c r="K5" s="116"/>
    </row>
    <row r="6" spans="1:28" x14ac:dyDescent="0.3">
      <c r="A6" s="115">
        <v>45979</v>
      </c>
      <c r="B6" s="24" t="s">
        <v>24</v>
      </c>
      <c r="C6" s="116" t="s">
        <v>202</v>
      </c>
      <c r="D6" s="116" t="s">
        <v>85</v>
      </c>
      <c r="E6" s="117"/>
      <c r="F6" s="37"/>
      <c r="G6" s="37"/>
      <c r="H6" s="118" t="e">
        <f>_xlfn.XLOOKUP(Table1[[#This Row],[Shipment Number]], 'pivot '!A:A,'pivot '!G:G, "NF")</f>
        <v>#DIV/0!</v>
      </c>
      <c r="I6" s="118">
        <f>_xlfn.XLOOKUP(Table1[[#This Row],[Party Name]],
[1]Billing!$Q$5:$Q$25,
[1]Billing!$T$5:$T$25)</f>
        <v>599330.65106071695</v>
      </c>
      <c r="J6" s="118">
        <f>_xlfn.XLOOKUP(Table1[[#This Row],[Party Name]],
[1]Billing!$Q$5:$Q$25,
[1]Billing!$V$5:$V$25)</f>
        <v>5408917.8595464528</v>
      </c>
      <c r="K6" s="116"/>
      <c r="X6"/>
      <c r="Y6"/>
      <c r="Z6"/>
      <c r="AA6"/>
      <c r="AB6"/>
    </row>
    <row r="7" spans="1:28" x14ac:dyDescent="0.3">
      <c r="A7" s="115">
        <v>45979</v>
      </c>
      <c r="B7" s="24" t="s">
        <v>25</v>
      </c>
      <c r="C7" s="116" t="s">
        <v>202</v>
      </c>
      <c r="D7" s="116" t="s">
        <v>85</v>
      </c>
      <c r="E7" s="117"/>
      <c r="F7" s="37"/>
      <c r="G7" s="37"/>
      <c r="H7" s="118" t="e">
        <f>_xlfn.XLOOKUP(Table1[[#This Row],[Shipment Number]], 'pivot '!A:A,'pivot '!G:G, "NF")</f>
        <v>#DIV/0!</v>
      </c>
      <c r="I7" s="118">
        <f>_xlfn.XLOOKUP(Table1[[#This Row],[Party Name]],
[1]Billing!$Q$5:$Q$25,
[1]Billing!$T$5:$T$25)</f>
        <v>547436.90563277248</v>
      </c>
      <c r="J7" s="118">
        <f>_xlfn.XLOOKUP(Table1[[#This Row],[Party Name]],
[1]Billing!$Q$5:$Q$25,
[1]Billing!$V$5:$V$25)</f>
        <v>5474369.0563277248</v>
      </c>
      <c r="K7" s="116"/>
      <c r="X7"/>
      <c r="Y7"/>
      <c r="Z7"/>
      <c r="AA7"/>
      <c r="AB7"/>
    </row>
    <row r="8" spans="1:28" x14ac:dyDescent="0.3">
      <c r="A8" s="115">
        <v>45979</v>
      </c>
      <c r="B8" s="24" t="s">
        <v>26</v>
      </c>
      <c r="C8" s="116" t="s">
        <v>202</v>
      </c>
      <c r="D8" s="116" t="s">
        <v>85</v>
      </c>
      <c r="E8" s="117"/>
      <c r="F8" s="37"/>
      <c r="G8" s="37"/>
      <c r="H8" s="118" t="e">
        <f>_xlfn.XLOOKUP(Table1[[#This Row],[Shipment Number]], 'pivot '!A:A,'pivot '!G:G, "NF")</f>
        <v>#DIV/0!</v>
      </c>
      <c r="I8" s="118">
        <f>_xlfn.XLOOKUP(Table1[[#This Row],[Party Name]],
[1]Billing!$Q$5:$Q$25,
[1]Billing!$T$5:$T$25)</f>
        <v>92278.712509144127</v>
      </c>
      <c r="J8" s="118">
        <f>_xlfn.XLOOKUP(Table1[[#This Row],[Party Name]],
[1]Billing!$Q$5:$Q$25,
[1]Billing!$V$5:$V$25)</f>
        <v>922787.12509144121</v>
      </c>
      <c r="K8" s="116"/>
      <c r="X8"/>
      <c r="Y8"/>
      <c r="Z8"/>
      <c r="AA8"/>
      <c r="AB8"/>
    </row>
    <row r="9" spans="1:28" x14ac:dyDescent="0.3">
      <c r="A9" s="115">
        <v>45979</v>
      </c>
      <c r="B9" s="24" t="s">
        <v>155</v>
      </c>
      <c r="C9" s="116" t="s">
        <v>202</v>
      </c>
      <c r="D9" s="116" t="s">
        <v>85</v>
      </c>
      <c r="E9" s="117"/>
      <c r="F9" s="37"/>
      <c r="G9" s="37"/>
      <c r="H9" s="118" t="e">
        <f>_xlfn.XLOOKUP(Table1[[#This Row],[Shipment Number]], 'pivot '!A:A,'pivot '!G:G, "NF")</f>
        <v>#DIV/0!</v>
      </c>
      <c r="I9" s="118">
        <f>_xlfn.XLOOKUP(Table1[[#This Row],[Party Name]],
[1]Billing!$Q$5:$Q$25,
[1]Billing!$T$5:$T$25)</f>
        <v>161808.70519385519</v>
      </c>
      <c r="J9" s="118">
        <f>_xlfn.XLOOKUP(Table1[[#This Row],[Party Name]],
[1]Billing!$Q$5:$Q$25,
[1]Billing!$V$5:$V$25)</f>
        <v>1618087.0519385519</v>
      </c>
      <c r="K9" s="116"/>
      <c r="X9"/>
      <c r="Y9"/>
      <c r="Z9"/>
      <c r="AA9"/>
      <c r="AB9"/>
    </row>
    <row r="10" spans="1:28" x14ac:dyDescent="0.3">
      <c r="A10" s="115">
        <v>45979</v>
      </c>
      <c r="B10" s="24" t="s">
        <v>35</v>
      </c>
      <c r="C10" s="116" t="s">
        <v>202</v>
      </c>
      <c r="D10" s="116" t="s">
        <v>85</v>
      </c>
      <c r="E10" s="117"/>
      <c r="F10" s="37"/>
      <c r="G10" s="37"/>
      <c r="H10" s="118" t="e">
        <f>_xlfn.XLOOKUP(Table1[[#This Row],[Shipment Number]], 'pivot '!A:A,'pivot '!G:G, "NF")</f>
        <v>#DIV/0!</v>
      </c>
      <c r="I10" s="118">
        <f>_xlfn.XLOOKUP(Table1[[#This Row],[Party Name]],
[1]Billing!$Q$5:$Q$25,
[1]Billing!$T$5:$T$25)</f>
        <v>46132.955376737387</v>
      </c>
      <c r="J10" s="118">
        <f>_xlfn.XLOOKUP(Table1[[#This Row],[Party Name]],
[1]Billing!$Q$5:$Q$25,
[1]Billing!$V$5:$V$25)</f>
        <v>461329.5537673739</v>
      </c>
      <c r="K10" s="116"/>
      <c r="X10"/>
      <c r="Y10"/>
    </row>
    <row r="11" spans="1:28" x14ac:dyDescent="0.3">
      <c r="A11" s="115">
        <v>45979</v>
      </c>
      <c r="B11" s="24" t="s">
        <v>151</v>
      </c>
      <c r="C11" s="116" t="s">
        <v>202</v>
      </c>
      <c r="D11" s="116" t="s">
        <v>86</v>
      </c>
      <c r="E11" s="117"/>
      <c r="F11" s="37"/>
      <c r="G11" s="37"/>
      <c r="H11" s="118" t="e">
        <f>_xlfn.XLOOKUP(Table1[[#This Row],[Shipment Number]], 'pivot '!A:A,'pivot '!G:G, "NF")</f>
        <v>#DIV/0!</v>
      </c>
      <c r="I11" s="118">
        <f>_xlfn.XLOOKUP(Table1[[#This Row],[Party Name]],
[1]Billing!$Q$5:$Q$25,
[1]Billing!$T$5:$T$25)</f>
        <v>21310.35113386979</v>
      </c>
      <c r="J11" s="118">
        <f>_xlfn.XLOOKUP(Table1[[#This Row],[Party Name]],
[1]Billing!$Q$5:$Q$25,
[1]Billing!$V$5:$V$25)</f>
        <v>255724.21360643749</v>
      </c>
      <c r="K11" s="116"/>
      <c r="P11"/>
      <c r="Q11"/>
      <c r="R11"/>
      <c r="S11"/>
      <c r="T11"/>
      <c r="U11"/>
      <c r="V11"/>
      <c r="W11"/>
      <c r="X11"/>
      <c r="Y11"/>
    </row>
    <row r="12" spans="1:28" x14ac:dyDescent="0.3">
      <c r="A12" s="115">
        <v>45979</v>
      </c>
      <c r="B12" s="24" t="s">
        <v>27</v>
      </c>
      <c r="C12" s="116" t="s">
        <v>202</v>
      </c>
      <c r="D12" s="116" t="s">
        <v>85</v>
      </c>
      <c r="E12" s="117"/>
      <c r="F12" s="37"/>
      <c r="G12" s="37"/>
      <c r="H12" s="118" t="e">
        <f>_xlfn.XLOOKUP(Table1[[#This Row],[Shipment Number]], 'pivot '!A:A,'pivot '!G:G, "NF")</f>
        <v>#DIV/0!</v>
      </c>
      <c r="I12" s="118">
        <f>_xlfn.XLOOKUP(Table1[[#This Row],[Party Name]],
[1]Billing!$Q$5:$Q$25,
[1]Billing!$T$5:$T$25)</f>
        <v>121151.24359912217</v>
      </c>
      <c r="J12" s="118">
        <f>_xlfn.XLOOKUP(Table1[[#This Row],[Party Name]],
[1]Billing!$Q$5:$Q$25,
[1]Billing!$V$5:$V$25)</f>
        <v>1211512.4359912218</v>
      </c>
      <c r="K12" s="116"/>
      <c r="P12"/>
      <c r="Q12"/>
      <c r="R12"/>
      <c r="S12"/>
      <c r="T12"/>
      <c r="U12"/>
      <c r="V12"/>
      <c r="W12"/>
      <c r="X12"/>
      <c r="Y12"/>
    </row>
    <row r="13" spans="1:28" x14ac:dyDescent="0.3">
      <c r="A13" s="115">
        <v>45979</v>
      </c>
      <c r="B13" s="24" t="s">
        <v>169</v>
      </c>
      <c r="C13" s="116" t="s">
        <v>202</v>
      </c>
      <c r="D13" s="116" t="s">
        <v>85</v>
      </c>
      <c r="E13" s="37"/>
      <c r="F13" s="37"/>
      <c r="G13" s="37"/>
      <c r="H13" s="118" t="e">
        <f>_xlfn.XLOOKUP(Table1[[#This Row],[Shipment Number]], 'pivot '!A:A,'pivot '!G:G, "NF")</f>
        <v>#DIV/0!</v>
      </c>
      <c r="I13" s="118">
        <f>_xlfn.XLOOKUP(Table1[[#This Row],[Party Name]],
[1]Billing!$Q$5:$Q$25,
[1]Billing!$T$5:$T$25)</f>
        <v>341790.4169714704</v>
      </c>
      <c r="J13" s="118">
        <f>_xlfn.XLOOKUP(Table1[[#This Row],[Party Name]],
[1]Billing!$Q$5:$Q$25,
[1]Billing!$V$5:$V$25)</f>
        <v>3417904.1697147042</v>
      </c>
      <c r="K13" s="116"/>
      <c r="P13"/>
      <c r="Q13"/>
      <c r="R13"/>
      <c r="S13"/>
      <c r="T13"/>
      <c r="U13"/>
      <c r="V13"/>
      <c r="W13"/>
      <c r="X13"/>
      <c r="Y13"/>
    </row>
    <row r="14" spans="1:28" x14ac:dyDescent="0.3">
      <c r="A14" s="115">
        <v>45979</v>
      </c>
      <c r="B14" s="24" t="s">
        <v>171</v>
      </c>
      <c r="C14" s="116" t="s">
        <v>202</v>
      </c>
      <c r="D14" s="116" t="s">
        <v>85</v>
      </c>
      <c r="E14" s="37"/>
      <c r="F14" s="37"/>
      <c r="G14" s="37"/>
      <c r="H14" s="118" t="e">
        <f>_xlfn.XLOOKUP(Table1[[#This Row],[Shipment Number]], 'pivot '!A:A,'pivot '!G:G, "NF")</f>
        <v>#DIV/0!</v>
      </c>
      <c r="I14" s="118">
        <f>_xlfn.XLOOKUP(Table1[[#This Row],[Party Name]],
[1]Billing!$Q$5:$Q$25,
[1]Billing!$T$5:$T$25)</f>
        <v>0</v>
      </c>
      <c r="J14" s="118">
        <f>_xlfn.XLOOKUP(Table1[[#This Row],[Party Name]],
[1]Billing!$Q$5:$Q$25,
[1]Billing!$V$5:$V$25)</f>
        <v>0</v>
      </c>
      <c r="K14" s="116"/>
      <c r="P14"/>
      <c r="Q14"/>
      <c r="R14"/>
      <c r="S14"/>
      <c r="T14"/>
      <c r="U14"/>
      <c r="V14"/>
      <c r="W14"/>
      <c r="X14"/>
      <c r="Y14"/>
    </row>
    <row r="15" spans="1:28" x14ac:dyDescent="0.3">
      <c r="A15" s="115">
        <v>45979</v>
      </c>
      <c r="B15" s="24" t="s">
        <v>178</v>
      </c>
      <c r="C15" s="116" t="s">
        <v>202</v>
      </c>
      <c r="D15" s="116" t="s">
        <v>85</v>
      </c>
      <c r="E15" s="37"/>
      <c r="F15" s="37"/>
      <c r="G15" s="37"/>
      <c r="H15" s="118" t="e">
        <f>_xlfn.XLOOKUP(Table1[[#This Row],[Shipment Number]], 'pivot '!A:A,'pivot '!G:G, "NF")</f>
        <v>#DIV/0!</v>
      </c>
      <c r="I15" s="118">
        <f>_xlfn.XLOOKUP(Table1[[#This Row],[Party Name]],
[1]Billing!$Q$5:$Q$25,
[1]Billing!$T$5:$T$25)</f>
        <v>48385.149963423559</v>
      </c>
      <c r="J15" s="118">
        <f>_xlfn.XLOOKUP(Table1[[#This Row],[Party Name]],
[1]Billing!$Q$5:$Q$25,
[1]Billing!$V$5:$V$25)</f>
        <v>483851.49963423557</v>
      </c>
      <c r="K15" s="116"/>
      <c r="P15"/>
      <c r="Q15"/>
      <c r="R15"/>
      <c r="S15"/>
      <c r="T15"/>
      <c r="U15"/>
      <c r="V15"/>
      <c r="W15"/>
      <c r="X15"/>
      <c r="Y15"/>
    </row>
    <row r="16" spans="1:28" x14ac:dyDescent="0.3">
      <c r="A16" s="115">
        <v>45979</v>
      </c>
      <c r="B16" s="24" t="s">
        <v>179</v>
      </c>
      <c r="C16" s="116" t="s">
        <v>202</v>
      </c>
      <c r="D16" s="116" t="s">
        <v>85</v>
      </c>
      <c r="E16" s="37"/>
      <c r="F16" s="37"/>
      <c r="G16" s="37"/>
      <c r="H16" s="118" t="e">
        <f>_xlfn.XLOOKUP(Table1[[#This Row],[Shipment Number]], 'pivot '!A:A,'pivot '!G:G, "NF")</f>
        <v>#DIV/0!</v>
      </c>
      <c r="I16" s="118">
        <f>_xlfn.XLOOKUP(Table1[[#This Row],[Party Name]],
[1]Billing!$Q$5:$Q$25,
[1]Billing!$T$5:$T$25)</f>
        <v>8915.5084125822978</v>
      </c>
      <c r="J16" s="118">
        <f>_xlfn.XLOOKUP(Table1[[#This Row],[Party Name]],
[1]Billing!$Q$5:$Q$25,
[1]Billing!$V$5:$V$25)</f>
        <v>89155.084125822978</v>
      </c>
      <c r="K16" s="116"/>
      <c r="P16"/>
      <c r="Q16"/>
      <c r="R16"/>
      <c r="S16"/>
      <c r="T16"/>
      <c r="U16"/>
      <c r="V16"/>
      <c r="W16"/>
      <c r="X16"/>
      <c r="Y16"/>
    </row>
    <row r="17" spans="1:25" x14ac:dyDescent="0.3">
      <c r="A17" s="115">
        <v>45979</v>
      </c>
      <c r="B17" s="24" t="s">
        <v>181</v>
      </c>
      <c r="C17" s="116" t="s">
        <v>202</v>
      </c>
      <c r="D17" s="116" t="s">
        <v>85</v>
      </c>
      <c r="E17" s="37"/>
      <c r="F17" s="37"/>
      <c r="G17" s="37"/>
      <c r="H17" s="118" t="e">
        <f>_xlfn.XLOOKUP(Table1[[#This Row],[Shipment Number]], 'pivot '!A:A,'pivot '!G:G, "NF")</f>
        <v>#DIV/0!</v>
      </c>
      <c r="I17" s="118">
        <f>_xlfn.XLOOKUP(Table1[[#This Row],[Party Name]],
[1]Billing!$Q$5:$Q$25,
[1]Billing!$T$5:$T$25)</f>
        <v>47437.820043891741</v>
      </c>
      <c r="J17" s="118">
        <f>_xlfn.XLOOKUP(Table1[[#This Row],[Party Name]],
[1]Billing!$Q$5:$Q$25,
[1]Billing!$V$5:$V$25)</f>
        <v>474378.20043891744</v>
      </c>
      <c r="K17" s="116"/>
      <c r="P17"/>
      <c r="Q17"/>
      <c r="R17"/>
      <c r="S17"/>
      <c r="T17"/>
      <c r="U17"/>
      <c r="V17"/>
      <c r="W17"/>
      <c r="X17"/>
      <c r="Y17"/>
    </row>
    <row r="18" spans="1:25" x14ac:dyDescent="0.3">
      <c r="A18" s="115">
        <v>45979</v>
      </c>
      <c r="B18" s="24" t="s">
        <v>186</v>
      </c>
      <c r="C18" s="116" t="s">
        <v>202</v>
      </c>
      <c r="D18" s="116" t="s">
        <v>85</v>
      </c>
      <c r="E18" s="37"/>
      <c r="F18" s="37"/>
      <c r="G18" s="37"/>
      <c r="H18" s="118" t="e">
        <f>_xlfn.XLOOKUP(Table1[[#This Row],[Shipment Number]], 'pivot '!A:A,'pivot '!G:G, "NF")</f>
        <v>#DIV/0!</v>
      </c>
      <c r="I18" s="118">
        <f>_xlfn.XLOOKUP(Table1[[#This Row],[Party Name]],
[1]Billing!$Q$5:$Q$25,
[1]Billing!$T$5:$T$25)</f>
        <v>0</v>
      </c>
      <c r="J18" s="118">
        <f>_xlfn.XLOOKUP(Table1[[#This Row],[Party Name]],
[1]Billing!$Q$5:$Q$25,
[1]Billing!$V$5:$V$25)</f>
        <v>0</v>
      </c>
      <c r="K18" s="116"/>
      <c r="P18"/>
      <c r="Q18"/>
      <c r="R18"/>
      <c r="S18"/>
      <c r="T18"/>
      <c r="U18"/>
      <c r="V18"/>
      <c r="W18"/>
      <c r="X18"/>
      <c r="Y18"/>
    </row>
    <row r="19" spans="1:25" x14ac:dyDescent="0.3">
      <c r="A19" s="115">
        <v>45979</v>
      </c>
      <c r="B19" s="24" t="s">
        <v>189</v>
      </c>
      <c r="C19" s="116" t="s">
        <v>202</v>
      </c>
      <c r="D19" s="116" t="s">
        <v>85</v>
      </c>
      <c r="E19" s="37"/>
      <c r="F19" s="37"/>
      <c r="G19" s="37"/>
      <c r="H19" s="118" t="e">
        <f>_xlfn.XLOOKUP(Table1[[#This Row],[Shipment Number]], 'pivot '!A:A,'pivot '!G:G, "NF")</f>
        <v>#DIV/0!</v>
      </c>
      <c r="I19" s="118">
        <f>_xlfn.XLOOKUP(Table1[[#This Row],[Party Name]],
[1]Billing!$Q$5:$Q$25,
[1]Billing!$T$5:$T$25)</f>
        <v>64300.475493782011</v>
      </c>
      <c r="J19" s="118">
        <f>_xlfn.XLOOKUP(Table1[[#This Row],[Party Name]],
[1]Billing!$Q$5:$Q$25,
[1]Billing!$V$5:$V$25)</f>
        <v>643004.75493782014</v>
      </c>
      <c r="K19" s="116"/>
      <c r="P19"/>
      <c r="Q19"/>
      <c r="R19"/>
      <c r="S19"/>
      <c r="T19"/>
      <c r="U19"/>
      <c r="V19"/>
      <c r="W19"/>
      <c r="X19"/>
      <c r="Y19"/>
    </row>
    <row r="20" spans="1:25" x14ac:dyDescent="0.3">
      <c r="A20" s="115">
        <v>45979</v>
      </c>
      <c r="B20" s="24" t="s">
        <v>190</v>
      </c>
      <c r="C20" s="116" t="s">
        <v>202</v>
      </c>
      <c r="D20" s="116" t="s">
        <v>85</v>
      </c>
      <c r="E20" s="37"/>
      <c r="F20" s="37"/>
      <c r="G20" s="37"/>
      <c r="H20" s="118" t="e">
        <f>_xlfn.XLOOKUP(Table1[[#This Row],[Shipment Number]], 'pivot '!A:A,'pivot '!G:G, "NF")</f>
        <v>#DIV/0!</v>
      </c>
      <c r="I20" s="118">
        <f>_xlfn.XLOOKUP(Table1[[#This Row],[Party Name]],
[1]Billing!$Q$5:$Q$25,
[1]Billing!$U$5:$U$25)</f>
        <v>43834.125822970011</v>
      </c>
      <c r="J20" s="118">
        <f>_xlfn.XLOOKUP(Table1[[#This Row],[Party Name]],
[1]Billing!$Q$5:$Q$25,
[1]Billing!$V$5:$V$25)</f>
        <v>552414.04535479157</v>
      </c>
      <c r="K20" s="116"/>
      <c r="P20"/>
      <c r="Q20"/>
      <c r="R20"/>
      <c r="S20"/>
      <c r="T20"/>
      <c r="U20"/>
      <c r="V20"/>
      <c r="W20"/>
      <c r="X20"/>
      <c r="Y20"/>
    </row>
    <row r="21" spans="1:25" x14ac:dyDescent="0.3">
      <c r="A21" s="115">
        <v>45979</v>
      </c>
      <c r="B21" s="24" t="s">
        <v>198</v>
      </c>
      <c r="C21" s="116" t="s">
        <v>202</v>
      </c>
      <c r="D21" s="116" t="s">
        <v>85</v>
      </c>
      <c r="E21" s="37"/>
      <c r="F21" s="37"/>
      <c r="G21" s="37"/>
      <c r="H21" s="118" t="e">
        <f>_xlfn.XLOOKUP(Table1[[#This Row],[Shipment Number]], 'pivot '!A:A,'pivot '!G:G, "NF")</f>
        <v>#DIV/0!</v>
      </c>
      <c r="I21" s="118">
        <f>_xlfn.XLOOKUP(Table1[[#This Row],[Party Name]],
[1]Billing!$Q$5:$Q$25,
[1]Billing!$U$5:$U$25)</f>
        <v>0</v>
      </c>
      <c r="J21" s="118">
        <f>_xlfn.XLOOKUP(Table1[[#This Row],[Party Name]],
[1]Billing!$Q$5:$Q$25,
[1]Billing!$V$5:$V$25)</f>
        <v>0</v>
      </c>
      <c r="K21" s="116"/>
      <c r="P21"/>
      <c r="Q21"/>
      <c r="R21"/>
      <c r="S21"/>
      <c r="T21"/>
      <c r="U21"/>
      <c r="V21"/>
      <c r="W21"/>
      <c r="X21"/>
      <c r="Y21"/>
    </row>
    <row r="22" spans="1:25" x14ac:dyDescent="0.3">
      <c r="A22" s="115">
        <v>45979</v>
      </c>
      <c r="B22" s="24" t="s">
        <v>21</v>
      </c>
      <c r="C22" s="116" t="s">
        <v>202</v>
      </c>
      <c r="D22" s="116" t="s">
        <v>87</v>
      </c>
      <c r="E22" s="37"/>
      <c r="F22" s="37"/>
      <c r="G22" s="37"/>
      <c r="H22" s="118" t="e">
        <f>_xlfn.XLOOKUP(Table1[[#This Row],[Shipment Number]], 'pivot '!A:A,'pivot '!G:G, "NF")</f>
        <v>#DIV/0!</v>
      </c>
      <c r="I22" s="118">
        <f>_xlfn.XLOOKUP(Table1[[#This Row],[Party Name]],
[1]Billing!$Q$5:$Q$25,
[1]Billing!$U$5:$U$25)</f>
        <v>121247.2567666423</v>
      </c>
      <c r="J22" s="118">
        <f>_xlfn.XLOOKUP(Table1[[#This Row],[Party Name]],
[1]Billing!$Q$5:$Q$25,
[1]Billing!$W$5:$W$25)</f>
        <v>1487858.4491587421</v>
      </c>
      <c r="K22" s="116"/>
      <c r="P22"/>
      <c r="Q22"/>
      <c r="R22"/>
      <c r="S22"/>
      <c r="T22"/>
      <c r="U22"/>
      <c r="V22"/>
      <c r="W22"/>
      <c r="X22"/>
      <c r="Y22"/>
    </row>
    <row r="23" spans="1:25" x14ac:dyDescent="0.3">
      <c r="A23" s="115">
        <v>45979</v>
      </c>
      <c r="B23" s="24" t="s">
        <v>22</v>
      </c>
      <c r="C23" s="116" t="s">
        <v>202</v>
      </c>
      <c r="D23" s="116" t="s">
        <v>87</v>
      </c>
      <c r="E23" s="37"/>
      <c r="F23" s="37"/>
      <c r="G23" s="37"/>
      <c r="H23" s="118" t="e">
        <f>_xlfn.XLOOKUP(Table1[[#This Row],[Shipment Number]], 'pivot '!A:A,'pivot '!G:G, "NF")</f>
        <v>#DIV/0!</v>
      </c>
      <c r="I23" s="118">
        <f>_xlfn.XLOOKUP(Table1[[#This Row],[Party Name]],
[1]Billing!$Q$5:$Q$25,
[1]Billing!$U$5:$U$25)</f>
        <v>105915.32553035846</v>
      </c>
      <c r="J23" s="118">
        <f>_xlfn.XLOOKUP(Table1[[#This Row],[Party Name]],
[1]Billing!$Q$5:$Q$25,
[1]Billing!$W$5:$W$25)</f>
        <v>1317755.1207022679</v>
      </c>
      <c r="K23" s="116"/>
      <c r="P23"/>
      <c r="Q23"/>
      <c r="R23"/>
      <c r="S23"/>
      <c r="T23"/>
      <c r="U23"/>
      <c r="V23"/>
      <c r="W23"/>
      <c r="X23"/>
      <c r="Y23"/>
    </row>
    <row r="24" spans="1:25" x14ac:dyDescent="0.3">
      <c r="A24" s="115">
        <v>45979</v>
      </c>
      <c r="B24" s="24" t="s">
        <v>9</v>
      </c>
      <c r="C24" s="116" t="s">
        <v>202</v>
      </c>
      <c r="D24" s="116" t="s">
        <v>87</v>
      </c>
      <c r="E24" s="37"/>
      <c r="F24" s="37"/>
      <c r="G24" s="37"/>
      <c r="H24" s="118" t="e">
        <f>_xlfn.XLOOKUP(Table1[[#This Row],[Shipment Number]], 'pivot '!A:A,'pivot '!G:G, "NF")</f>
        <v>#DIV/0!</v>
      </c>
      <c r="I24" s="118">
        <f>_xlfn.XLOOKUP(Table1[[#This Row],[Party Name]],
[1]Billing!$Q$5:$Q$25,
[1]Billing!$U$5:$U$25)</f>
        <v>14794.257498171179</v>
      </c>
      <c r="J24" s="118">
        <f>_xlfn.XLOOKUP(Table1[[#This Row],[Party Name]],
[1]Billing!$Q$5:$Q$25,
[1]Billing!$W$5:$W$25)</f>
        <v>177531.08997805414</v>
      </c>
      <c r="K24" s="116"/>
      <c r="P24"/>
      <c r="Q24"/>
      <c r="R24"/>
      <c r="S24"/>
      <c r="T24"/>
      <c r="U24"/>
      <c r="V24"/>
      <c r="W24"/>
      <c r="X24"/>
      <c r="Y24"/>
    </row>
    <row r="25" spans="1:25" x14ac:dyDescent="0.3">
      <c r="A25" s="115">
        <v>45979</v>
      </c>
      <c r="B25" s="24" t="s">
        <v>23</v>
      </c>
      <c r="C25" s="116" t="s">
        <v>202</v>
      </c>
      <c r="D25" s="116" t="s">
        <v>87</v>
      </c>
      <c r="E25" s="37"/>
      <c r="F25" s="37"/>
      <c r="G25" s="37"/>
      <c r="H25" s="118" t="e">
        <f>_xlfn.XLOOKUP(Table1[[#This Row],[Shipment Number]], 'pivot '!A:A,'pivot '!G:G, "NF")</f>
        <v>#DIV/0!</v>
      </c>
      <c r="I25" s="118">
        <f>_xlfn.XLOOKUP(Table1[[#This Row],[Party Name]],
[1]Billing!$Q$5:$Q$25,
[1]Billing!$U$5:$U$25)</f>
        <v>0</v>
      </c>
      <c r="J25" s="118">
        <f>_xlfn.XLOOKUP(Table1[[#This Row],[Party Name]],
[1]Billing!$Q$5:$Q$25,
[1]Billing!$W$5:$W$25)</f>
        <v>0</v>
      </c>
      <c r="K25" s="116"/>
      <c r="P25"/>
      <c r="Q25"/>
      <c r="R25"/>
      <c r="S25"/>
      <c r="T25"/>
      <c r="U25"/>
      <c r="V25"/>
      <c r="W25"/>
      <c r="X25"/>
      <c r="Y25"/>
    </row>
    <row r="26" spans="1:25" x14ac:dyDescent="0.3">
      <c r="A26" s="115">
        <v>45979</v>
      </c>
      <c r="B26" s="24" t="s">
        <v>24</v>
      </c>
      <c r="C26" s="116" t="s">
        <v>202</v>
      </c>
      <c r="D26" s="116" t="s">
        <v>87</v>
      </c>
      <c r="E26" s="37"/>
      <c r="F26" s="37"/>
      <c r="G26" s="37"/>
      <c r="H26" s="118" t="e">
        <f>_xlfn.XLOOKUP(Table1[[#This Row],[Shipment Number]], 'pivot '!A:A,'pivot '!G:G, "NF")</f>
        <v>#DIV/0!</v>
      </c>
      <c r="I26" s="118">
        <f>_xlfn.XLOOKUP(Table1[[#This Row],[Party Name]],
[1]Billing!$Q$5:$Q$25,
[1]Billing!$U$5:$U$25)</f>
        <v>485823.88441843458</v>
      </c>
      <c r="J26" s="118">
        <f>_xlfn.XLOOKUP(Table1[[#This Row],[Party Name]],
[1]Billing!$Q$5:$Q$25,
[1]Billing!$W$5:$W$25)</f>
        <v>5829886.6130212145</v>
      </c>
      <c r="K26" s="116"/>
      <c r="P26"/>
      <c r="Q26"/>
      <c r="R26"/>
      <c r="S26"/>
      <c r="T26"/>
      <c r="U26"/>
      <c r="V26"/>
      <c r="W26"/>
      <c r="X26"/>
      <c r="Y26"/>
    </row>
    <row r="27" spans="1:25" x14ac:dyDescent="0.3">
      <c r="A27" s="115">
        <v>45979</v>
      </c>
      <c r="B27" s="24" t="s">
        <v>25</v>
      </c>
      <c r="C27" s="116" t="s">
        <v>202</v>
      </c>
      <c r="D27" s="116" t="s">
        <v>87</v>
      </c>
      <c r="E27" s="37"/>
      <c r="F27" s="37"/>
      <c r="G27" s="37"/>
      <c r="H27" s="118" t="e">
        <f>_xlfn.XLOOKUP(Table1[[#This Row],[Shipment Number]], 'pivot '!A:A,'pivot '!G:G, "NF")</f>
        <v>#DIV/0!</v>
      </c>
      <c r="I27" s="118">
        <f>_xlfn.XLOOKUP(Table1[[#This Row],[Party Name]],
[1]Billing!$Q$5:$Q$25,
[1]Billing!$U$5:$U$25)</f>
        <v>0</v>
      </c>
      <c r="J27" s="118">
        <f>_xlfn.XLOOKUP(Table1[[#This Row],[Party Name]],
[1]Billing!$Q$5:$Q$25,
[1]Billing!$W$5:$W$25)</f>
        <v>0</v>
      </c>
      <c r="K27" s="116"/>
      <c r="P27"/>
      <c r="Q27"/>
      <c r="R27"/>
      <c r="S27"/>
      <c r="T27"/>
      <c r="U27"/>
      <c r="V27"/>
      <c r="W27"/>
      <c r="X27"/>
      <c r="Y27"/>
    </row>
    <row r="28" spans="1:25" x14ac:dyDescent="0.3">
      <c r="A28" s="115">
        <v>45979</v>
      </c>
      <c r="B28" s="24" t="s">
        <v>26</v>
      </c>
      <c r="C28" s="116" t="s">
        <v>202</v>
      </c>
      <c r="D28" s="116" t="s">
        <v>87</v>
      </c>
      <c r="E28" s="37"/>
      <c r="F28" s="37"/>
      <c r="G28" s="37"/>
      <c r="H28" s="118" t="e">
        <f>_xlfn.XLOOKUP(Table1[[#This Row],[Shipment Number]], 'pivot '!A:A,'pivot '!G:G, "NF")</f>
        <v>#DIV/0!</v>
      </c>
      <c r="I28" s="118">
        <f>_xlfn.XLOOKUP(Table1[[#This Row],[Party Name]],
[1]Billing!$Q$5:$Q$25,
[1]Billing!$U$5:$U$25)</f>
        <v>0</v>
      </c>
      <c r="J28" s="118">
        <f>_xlfn.XLOOKUP(Table1[[#This Row],[Party Name]],
[1]Billing!$Q$5:$Q$25,
[1]Billing!$W$5:$W$25)</f>
        <v>0</v>
      </c>
      <c r="K28" s="116"/>
      <c r="P28"/>
      <c r="Q28"/>
      <c r="R28"/>
      <c r="S28"/>
      <c r="T28"/>
      <c r="U28"/>
      <c r="V28"/>
      <c r="W28"/>
      <c r="X28"/>
      <c r="Y28"/>
    </row>
    <row r="29" spans="1:25" x14ac:dyDescent="0.3">
      <c r="A29" s="115">
        <v>45979</v>
      </c>
      <c r="B29" s="24" t="s">
        <v>155</v>
      </c>
      <c r="C29" s="116" t="s">
        <v>202</v>
      </c>
      <c r="D29" s="116" t="s">
        <v>87</v>
      </c>
      <c r="E29" s="37"/>
      <c r="F29" s="37"/>
      <c r="G29" s="37"/>
      <c r="H29" s="118" t="e">
        <f>_xlfn.XLOOKUP(Table1[[#This Row],[Shipment Number]], 'pivot '!A:A,'pivot '!G:G, "NF")</f>
        <v>#DIV/0!</v>
      </c>
      <c r="I29" s="118">
        <f>_xlfn.XLOOKUP(Table1[[#This Row],[Party Name]],
[1]Billing!$Q$5:$Q$25,
[1]Billing!$U$5:$U$25)</f>
        <v>25188.368690563279</v>
      </c>
      <c r="J29" s="118">
        <f>_xlfn.XLOOKUP(Table1[[#This Row],[Party Name]],
[1]Billing!$Q$5:$Q$25,
[1]Billing!$W$5:$W$25)</f>
        <v>327448.79297732259</v>
      </c>
      <c r="K29" s="116"/>
      <c r="P29"/>
      <c r="Q29"/>
      <c r="R29"/>
      <c r="S29"/>
      <c r="T29"/>
      <c r="U29"/>
      <c r="V29"/>
      <c r="W29"/>
      <c r="X29"/>
      <c r="Y29"/>
    </row>
    <row r="30" spans="1:25" x14ac:dyDescent="0.3">
      <c r="A30" s="115">
        <v>45979</v>
      </c>
      <c r="B30" s="24" t="s">
        <v>35</v>
      </c>
      <c r="C30" s="116" t="s">
        <v>202</v>
      </c>
      <c r="D30" s="116" t="s">
        <v>87</v>
      </c>
      <c r="E30" s="37"/>
      <c r="F30" s="37"/>
      <c r="G30" s="37"/>
      <c r="H30" s="118" t="e">
        <f>_xlfn.XLOOKUP(Table1[[#This Row],[Shipment Number]], 'pivot '!A:A,'pivot '!G:G, "NF")</f>
        <v>#DIV/0!</v>
      </c>
      <c r="I30" s="118">
        <f>_xlfn.XLOOKUP(Table1[[#This Row],[Party Name]],
[1]Billing!$Q$5:$Q$25,
[1]Billing!$U$5:$U$25)</f>
        <v>14995.427944403806</v>
      </c>
      <c r="J30" s="118">
        <f>_xlfn.XLOOKUP(Table1[[#This Row],[Party Name]],
[1]Billing!$Q$5:$Q$25,
[1]Billing!$W$5:$W$25)</f>
        <v>179945.13533284568</v>
      </c>
      <c r="K30" s="116"/>
      <c r="P30"/>
      <c r="Q30"/>
      <c r="R30"/>
      <c r="S30"/>
      <c r="T30"/>
      <c r="U30"/>
      <c r="V30"/>
      <c r="W30"/>
      <c r="X30"/>
      <c r="Y30"/>
    </row>
    <row r="31" spans="1:25" x14ac:dyDescent="0.3">
      <c r="A31" s="115">
        <v>45979</v>
      </c>
      <c r="B31" s="24" t="s">
        <v>151</v>
      </c>
      <c r="C31" s="116" t="s">
        <v>202</v>
      </c>
      <c r="D31" s="116" t="s">
        <v>87</v>
      </c>
      <c r="E31" s="37"/>
      <c r="F31" s="37"/>
      <c r="G31" s="37"/>
      <c r="H31" s="118" t="e">
        <f>_xlfn.XLOOKUP(Table1[[#This Row],[Shipment Number]], 'pivot '!A:A,'pivot '!G:G, "NF")</f>
        <v>#DIV/0!</v>
      </c>
      <c r="I31" s="118">
        <f>_xlfn.XLOOKUP(Table1[[#This Row],[Party Name]],
[1]Billing!$Q$5:$Q$25,
[1]Billing!$U$5:$U$25)</f>
        <v>0</v>
      </c>
      <c r="J31" s="118">
        <f>_xlfn.XLOOKUP(Table1[[#This Row],[Party Name]],
[1]Billing!$Q$5:$Q$25,
[1]Billing!$W$5:$W$25)</f>
        <v>0</v>
      </c>
      <c r="K31" s="116"/>
      <c r="P31"/>
      <c r="Q31"/>
      <c r="R31"/>
      <c r="S31"/>
      <c r="T31"/>
      <c r="U31"/>
      <c r="V31"/>
      <c r="W31"/>
      <c r="X31"/>
      <c r="Y31"/>
    </row>
    <row r="32" spans="1:25" x14ac:dyDescent="0.3">
      <c r="A32" s="115">
        <v>45979</v>
      </c>
      <c r="B32" s="24" t="s">
        <v>27</v>
      </c>
      <c r="C32" s="116" t="s">
        <v>202</v>
      </c>
      <c r="D32" s="116" t="s">
        <v>87</v>
      </c>
      <c r="E32" s="37"/>
      <c r="F32" s="37"/>
      <c r="G32" s="37"/>
      <c r="H32" s="118" t="e">
        <f>_xlfn.XLOOKUP(Table1[[#This Row],[Shipment Number]], 'pivot '!A:A,'pivot '!G:G, "NF")</f>
        <v>#DIV/0!</v>
      </c>
      <c r="I32" s="118">
        <f>_xlfn.XLOOKUP(Table1[[#This Row],[Party Name]],
[1]Billing!$Q$5:$Q$25,
[1]Billing!$U$5:$U$25)</f>
        <v>0</v>
      </c>
      <c r="J32" s="118">
        <f>_xlfn.XLOOKUP(Table1[[#This Row],[Party Name]],
[1]Billing!$Q$5:$Q$25,
[1]Billing!$W$5:$W$25)</f>
        <v>0</v>
      </c>
      <c r="K32" s="116"/>
      <c r="P32"/>
      <c r="Q32"/>
      <c r="R32"/>
      <c r="S32"/>
      <c r="T32"/>
      <c r="U32"/>
      <c r="V32"/>
      <c r="W32"/>
      <c r="X32"/>
      <c r="Y32"/>
    </row>
    <row r="33" spans="1:25" x14ac:dyDescent="0.3">
      <c r="A33" s="115">
        <v>45979</v>
      </c>
      <c r="B33" s="24" t="s">
        <v>169</v>
      </c>
      <c r="C33" s="116" t="s">
        <v>202</v>
      </c>
      <c r="D33" s="116" t="s">
        <v>87</v>
      </c>
      <c r="E33" s="37"/>
      <c r="F33" s="37"/>
      <c r="G33" s="37"/>
      <c r="H33" s="118" t="e">
        <f>_xlfn.XLOOKUP(Table1[[#This Row],[Shipment Number]], 'pivot '!A:A,'pivot '!G:G, "NF")</f>
        <v>#DIV/0!</v>
      </c>
      <c r="I33" s="118">
        <f>_xlfn.XLOOKUP(Table1[[#This Row],[Party Name]],
[1]Billing!$Q$5:$Q$25,
[1]Billing!$U$5:$U$25)</f>
        <v>63154.718361375279</v>
      </c>
      <c r="J33" s="118">
        <f>_xlfn.XLOOKUP(Table1[[#This Row],[Party Name]],
[1]Billing!$Q$5:$Q$25,
[1]Billing!$W$5:$W$25)</f>
        <v>757856.62033650337</v>
      </c>
      <c r="K33" s="116"/>
      <c r="P33"/>
      <c r="Q33"/>
      <c r="R33"/>
      <c r="S33"/>
      <c r="T33"/>
      <c r="U33"/>
      <c r="V33"/>
      <c r="W33"/>
      <c r="X33"/>
      <c r="Y33"/>
    </row>
    <row r="34" spans="1:25" x14ac:dyDescent="0.3">
      <c r="A34" s="115">
        <v>45979</v>
      </c>
      <c r="B34" s="24" t="s">
        <v>171</v>
      </c>
      <c r="C34" s="116" t="s">
        <v>202</v>
      </c>
      <c r="D34" s="116" t="s">
        <v>87</v>
      </c>
      <c r="E34" s="37"/>
      <c r="F34" s="37"/>
      <c r="G34" s="37"/>
      <c r="H34" s="118" t="e">
        <f>_xlfn.XLOOKUP(Table1[[#This Row],[Shipment Number]], 'pivot '!A:A,'pivot '!G:G, "NF")</f>
        <v>#DIV/0!</v>
      </c>
      <c r="I34" s="118">
        <f>_xlfn.XLOOKUP(Table1[[#This Row],[Party Name]],
[1]Billing!$Q$5:$Q$25,
[1]Billing!$U$5:$U$25)</f>
        <v>0</v>
      </c>
      <c r="J34" s="118">
        <f>_xlfn.XLOOKUP(Table1[[#This Row],[Party Name]],
[1]Billing!$Q$5:$Q$25,
[1]Billing!$W$5:$W$25)</f>
        <v>0</v>
      </c>
      <c r="K34" s="116"/>
      <c r="P34"/>
      <c r="Q34"/>
      <c r="R34"/>
      <c r="S34"/>
      <c r="T34"/>
      <c r="U34"/>
      <c r="V34"/>
      <c r="W34"/>
      <c r="X34"/>
      <c r="Y34"/>
    </row>
    <row r="35" spans="1:25" x14ac:dyDescent="0.3">
      <c r="A35" s="115">
        <v>45979</v>
      </c>
      <c r="B35" s="24" t="s">
        <v>178</v>
      </c>
      <c r="C35" s="116" t="s">
        <v>202</v>
      </c>
      <c r="D35" s="116" t="s">
        <v>87</v>
      </c>
      <c r="E35" s="37"/>
      <c r="F35" s="37"/>
      <c r="G35" s="37"/>
      <c r="H35" s="118" t="e">
        <f>_xlfn.XLOOKUP(Table1[[#This Row],[Shipment Number]], 'pivot '!A:A,'pivot '!G:G, "NF")</f>
        <v>#DIV/0!</v>
      </c>
      <c r="I35" s="118">
        <f>_xlfn.XLOOKUP(Table1[[#This Row],[Party Name]],
[1]Billing!$Q$5:$Q$25,
[1]Billing!$U$5:$U$25)</f>
        <v>0</v>
      </c>
      <c r="J35" s="118">
        <f>_xlfn.XLOOKUP(Table1[[#This Row],[Party Name]],
[1]Billing!$Q$5:$Q$25,
[1]Billing!$W$5:$W$25)</f>
        <v>0</v>
      </c>
      <c r="K35" s="116"/>
      <c r="P35"/>
      <c r="Q35"/>
      <c r="R35"/>
      <c r="S35"/>
      <c r="T35"/>
      <c r="U35"/>
      <c r="V35"/>
      <c r="W35"/>
      <c r="X35"/>
      <c r="Y35"/>
    </row>
    <row r="36" spans="1:25" x14ac:dyDescent="0.3">
      <c r="A36" s="115">
        <v>45979</v>
      </c>
      <c r="B36" s="24" t="s">
        <v>179</v>
      </c>
      <c r="C36" s="116" t="s">
        <v>202</v>
      </c>
      <c r="D36" s="116" t="s">
        <v>87</v>
      </c>
      <c r="E36" s="37"/>
      <c r="F36" s="37"/>
      <c r="G36" s="37"/>
      <c r="H36" s="118" t="e">
        <f>_xlfn.XLOOKUP(Table1[[#This Row],[Shipment Number]], 'pivot '!A:A,'pivot '!G:G, "NF")</f>
        <v>#DIV/0!</v>
      </c>
      <c r="I36" s="118">
        <f>_xlfn.XLOOKUP(Table1[[#This Row],[Party Name]],
[1]Billing!$Q$5:$Q$25,
[1]Billing!$U$5:$U$25)</f>
        <v>0</v>
      </c>
      <c r="J36" s="118">
        <f>_xlfn.XLOOKUP(Table1[[#This Row],[Party Name]],
[1]Billing!$Q$5:$Q$25,
[1]Billing!$W$5:$W$25)</f>
        <v>0</v>
      </c>
      <c r="K36" s="116"/>
      <c r="P36"/>
      <c r="Q36"/>
      <c r="R36"/>
      <c r="S36"/>
      <c r="T36"/>
      <c r="U36"/>
      <c r="V36"/>
      <c r="W36"/>
      <c r="X36"/>
      <c r="Y36"/>
    </row>
    <row r="37" spans="1:25" x14ac:dyDescent="0.3">
      <c r="A37" s="115">
        <v>45979</v>
      </c>
      <c r="B37" s="24" t="s">
        <v>181</v>
      </c>
      <c r="C37" s="116" t="s">
        <v>202</v>
      </c>
      <c r="D37" s="116" t="s">
        <v>87</v>
      </c>
      <c r="E37" s="37"/>
      <c r="F37" s="37"/>
      <c r="G37" s="37"/>
      <c r="H37" s="118" t="e">
        <f>_xlfn.XLOOKUP(Table1[[#This Row],[Shipment Number]], 'pivot '!A:A,'pivot '!G:G, "NF")</f>
        <v>#DIV/0!</v>
      </c>
      <c r="I37" s="118">
        <f>_xlfn.XLOOKUP(Table1[[#This Row],[Party Name]],
[1]Billing!$Q$5:$Q$25,
[1]Billing!$U$5:$U$25)</f>
        <v>9232.809070958303</v>
      </c>
      <c r="J37" s="118">
        <f>_xlfn.XLOOKUP(Table1[[#This Row],[Party Name]],
[1]Billing!$Q$5:$Q$25,
[1]Billing!$W$5:$W$25)</f>
        <v>120026.51792245793</v>
      </c>
      <c r="K37" s="116"/>
      <c r="P37"/>
      <c r="Q37"/>
      <c r="R37"/>
      <c r="S37"/>
      <c r="T37"/>
      <c r="U37"/>
      <c r="V37"/>
      <c r="W37"/>
      <c r="X37"/>
      <c r="Y37"/>
    </row>
    <row r="38" spans="1:25" x14ac:dyDescent="0.3">
      <c r="A38" s="115">
        <v>45979</v>
      </c>
      <c r="B38" s="24" t="s">
        <v>186</v>
      </c>
      <c r="C38" s="116" t="s">
        <v>202</v>
      </c>
      <c r="D38" s="116" t="s">
        <v>87</v>
      </c>
      <c r="E38" s="37"/>
      <c r="F38" s="37"/>
      <c r="G38" s="37"/>
      <c r="H38" s="118"/>
      <c r="I38" s="118">
        <f>_xlfn.XLOOKUP(Table1[[#This Row],[Party Name]],
[1]Billing!$Q$5:$Q$25,
[1]Billing!$U$5:$U$25)</f>
        <v>200198.42721287493</v>
      </c>
      <c r="J38" s="118">
        <f>_xlfn.XLOOKUP(Table1[[#This Row],[Party Name]],
[1]Billing!$Q$5:$Q$25,
[1]Billing!$W$5:$W$25)</f>
        <v>2602579.5537673743</v>
      </c>
      <c r="K38" s="116"/>
      <c r="P38"/>
      <c r="Q38"/>
      <c r="R38"/>
      <c r="S38"/>
      <c r="T38"/>
      <c r="U38"/>
      <c r="V38"/>
      <c r="W38"/>
      <c r="X38"/>
      <c r="Y38"/>
    </row>
    <row r="39" spans="1:25" x14ac:dyDescent="0.3">
      <c r="A39" s="115">
        <v>45979</v>
      </c>
      <c r="B39" s="24" t="s">
        <v>189</v>
      </c>
      <c r="C39" s="116" t="s">
        <v>202</v>
      </c>
      <c r="D39" s="116" t="s">
        <v>87</v>
      </c>
      <c r="E39" s="37"/>
      <c r="F39" s="37"/>
      <c r="G39" s="37"/>
      <c r="H39" s="118"/>
      <c r="I39" s="118">
        <f>_xlfn.XLOOKUP(Table1[[#This Row],[Party Name]],
[1]Billing!$Q$5:$Q$25,
[1]Billing!$U$5:$U$25)</f>
        <v>7565.8376005852242</v>
      </c>
      <c r="J39" s="118">
        <f>_xlfn.XLOOKUP(Table1[[#This Row],[Party Name]],
[1]Billing!$Q$5:$Q$25,
[1]Billing!$W$5:$W$25)</f>
        <v>98355.888807607917</v>
      </c>
      <c r="K39" s="116"/>
      <c r="P39"/>
      <c r="Q39"/>
      <c r="R39"/>
      <c r="S39"/>
      <c r="T39"/>
      <c r="U39"/>
      <c r="V39"/>
      <c r="W39"/>
      <c r="X39"/>
      <c r="Y39"/>
    </row>
    <row r="40" spans="1:25" x14ac:dyDescent="0.3">
      <c r="A40" s="115">
        <v>45979</v>
      </c>
      <c r="B40" s="24" t="s">
        <v>190</v>
      </c>
      <c r="C40" s="116" t="s">
        <v>202</v>
      </c>
      <c r="D40" s="116" t="s">
        <v>87</v>
      </c>
      <c r="E40" s="37"/>
      <c r="F40" s="37"/>
      <c r="G40" s="37"/>
      <c r="H40" s="118"/>
      <c r="I40" s="118">
        <f>_xlfn.XLOOKUP(Table1[[#This Row],[Party Name]],
[1]Billing!$Q$5:$Q$25,
[1]Billing!$U$5:$U$25)</f>
        <v>43834.125822970011</v>
      </c>
      <c r="J40" s="118">
        <f>_xlfn.XLOOKUP(Table1[[#This Row],[Party Name]],
[1]Billing!$Q$5:$Q$25,
[1]Billing!$W$5:$W$25)</f>
        <v>569843.63569861022</v>
      </c>
      <c r="K40" s="116"/>
      <c r="P40"/>
      <c r="Q40"/>
      <c r="R40"/>
      <c r="S40"/>
      <c r="T40"/>
      <c r="U40"/>
      <c r="V40"/>
      <c r="W40"/>
      <c r="X40"/>
      <c r="Y40"/>
    </row>
    <row r="41" spans="1:25" x14ac:dyDescent="0.3">
      <c r="A41" s="115">
        <v>45979</v>
      </c>
      <c r="B41" s="24" t="s">
        <v>198</v>
      </c>
      <c r="C41" s="116" t="s">
        <v>202</v>
      </c>
      <c r="D41" s="116" t="s">
        <v>87</v>
      </c>
      <c r="E41" s="37"/>
      <c r="F41" s="37"/>
      <c r="G41" s="37"/>
      <c r="H41" s="118"/>
      <c r="I41" s="118">
        <f>_xlfn.XLOOKUP(Table1[[#This Row],[Party Name]],
[1]Billing!$Q$5:$Q$25,
[1]Billing!$U$5:$U$25)</f>
        <v>0</v>
      </c>
      <c r="J41" s="118">
        <f>_xlfn.XLOOKUP(Table1[[#This Row],[Party Name]],
[1]Billing!$Q$5:$Q$25,
[1]Billing!$W$5:$W$25)</f>
        <v>0</v>
      </c>
      <c r="K41" s="116"/>
      <c r="P41"/>
      <c r="Q41"/>
      <c r="R41"/>
      <c r="S41"/>
      <c r="T41"/>
      <c r="U41"/>
      <c r="V41"/>
      <c r="W41"/>
      <c r="X41"/>
      <c r="Y41"/>
    </row>
    <row r="42" spans="1:25" x14ac:dyDescent="0.3">
      <c r="A42" s="115">
        <v>45979</v>
      </c>
      <c r="B42" s="24" t="s">
        <v>21</v>
      </c>
      <c r="C42" s="116" t="s">
        <v>202</v>
      </c>
      <c r="D42" s="116" t="s">
        <v>200</v>
      </c>
      <c r="E42" s="37"/>
      <c r="F42" s="37"/>
      <c r="G42" s="37"/>
      <c r="H42" s="118"/>
      <c r="I42" s="118"/>
      <c r="J42" s="118">
        <f>_xlfn.XLOOKUP(Table1[[#This Row],[Party Name]],
[1]Billing!$Q$5:$Q$25,
[1]Billing!$X$5:$X$25)</f>
        <v>0</v>
      </c>
      <c r="K42" s="116"/>
      <c r="P42"/>
      <c r="Q42"/>
      <c r="R42"/>
      <c r="S42"/>
      <c r="T42"/>
      <c r="U42"/>
      <c r="V42"/>
      <c r="W42"/>
      <c r="X42"/>
      <c r="Y42"/>
    </row>
    <row r="43" spans="1:25" x14ac:dyDescent="0.3">
      <c r="A43" s="115">
        <v>45979</v>
      </c>
      <c r="B43" s="24" t="s">
        <v>22</v>
      </c>
      <c r="C43" s="116" t="s">
        <v>202</v>
      </c>
      <c r="D43" s="116" t="s">
        <v>200</v>
      </c>
      <c r="E43" s="37"/>
      <c r="F43" s="37"/>
      <c r="G43" s="37"/>
      <c r="H43" s="118"/>
      <c r="I43" s="118"/>
      <c r="J43" s="118">
        <f>_xlfn.XLOOKUP(Table1[[#This Row],[Party Name]],
[1]Billing!$Q$5:$Q$25,
[1]Billing!$X$5:$X$25)</f>
        <v>0</v>
      </c>
      <c r="K43" s="116"/>
      <c r="P43"/>
      <c r="Q43"/>
      <c r="R43"/>
      <c r="S43"/>
      <c r="T43"/>
      <c r="U43"/>
      <c r="V43"/>
      <c r="W43"/>
      <c r="X43"/>
      <c r="Y43"/>
    </row>
    <row r="44" spans="1:25" x14ac:dyDescent="0.3">
      <c r="A44" s="115">
        <v>45979</v>
      </c>
      <c r="B44" s="24" t="s">
        <v>9</v>
      </c>
      <c r="C44" s="116" t="s">
        <v>202</v>
      </c>
      <c r="D44" s="116" t="s">
        <v>200</v>
      </c>
      <c r="E44" s="37"/>
      <c r="F44" s="37"/>
      <c r="G44" s="37"/>
      <c r="H44" s="118"/>
      <c r="I44" s="118"/>
      <c r="J44" s="118">
        <f>_xlfn.XLOOKUP(Table1[[#This Row],[Party Name]],
[1]Billing!$Q$5:$Q$25,
[1]Billing!$X$5:$X$25)</f>
        <v>0</v>
      </c>
      <c r="K44" s="116"/>
      <c r="P44"/>
      <c r="Q44"/>
      <c r="R44"/>
      <c r="S44"/>
      <c r="T44"/>
      <c r="U44"/>
      <c r="V44"/>
      <c r="W44"/>
      <c r="X44"/>
      <c r="Y44"/>
    </row>
    <row r="45" spans="1:25" x14ac:dyDescent="0.3">
      <c r="A45" s="115">
        <v>45979</v>
      </c>
      <c r="B45" s="24" t="s">
        <v>23</v>
      </c>
      <c r="C45" s="116" t="s">
        <v>202</v>
      </c>
      <c r="D45" s="116" t="s">
        <v>200</v>
      </c>
      <c r="E45" s="37"/>
      <c r="F45" s="37"/>
      <c r="G45" s="37"/>
      <c r="H45" s="118"/>
      <c r="I45" s="118"/>
      <c r="J45" s="118">
        <f>_xlfn.XLOOKUP(Table1[[#This Row],[Party Name]],
[1]Billing!$Q$5:$Q$25,
[1]Billing!$X$5:$X$25)</f>
        <v>0</v>
      </c>
      <c r="K45" s="116"/>
      <c r="P45"/>
      <c r="Q45"/>
      <c r="R45"/>
      <c r="S45"/>
      <c r="T45"/>
      <c r="U45"/>
      <c r="V45"/>
      <c r="W45"/>
      <c r="X45"/>
      <c r="Y45"/>
    </row>
    <row r="46" spans="1:25" x14ac:dyDescent="0.3">
      <c r="A46" s="115">
        <v>45979</v>
      </c>
      <c r="B46" s="24" t="s">
        <v>24</v>
      </c>
      <c r="C46" s="116" t="s">
        <v>202</v>
      </c>
      <c r="D46" s="116" t="s">
        <v>200</v>
      </c>
      <c r="E46" s="37"/>
      <c r="F46" s="37"/>
      <c r="G46" s="37"/>
      <c r="H46" s="118" t="e">
        <f>_xlfn.XLOOKUP(Table1[[#This Row],[Shipment Number]], 'pivot '!A:A,'pivot '!G:G, "NF")</f>
        <v>#DIV/0!</v>
      </c>
      <c r="I46" s="118"/>
      <c r="J46" s="118">
        <f>_xlfn.XLOOKUP(Table1[[#This Row],[Party Name]],
[1]Billing!$Q$5:$Q$25,
[1]Billing!$X$5:$X$25)</f>
        <v>0</v>
      </c>
      <c r="K46" s="116"/>
      <c r="P46"/>
      <c r="Q46"/>
      <c r="R46"/>
      <c r="S46"/>
      <c r="T46"/>
      <c r="U46"/>
      <c r="V46"/>
      <c r="W46"/>
      <c r="X46"/>
      <c r="Y46"/>
    </row>
    <row r="47" spans="1:25" x14ac:dyDescent="0.3">
      <c r="A47" s="115">
        <v>45979</v>
      </c>
      <c r="B47" s="24" t="s">
        <v>25</v>
      </c>
      <c r="C47" s="116" t="s">
        <v>202</v>
      </c>
      <c r="D47" s="116" t="s">
        <v>200</v>
      </c>
      <c r="E47" s="37"/>
      <c r="F47" s="37"/>
      <c r="G47" s="37"/>
      <c r="H47" s="118" t="e">
        <f>_xlfn.XLOOKUP(Table1[[#This Row],[Shipment Number]], 'pivot '!A:A,'pivot '!G:G, "NF")</f>
        <v>#DIV/0!</v>
      </c>
      <c r="I47" s="118"/>
      <c r="J47" s="118">
        <f>_xlfn.XLOOKUP(Table1[[#This Row],[Party Name]],
[1]Billing!$Q$5:$Q$25,
[1]Billing!$X$5:$X$25)</f>
        <v>71359.729334308722</v>
      </c>
      <c r="K47" s="116"/>
      <c r="P47"/>
      <c r="Q47"/>
      <c r="R47"/>
      <c r="S47"/>
      <c r="T47"/>
      <c r="U47"/>
      <c r="V47"/>
      <c r="W47"/>
      <c r="X47"/>
      <c r="Y47"/>
    </row>
    <row r="48" spans="1:25" x14ac:dyDescent="0.3">
      <c r="A48" s="115">
        <v>45979</v>
      </c>
      <c r="B48" s="24" t="s">
        <v>26</v>
      </c>
      <c r="C48" s="116" t="s">
        <v>202</v>
      </c>
      <c r="D48" s="116" t="s">
        <v>200</v>
      </c>
      <c r="E48" s="37"/>
      <c r="F48" s="37"/>
      <c r="G48" s="37"/>
      <c r="H48" s="118" t="e">
        <f>_xlfn.XLOOKUP(Table1[[#This Row],[Shipment Number]], 'pivot '!A:A,'pivot '!G:G, "NF")</f>
        <v>#DIV/0!</v>
      </c>
      <c r="I48" s="118"/>
      <c r="J48" s="118">
        <f>_xlfn.XLOOKUP(Table1[[#This Row],[Party Name]],
[1]Billing!$Q$5:$Q$25,
[1]Billing!$X$5:$X$25)</f>
        <v>0</v>
      </c>
      <c r="K48" s="116"/>
      <c r="P48"/>
      <c r="Q48"/>
      <c r="R48"/>
      <c r="S48"/>
      <c r="T48"/>
      <c r="U48"/>
      <c r="V48"/>
      <c r="W48"/>
      <c r="X48"/>
      <c r="Y48"/>
    </row>
    <row r="49" spans="1:25" x14ac:dyDescent="0.3">
      <c r="A49" s="115">
        <v>45979</v>
      </c>
      <c r="B49" s="24" t="s">
        <v>155</v>
      </c>
      <c r="C49" s="116" t="s">
        <v>202</v>
      </c>
      <c r="D49" s="116" t="s">
        <v>200</v>
      </c>
      <c r="E49" s="37"/>
      <c r="F49" s="37"/>
      <c r="G49" s="37"/>
      <c r="H49" s="118" t="e">
        <f>_xlfn.XLOOKUP(Table1[[#This Row],[Shipment Number]], 'pivot '!A:A,'pivot '!G:G, "NF")</f>
        <v>#DIV/0!</v>
      </c>
      <c r="I49" s="118"/>
      <c r="J49" s="118">
        <f>_xlfn.XLOOKUP(Table1[[#This Row],[Party Name]],
[1]Billing!$Q$5:$Q$25,
[1]Billing!$X$5:$X$25)</f>
        <v>0</v>
      </c>
      <c r="K49" s="116"/>
      <c r="P49"/>
      <c r="Q49"/>
      <c r="R49"/>
      <c r="S49"/>
      <c r="T49"/>
      <c r="U49"/>
      <c r="V49"/>
      <c r="W49"/>
      <c r="X49"/>
      <c r="Y49"/>
    </row>
    <row r="50" spans="1:25" x14ac:dyDescent="0.3">
      <c r="A50" s="115">
        <v>45979</v>
      </c>
      <c r="B50" s="24" t="s">
        <v>35</v>
      </c>
      <c r="C50" s="116" t="s">
        <v>202</v>
      </c>
      <c r="D50" s="116" t="s">
        <v>200</v>
      </c>
      <c r="E50" s="37"/>
      <c r="F50" s="37"/>
      <c r="G50" s="37"/>
      <c r="H50" s="118" t="e">
        <f>_xlfn.XLOOKUP(Table1[[#This Row],[Shipment Number]], 'pivot '!A:A,'pivot '!G:G, "NF")</f>
        <v>#DIV/0!</v>
      </c>
      <c r="I50" s="118"/>
      <c r="J50" s="118">
        <f>_xlfn.XLOOKUP(Table1[[#This Row],[Party Name]],
[1]Billing!$Q$5:$Q$25,
[1]Billing!$X$5:$X$25)</f>
        <v>0</v>
      </c>
      <c r="K50" s="116"/>
      <c r="P50"/>
      <c r="Q50"/>
      <c r="R50"/>
      <c r="S50"/>
      <c r="T50"/>
      <c r="U50"/>
      <c r="V50"/>
      <c r="W50"/>
      <c r="X50"/>
      <c r="Y50"/>
    </row>
    <row r="51" spans="1:25" x14ac:dyDescent="0.3">
      <c r="A51" s="115">
        <v>45979</v>
      </c>
      <c r="B51" s="24" t="s">
        <v>151</v>
      </c>
      <c r="C51" s="116" t="s">
        <v>202</v>
      </c>
      <c r="D51" s="116" t="s">
        <v>200</v>
      </c>
      <c r="E51" s="37"/>
      <c r="F51" s="37"/>
      <c r="G51" s="37"/>
      <c r="H51" s="118" t="e">
        <f>_xlfn.XLOOKUP(Table1[[#This Row],[Shipment Number]], 'pivot '!A:A,'pivot '!G:G, "NF")</f>
        <v>#DIV/0!</v>
      </c>
      <c r="I51" s="118"/>
      <c r="J51" s="118">
        <f>_xlfn.XLOOKUP(Table1[[#This Row],[Party Name]],
[1]Billing!$Q$5:$Q$25,
[1]Billing!$X$5:$X$25)</f>
        <v>0</v>
      </c>
      <c r="K51" s="116"/>
      <c r="P51"/>
      <c r="Q51"/>
      <c r="R51"/>
      <c r="S51"/>
      <c r="T51"/>
      <c r="U51"/>
      <c r="V51"/>
      <c r="W51"/>
      <c r="X51"/>
      <c r="Y51"/>
    </row>
    <row r="52" spans="1:25" x14ac:dyDescent="0.3">
      <c r="A52" s="115">
        <v>45979</v>
      </c>
      <c r="B52" s="24" t="s">
        <v>27</v>
      </c>
      <c r="C52" s="116" t="s">
        <v>202</v>
      </c>
      <c r="D52" s="116" t="s">
        <v>200</v>
      </c>
      <c r="E52" s="37"/>
      <c r="F52" s="37"/>
      <c r="G52" s="37"/>
      <c r="H52" s="118" t="e">
        <f>_xlfn.XLOOKUP(Table1[[#This Row],[Shipment Number]], 'pivot '!A:A,'pivot '!G:G, "NF")</f>
        <v>#DIV/0!</v>
      </c>
      <c r="I52" s="118"/>
      <c r="J52" s="118">
        <f>_xlfn.XLOOKUP(Table1[[#This Row],[Party Name]],
[1]Billing!$Q$5:$Q$25,
[1]Billing!$X$5:$X$25)</f>
        <v>0</v>
      </c>
      <c r="K52" s="116"/>
      <c r="P52"/>
      <c r="Q52"/>
      <c r="R52"/>
      <c r="S52"/>
      <c r="T52"/>
      <c r="U52"/>
      <c r="V52"/>
      <c r="W52"/>
      <c r="X52"/>
      <c r="Y52"/>
    </row>
    <row r="53" spans="1:25" x14ac:dyDescent="0.3">
      <c r="A53" s="115">
        <v>45979</v>
      </c>
      <c r="B53" s="24" t="s">
        <v>169</v>
      </c>
      <c r="C53" s="116" t="s">
        <v>202</v>
      </c>
      <c r="D53" s="116" t="s">
        <v>200</v>
      </c>
      <c r="E53" s="37"/>
      <c r="F53" s="37"/>
      <c r="G53" s="37"/>
      <c r="H53" s="118" t="e">
        <f>_xlfn.XLOOKUP(Table1[[#This Row],[Shipment Number]], 'pivot '!A:A,'pivot '!G:G, "NF")</f>
        <v>#DIV/0!</v>
      </c>
      <c r="I53" s="118"/>
      <c r="J53" s="118">
        <f>_xlfn.XLOOKUP(Table1[[#This Row],[Party Name]],
[1]Billing!$Q$5:$Q$25,
[1]Billing!$X$5:$X$25)</f>
        <v>0</v>
      </c>
      <c r="K53" s="116"/>
      <c r="P53"/>
      <c r="Q53"/>
      <c r="R53"/>
      <c r="S53"/>
      <c r="T53"/>
      <c r="U53"/>
      <c r="V53"/>
      <c r="W53"/>
      <c r="X53"/>
      <c r="Y53"/>
    </row>
    <row r="54" spans="1:25" x14ac:dyDescent="0.3">
      <c r="A54" s="115">
        <v>45979</v>
      </c>
      <c r="B54" s="24" t="s">
        <v>171</v>
      </c>
      <c r="C54" s="116" t="s">
        <v>202</v>
      </c>
      <c r="D54" s="116" t="s">
        <v>200</v>
      </c>
      <c r="E54" s="37"/>
      <c r="F54" s="37"/>
      <c r="G54" s="37"/>
      <c r="H54" s="118" t="e">
        <f>_xlfn.XLOOKUP(Table1[[#This Row],[Shipment Number]], 'pivot '!A:A,'pivot '!G:G, "NF")</f>
        <v>#DIV/0!</v>
      </c>
      <c r="I54" s="118"/>
      <c r="J54" s="118">
        <f>_xlfn.XLOOKUP(Table1[[#This Row],[Party Name]],
[1]Billing!$Q$5:$Q$25,
[1]Billing!$X$5:$X$25)</f>
        <v>0</v>
      </c>
      <c r="K54" s="116"/>
      <c r="P54"/>
      <c r="Q54"/>
      <c r="R54"/>
      <c r="S54"/>
      <c r="T54"/>
      <c r="U54"/>
      <c r="V54"/>
      <c r="W54"/>
      <c r="X54"/>
      <c r="Y54"/>
    </row>
    <row r="55" spans="1:25" x14ac:dyDescent="0.3">
      <c r="A55" s="115">
        <v>45979</v>
      </c>
      <c r="B55" s="24" t="s">
        <v>178</v>
      </c>
      <c r="C55" s="116" t="s">
        <v>202</v>
      </c>
      <c r="D55" s="116" t="s">
        <v>200</v>
      </c>
      <c r="E55" s="37"/>
      <c r="F55" s="37"/>
      <c r="G55" s="37"/>
      <c r="H55" s="118" t="e">
        <f>_xlfn.XLOOKUP(Table1[[#This Row],[Shipment Number]], 'pivot '!A:A,'pivot '!G:G, "NF")</f>
        <v>#DIV/0!</v>
      </c>
      <c r="I55" s="118"/>
      <c r="J55" s="118">
        <f>_xlfn.XLOOKUP(Table1[[#This Row],[Party Name]],
[1]Billing!$Q$5:$Q$25,
[1]Billing!$X$5:$X$25)</f>
        <v>0</v>
      </c>
      <c r="K55" s="116"/>
      <c r="P55"/>
      <c r="Q55"/>
      <c r="R55"/>
      <c r="S55"/>
      <c r="T55"/>
      <c r="U55"/>
      <c r="V55"/>
      <c r="W55"/>
      <c r="X55"/>
      <c r="Y55"/>
    </row>
    <row r="56" spans="1:25" x14ac:dyDescent="0.3">
      <c r="A56" s="115">
        <v>45979</v>
      </c>
      <c r="B56" s="24" t="s">
        <v>179</v>
      </c>
      <c r="C56" s="116" t="s">
        <v>202</v>
      </c>
      <c r="D56" s="116" t="s">
        <v>200</v>
      </c>
      <c r="E56" s="37"/>
      <c r="F56" s="37"/>
      <c r="G56" s="37"/>
      <c r="H56" s="118" t="e">
        <f>_xlfn.XLOOKUP(Table1[[#This Row],[Shipment Number]], 'pivot '!A:A,'pivot '!G:G, "NF")</f>
        <v>#DIV/0!</v>
      </c>
      <c r="I56" s="118"/>
      <c r="J56" s="118">
        <f>_xlfn.XLOOKUP(Table1[[#This Row],[Party Name]],
[1]Billing!$Q$5:$Q$25,
[1]Billing!$X$5:$X$25)</f>
        <v>0</v>
      </c>
      <c r="K56" s="116"/>
      <c r="P56"/>
      <c r="Q56"/>
      <c r="R56"/>
      <c r="S56"/>
      <c r="T56"/>
      <c r="U56"/>
      <c r="V56"/>
      <c r="W56"/>
      <c r="X56"/>
      <c r="Y56"/>
    </row>
    <row r="57" spans="1:25" x14ac:dyDescent="0.3">
      <c r="A57" s="115">
        <v>45979</v>
      </c>
      <c r="B57" s="24" t="s">
        <v>181</v>
      </c>
      <c r="C57" s="116" t="s">
        <v>202</v>
      </c>
      <c r="D57" s="116" t="s">
        <v>200</v>
      </c>
      <c r="E57" s="37"/>
      <c r="F57" s="37"/>
      <c r="G57" s="37"/>
      <c r="H57" s="118" t="e">
        <f>_xlfn.XLOOKUP(Table1[[#This Row],[Shipment Number]], 'pivot '!A:A,'pivot '!G:G, "NF")</f>
        <v>#DIV/0!</v>
      </c>
      <c r="I57" s="118"/>
      <c r="J57" s="118">
        <f>_xlfn.XLOOKUP(Table1[[#This Row],[Party Name]],
[1]Billing!$Q$5:$Q$25,
[1]Billing!$X$5:$X$25)</f>
        <v>0</v>
      </c>
      <c r="K57" s="116"/>
      <c r="P57"/>
      <c r="Q57"/>
      <c r="R57"/>
      <c r="S57"/>
      <c r="T57"/>
      <c r="U57"/>
      <c r="V57"/>
      <c r="W57"/>
      <c r="X57"/>
      <c r="Y57"/>
    </row>
    <row r="58" spans="1:25" x14ac:dyDescent="0.3">
      <c r="A58" s="115">
        <v>45979</v>
      </c>
      <c r="B58" s="24" t="s">
        <v>186</v>
      </c>
      <c r="C58" s="116" t="s">
        <v>202</v>
      </c>
      <c r="D58" s="116" t="s">
        <v>200</v>
      </c>
      <c r="E58" s="37"/>
      <c r="F58" s="37"/>
      <c r="G58" s="37"/>
      <c r="H58" s="118" t="e">
        <f>_xlfn.XLOOKUP(Table1[[#This Row],[Shipment Number]], 'pivot '!A:A,'pivot '!G:G, "NF")</f>
        <v>#DIV/0!</v>
      </c>
      <c r="I58" s="118"/>
      <c r="J58" s="118">
        <f>_xlfn.XLOOKUP(Table1[[#This Row],[Party Name]],
[1]Billing!$Q$5:$Q$25,
[1]Billing!$X$5:$X$25)</f>
        <v>44550.109729334312</v>
      </c>
      <c r="K58" s="116"/>
      <c r="P58"/>
      <c r="Q58"/>
      <c r="R58"/>
      <c r="S58"/>
      <c r="T58"/>
      <c r="U58"/>
      <c r="V58"/>
      <c r="W58"/>
    </row>
    <row r="59" spans="1:25" x14ac:dyDescent="0.3">
      <c r="A59" s="115">
        <v>45979</v>
      </c>
      <c r="B59" s="24" t="s">
        <v>189</v>
      </c>
      <c r="C59" s="116" t="s">
        <v>202</v>
      </c>
      <c r="D59" s="116" t="s">
        <v>200</v>
      </c>
      <c r="E59" s="37"/>
      <c r="F59" s="37"/>
      <c r="G59" s="37"/>
      <c r="H59" s="118" t="e">
        <f>_xlfn.XLOOKUP(Table1[[#This Row],[Shipment Number]], 'pivot '!A:A,'pivot '!G:G, "NF")</f>
        <v>#DIV/0!</v>
      </c>
      <c r="I59" s="118"/>
      <c r="J59" s="118">
        <f>_xlfn.XLOOKUP(Table1[[#This Row],[Party Name]],
[1]Billing!$Q$5:$Q$25,
[1]Billing!$X$5:$X$25)</f>
        <v>0</v>
      </c>
      <c r="K59" s="116"/>
      <c r="P59"/>
      <c r="Q59"/>
      <c r="R59"/>
      <c r="S59"/>
      <c r="T59"/>
      <c r="U59"/>
    </row>
    <row r="60" spans="1:25" x14ac:dyDescent="0.3">
      <c r="A60" s="115">
        <v>45979</v>
      </c>
      <c r="B60" s="24" t="s">
        <v>190</v>
      </c>
      <c r="C60" s="116" t="s">
        <v>202</v>
      </c>
      <c r="D60" s="116" t="s">
        <v>200</v>
      </c>
      <c r="E60" s="37"/>
      <c r="F60" s="37"/>
      <c r="G60" s="37"/>
      <c r="H60" s="118" t="e">
        <f>_xlfn.XLOOKUP(Table1[[#This Row],[Shipment Number]], 'pivot '!A:A,'pivot '!G:G, "NF")</f>
        <v>#DIV/0!</v>
      </c>
      <c r="I60" s="118"/>
      <c r="J60" s="118">
        <f>_xlfn.XLOOKUP(Table1[[#This Row],[Party Name]],
[1]Billing!$Q$5:$Q$25,
[1]Billing!$X$5:$X$25)</f>
        <v>0</v>
      </c>
      <c r="K60" s="116"/>
      <c r="M60"/>
      <c r="P60"/>
      <c r="Q60"/>
      <c r="R60"/>
      <c r="S60"/>
      <c r="T60"/>
      <c r="U60"/>
    </row>
    <row r="61" spans="1:25" x14ac:dyDescent="0.3">
      <c r="A61" s="115">
        <v>45979</v>
      </c>
      <c r="B61" s="24" t="s">
        <v>198</v>
      </c>
      <c r="C61" s="116" t="s">
        <v>202</v>
      </c>
      <c r="D61" s="116" t="s">
        <v>200</v>
      </c>
      <c r="E61" s="37"/>
      <c r="F61" s="37"/>
      <c r="G61" s="37"/>
      <c r="H61" s="118" t="e">
        <f>_xlfn.XLOOKUP(Table1[[#This Row],[Shipment Number]], 'pivot '!A:A,'pivot '!G:G, "NF")</f>
        <v>#DIV/0!</v>
      </c>
      <c r="I61" s="118"/>
      <c r="J61" s="118">
        <f>_xlfn.XLOOKUP(Table1[[#This Row],[Party Name]],
[1]Billing!$Q$5:$Q$25,
[1]Billing!$X$5:$X$25)</f>
        <v>0</v>
      </c>
      <c r="K61" s="116"/>
      <c r="M61"/>
      <c r="P61"/>
      <c r="Q61"/>
      <c r="R61"/>
      <c r="S61"/>
    </row>
    <row r="62" spans="1:25" x14ac:dyDescent="0.3">
      <c r="A62" s="115">
        <v>45979</v>
      </c>
      <c r="B62" s="24" t="s">
        <v>21</v>
      </c>
      <c r="C62" s="116" t="s">
        <v>202</v>
      </c>
      <c r="D62" s="116" t="s">
        <v>201</v>
      </c>
      <c r="E62" s="37"/>
      <c r="F62" s="37"/>
      <c r="G62" s="37"/>
      <c r="H62" s="118" t="e">
        <f>_xlfn.XLOOKUP(Table1[[#This Row],[Shipment Number]], 'pivot '!A:A,'pivot '!G:G, "NF")</f>
        <v>#DIV/0!</v>
      </c>
      <c r="I62" s="118"/>
      <c r="J62" s="118">
        <f>_xlfn.XLOOKUP(Table1[[#This Row],[Party Name]],
[1]Billing!$Q$5:$Q$25,
[1]Billing!$Y$5:$Y$25)</f>
        <v>0</v>
      </c>
      <c r="K62" s="116"/>
      <c r="M62"/>
      <c r="P62"/>
      <c r="Q62"/>
      <c r="R62"/>
      <c r="S62"/>
    </row>
    <row r="63" spans="1:25" x14ac:dyDescent="0.3">
      <c r="A63" s="115">
        <v>45979</v>
      </c>
      <c r="B63" s="24" t="s">
        <v>22</v>
      </c>
      <c r="C63" s="116" t="s">
        <v>202</v>
      </c>
      <c r="D63" s="116" t="s">
        <v>201</v>
      </c>
      <c r="E63" s="37"/>
      <c r="F63" s="37"/>
      <c r="G63" s="37"/>
      <c r="H63" s="118" t="e">
        <f>_xlfn.XLOOKUP(Table1[[#This Row],[Shipment Number]], 'pivot '!A:A,'pivot '!G:G, "NF")</f>
        <v>#DIV/0!</v>
      </c>
      <c r="I63" s="118"/>
      <c r="J63" s="118">
        <f>_xlfn.XLOOKUP(Table1[[#This Row],[Party Name]],
[1]Billing!$Q$5:$Q$25,
[1]Billing!$Y$5:$Y$25)</f>
        <v>0</v>
      </c>
      <c r="K63" s="116"/>
      <c r="S63"/>
    </row>
    <row r="64" spans="1:25" x14ac:dyDescent="0.3">
      <c r="A64" s="115">
        <v>45979</v>
      </c>
      <c r="B64" s="24" t="s">
        <v>9</v>
      </c>
      <c r="C64" s="116" t="s">
        <v>202</v>
      </c>
      <c r="D64" s="116" t="s">
        <v>201</v>
      </c>
      <c r="E64" s="37"/>
      <c r="F64" s="37"/>
      <c r="G64" s="37"/>
      <c r="H64" s="118" t="e">
        <f>_xlfn.XLOOKUP(Table1[[#This Row],[Shipment Number]], 'pivot '!A:A,'pivot '!G:G, "NF")</f>
        <v>#DIV/0!</v>
      </c>
      <c r="I64" s="118"/>
      <c r="J64" s="118">
        <f>_xlfn.XLOOKUP(Table1[[#This Row],[Party Name]],
[1]Billing!$Q$5:$Q$25,
[1]Billing!$Y$5:$Y$25)</f>
        <v>0</v>
      </c>
      <c r="K64" s="116"/>
      <c r="S64"/>
    </row>
    <row r="65" spans="1:19" x14ac:dyDescent="0.3">
      <c r="A65" s="115">
        <v>45979</v>
      </c>
      <c r="B65" s="24" t="s">
        <v>23</v>
      </c>
      <c r="C65" s="116" t="s">
        <v>202</v>
      </c>
      <c r="D65" s="116" t="s">
        <v>201</v>
      </c>
      <c r="E65" s="37"/>
      <c r="F65" s="37"/>
      <c r="G65" s="37"/>
      <c r="H65" s="118" t="e">
        <f>_xlfn.XLOOKUP(Table1[[#This Row],[Shipment Number]], 'pivot '!A:A,'pivot '!G:G, "NF")</f>
        <v>#DIV/0!</v>
      </c>
      <c r="I65" s="118"/>
      <c r="J65" s="118">
        <f>_xlfn.XLOOKUP(Table1[[#This Row],[Party Name]],
[1]Billing!$Q$5:$Q$25,
[1]Billing!$Y$5:$Y$25)</f>
        <v>0</v>
      </c>
      <c r="K65" s="116"/>
      <c r="S65"/>
    </row>
    <row r="66" spans="1:19" x14ac:dyDescent="0.3">
      <c r="A66" s="115">
        <v>45979</v>
      </c>
      <c r="B66" s="24" t="s">
        <v>24</v>
      </c>
      <c r="C66" s="116" t="s">
        <v>202</v>
      </c>
      <c r="D66" s="116" t="s">
        <v>201</v>
      </c>
      <c r="E66" s="37"/>
      <c r="F66" s="37"/>
      <c r="G66" s="37"/>
      <c r="H66" s="118" t="e">
        <f>_xlfn.XLOOKUP(Table1[[#This Row],[Shipment Number]], 'pivot '!A:A,'pivot '!G:G, "NF")</f>
        <v>#DIV/0!</v>
      </c>
      <c r="I66" s="118"/>
      <c r="J66" s="118">
        <f>_xlfn.XLOOKUP(Table1[[#This Row],[Party Name]],
[1]Billing!$Q$5:$Q$25,
[1]Billing!$Y$5:$Y$25)</f>
        <v>0</v>
      </c>
      <c r="K66" s="116"/>
      <c r="S66"/>
    </row>
    <row r="67" spans="1:19" x14ac:dyDescent="0.3">
      <c r="A67" s="115">
        <v>45979</v>
      </c>
      <c r="B67" s="24" t="s">
        <v>25</v>
      </c>
      <c r="C67" s="116" t="s">
        <v>202</v>
      </c>
      <c r="D67" s="116" t="s">
        <v>201</v>
      </c>
      <c r="E67" s="37"/>
      <c r="F67" s="37"/>
      <c r="G67" s="37"/>
      <c r="H67" s="118" t="e">
        <f>_xlfn.XLOOKUP(Table1[[#This Row],[Shipment Number]], 'pivot '!A:A,'pivot '!G:G, "NF")</f>
        <v>#DIV/0!</v>
      </c>
      <c r="I67" s="118"/>
      <c r="J67" s="118">
        <f>_xlfn.XLOOKUP(Table1[[#This Row],[Party Name]],
[1]Billing!$Q$5:$Q$25,
[1]Billing!$Y$5:$Y$25)</f>
        <v>0</v>
      </c>
      <c r="K67" s="116"/>
      <c r="S67"/>
    </row>
    <row r="68" spans="1:19" x14ac:dyDescent="0.3">
      <c r="A68" s="115">
        <v>45979</v>
      </c>
      <c r="B68" s="24" t="s">
        <v>26</v>
      </c>
      <c r="C68" s="116" t="s">
        <v>202</v>
      </c>
      <c r="D68" s="116" t="s">
        <v>201</v>
      </c>
      <c r="E68" s="37"/>
      <c r="F68" s="37"/>
      <c r="G68" s="37"/>
      <c r="H68" s="118" t="e">
        <f>_xlfn.XLOOKUP(Table1[[#This Row],[Shipment Number]], 'pivot '!A:A,'pivot '!G:G, "NF")</f>
        <v>#DIV/0!</v>
      </c>
      <c r="I68" s="118"/>
      <c r="J68" s="118">
        <f>_xlfn.XLOOKUP(Table1[[#This Row],[Party Name]],
[1]Billing!$Q$5:$Q$25,
[1]Billing!$Y$5:$Y$25)</f>
        <v>0</v>
      </c>
      <c r="K68" s="116"/>
      <c r="S68"/>
    </row>
    <row r="69" spans="1:19" x14ac:dyDescent="0.3">
      <c r="A69" s="115">
        <v>45979</v>
      </c>
      <c r="B69" s="24" t="s">
        <v>155</v>
      </c>
      <c r="C69" s="116" t="s">
        <v>202</v>
      </c>
      <c r="D69" s="116" t="s">
        <v>201</v>
      </c>
      <c r="E69" s="37"/>
      <c r="F69" s="37"/>
      <c r="G69" s="37"/>
      <c r="H69" s="118" t="e">
        <f>_xlfn.XLOOKUP(Table1[[#This Row],[Shipment Number]], 'pivot '!A:A,'pivot '!G:G, "NF")</f>
        <v>#DIV/0!</v>
      </c>
      <c r="I69" s="118"/>
      <c r="J69" s="118">
        <f>_xlfn.XLOOKUP(Table1[[#This Row],[Party Name]],
[1]Billing!$Q$5:$Q$25,
[1]Billing!$Y$5:$Y$25)</f>
        <v>0</v>
      </c>
      <c r="K69" s="116"/>
      <c r="S69"/>
    </row>
    <row r="70" spans="1:19" x14ac:dyDescent="0.3">
      <c r="A70" s="115">
        <v>45979</v>
      </c>
      <c r="B70" s="24" t="s">
        <v>35</v>
      </c>
      <c r="C70" s="116" t="s">
        <v>202</v>
      </c>
      <c r="D70" s="116" t="s">
        <v>201</v>
      </c>
      <c r="E70" s="37"/>
      <c r="F70" s="37"/>
      <c r="G70" s="37"/>
      <c r="H70" s="118" t="e">
        <f>_xlfn.XLOOKUP(Table1[[#This Row],[Shipment Number]], 'pivot '!A:A,'pivot '!G:G, "NF")</f>
        <v>#DIV/0!</v>
      </c>
      <c r="I70" s="118"/>
      <c r="J70" s="118">
        <f>_xlfn.XLOOKUP(Table1[[#This Row],[Party Name]],
[1]Billing!$Q$5:$Q$25,
[1]Billing!$Y$5:$Y$25)</f>
        <v>0</v>
      </c>
      <c r="K70" s="116"/>
      <c r="S70"/>
    </row>
    <row r="71" spans="1:19" x14ac:dyDescent="0.3">
      <c r="A71" s="115">
        <v>45979</v>
      </c>
      <c r="B71" s="24" t="s">
        <v>151</v>
      </c>
      <c r="C71" s="116" t="s">
        <v>202</v>
      </c>
      <c r="D71" s="116" t="s">
        <v>201</v>
      </c>
      <c r="E71" s="37"/>
      <c r="F71" s="37"/>
      <c r="G71" s="37"/>
      <c r="H71" s="118" t="e">
        <f>_xlfn.XLOOKUP(Table1[[#This Row],[Shipment Number]], 'pivot '!A:A,'pivot '!G:G, "NF")</f>
        <v>#DIV/0!</v>
      </c>
      <c r="I71" s="118"/>
      <c r="J71" s="118">
        <f>_xlfn.XLOOKUP(Table1[[#This Row],[Party Name]],
[1]Billing!$Q$5:$Q$25,
[1]Billing!$Y$5:$Y$25)</f>
        <v>0</v>
      </c>
      <c r="K71" s="116"/>
      <c r="S71"/>
    </row>
    <row r="72" spans="1:19" x14ac:dyDescent="0.3">
      <c r="A72" s="115">
        <v>45979</v>
      </c>
      <c r="B72" s="24" t="s">
        <v>27</v>
      </c>
      <c r="C72" s="116" t="s">
        <v>202</v>
      </c>
      <c r="D72" s="116" t="s">
        <v>201</v>
      </c>
      <c r="E72" s="37"/>
      <c r="F72" s="37"/>
      <c r="G72" s="37"/>
      <c r="H72" s="118" t="e">
        <f>_xlfn.XLOOKUP(Table1[[#This Row],[Shipment Number]], 'pivot '!A:A,'pivot '!G:G, "NF")</f>
        <v>#DIV/0!</v>
      </c>
      <c r="I72" s="118"/>
      <c r="J72" s="118">
        <f>_xlfn.XLOOKUP(Table1[[#This Row],[Party Name]],
[1]Billing!$Q$5:$Q$25,
[1]Billing!$Y$5:$Y$25)</f>
        <v>0</v>
      </c>
      <c r="K72" s="116"/>
      <c r="S72"/>
    </row>
    <row r="73" spans="1:19" x14ac:dyDescent="0.3">
      <c r="A73" s="115">
        <v>45979</v>
      </c>
      <c r="B73" s="24" t="s">
        <v>169</v>
      </c>
      <c r="C73" s="116" t="s">
        <v>202</v>
      </c>
      <c r="D73" s="116" t="s">
        <v>201</v>
      </c>
      <c r="E73" s="37"/>
      <c r="F73" s="37"/>
      <c r="G73" s="37"/>
      <c r="H73" s="118" t="e">
        <f>_xlfn.XLOOKUP(Table1[[#This Row],[Shipment Number]], 'pivot '!A:A,'pivot '!G:G, "NF")</f>
        <v>#DIV/0!</v>
      </c>
      <c r="I73" s="118"/>
      <c r="J73" s="118">
        <f>_xlfn.XLOOKUP(Table1[[#This Row],[Party Name]],
[1]Billing!$Q$5:$Q$25,
[1]Billing!$Y$5:$Y$25)</f>
        <v>0</v>
      </c>
      <c r="K73" s="116"/>
    </row>
    <row r="74" spans="1:19" x14ac:dyDescent="0.3">
      <c r="A74" s="115">
        <v>45979</v>
      </c>
      <c r="B74" s="24" t="s">
        <v>171</v>
      </c>
      <c r="C74" s="116" t="s">
        <v>202</v>
      </c>
      <c r="D74" s="116" t="s">
        <v>201</v>
      </c>
      <c r="E74" s="37"/>
      <c r="F74" s="37"/>
      <c r="G74" s="37"/>
      <c r="H74" s="118" t="e">
        <f>_xlfn.XLOOKUP(Table1[[#This Row],[Shipment Number]], 'pivot '!A:A,'pivot '!G:G, "NF")</f>
        <v>#DIV/0!</v>
      </c>
      <c r="I74" s="118"/>
      <c r="J74" s="118">
        <f>_xlfn.XLOOKUP(Table1[[#This Row],[Party Name]],
[1]Billing!$Q$5:$Q$25,
[1]Billing!$Y$5:$Y$25)</f>
        <v>0</v>
      </c>
      <c r="K74" s="116"/>
    </row>
    <row r="75" spans="1:19" x14ac:dyDescent="0.3">
      <c r="A75" s="115">
        <v>45979</v>
      </c>
      <c r="B75" s="24" t="s">
        <v>178</v>
      </c>
      <c r="C75" s="116" t="s">
        <v>202</v>
      </c>
      <c r="D75" s="116" t="s">
        <v>201</v>
      </c>
      <c r="E75" s="37"/>
      <c r="F75" s="37"/>
      <c r="G75" s="37"/>
      <c r="H75" s="118" t="e">
        <f>_xlfn.XLOOKUP(Table1[[#This Row],[Shipment Number]], 'pivot '!A:A,'pivot '!G:G, "NF")</f>
        <v>#DIV/0!</v>
      </c>
      <c r="I75" s="118"/>
      <c r="J75" s="118">
        <f>_xlfn.XLOOKUP(Table1[[#This Row],[Party Name]],
[1]Billing!$Q$5:$Q$25,
[1]Billing!$Y$5:$Y$25)</f>
        <v>0</v>
      </c>
      <c r="K75" s="116"/>
    </row>
    <row r="76" spans="1:19" x14ac:dyDescent="0.3">
      <c r="A76" s="115">
        <v>45979</v>
      </c>
      <c r="B76" s="24" t="s">
        <v>179</v>
      </c>
      <c r="C76" s="116" t="s">
        <v>202</v>
      </c>
      <c r="D76" s="116" t="s">
        <v>201</v>
      </c>
      <c r="E76" s="37"/>
      <c r="F76" s="37"/>
      <c r="G76" s="37"/>
      <c r="H76" s="118" t="e">
        <f>_xlfn.XLOOKUP(Table1[[#This Row],[Shipment Number]], 'pivot '!A:A,'pivot '!G:G, "NF")</f>
        <v>#DIV/0!</v>
      </c>
      <c r="I76" s="118"/>
      <c r="J76" s="118">
        <f>_xlfn.XLOOKUP(Table1[[#This Row],[Party Name]],
[1]Billing!$Q$5:$Q$25,
[1]Billing!$Y$5:$Y$25)</f>
        <v>0</v>
      </c>
      <c r="K76" s="116"/>
    </row>
    <row r="77" spans="1:19" x14ac:dyDescent="0.3">
      <c r="A77" s="115">
        <v>45979</v>
      </c>
      <c r="B77" s="24" t="s">
        <v>181</v>
      </c>
      <c r="C77" s="116" t="s">
        <v>202</v>
      </c>
      <c r="D77" s="116" t="s">
        <v>201</v>
      </c>
      <c r="E77" s="37"/>
      <c r="F77" s="37"/>
      <c r="G77" s="37"/>
      <c r="H77" s="118" t="e">
        <f>_xlfn.XLOOKUP(Table1[[#This Row],[Shipment Number]], 'pivot '!A:A,'pivot '!G:G, "NF")</f>
        <v>#DIV/0!</v>
      </c>
      <c r="I77" s="118"/>
      <c r="J77" s="118">
        <f>_xlfn.XLOOKUP(Table1[[#This Row],[Party Name]],
[1]Billing!$Q$5:$Q$25,
[1]Billing!$Y$5:$Y$25)</f>
        <v>0</v>
      </c>
      <c r="K77" s="116"/>
    </row>
    <row r="78" spans="1:19" x14ac:dyDescent="0.3">
      <c r="A78" s="115">
        <v>45979</v>
      </c>
      <c r="B78" s="24" t="s">
        <v>186</v>
      </c>
      <c r="C78" s="116" t="s">
        <v>202</v>
      </c>
      <c r="D78" s="116" t="s">
        <v>201</v>
      </c>
      <c r="E78" s="37"/>
      <c r="F78" s="37"/>
      <c r="G78" s="37"/>
      <c r="H78" s="118" t="e">
        <f>_xlfn.XLOOKUP(Table1[[#This Row],[Shipment Number]], 'pivot '!A:A,'pivot '!G:G, "NF")</f>
        <v>#DIV/0!</v>
      </c>
      <c r="I78" s="118"/>
      <c r="J78" s="118">
        <f>_xlfn.XLOOKUP(Table1[[#This Row],[Party Name]],
[1]Billing!$Q$5:$Q$25,
[1]Billing!$Y$5:$Y$25)</f>
        <v>0</v>
      </c>
      <c r="K78" s="116"/>
    </row>
    <row r="79" spans="1:19" x14ac:dyDescent="0.3">
      <c r="A79" s="115">
        <v>45979</v>
      </c>
      <c r="B79" s="24" t="s">
        <v>189</v>
      </c>
      <c r="C79" s="116" t="s">
        <v>202</v>
      </c>
      <c r="D79" s="116" t="s">
        <v>201</v>
      </c>
      <c r="E79" s="37"/>
      <c r="F79" s="37"/>
      <c r="G79" s="37"/>
      <c r="H79" s="118" t="e">
        <f>_xlfn.XLOOKUP(Table1[[#This Row],[Shipment Number]], 'pivot '!A:A,'pivot '!G:G, "NF")</f>
        <v>#DIV/0!</v>
      </c>
      <c r="I79" s="118"/>
      <c r="J79" s="118">
        <f>_xlfn.XLOOKUP(Table1[[#This Row],[Party Name]],
[1]Billing!$Q$5:$Q$25,
[1]Billing!$Y$5:$Y$25)</f>
        <v>94656.181419166067</v>
      </c>
      <c r="K79" s="116"/>
    </row>
    <row r="80" spans="1:19" x14ac:dyDescent="0.3">
      <c r="A80" s="115">
        <v>45979</v>
      </c>
      <c r="B80" s="24" t="s">
        <v>190</v>
      </c>
      <c r="C80" s="116" t="s">
        <v>202</v>
      </c>
      <c r="D80" s="116" t="s">
        <v>201</v>
      </c>
      <c r="E80" s="37"/>
      <c r="F80" s="37"/>
      <c r="G80" s="37"/>
      <c r="H80" s="118" t="e">
        <f>_xlfn.XLOOKUP(Table1[[#This Row],[Shipment Number]], 'pivot '!A:A,'pivot '!G:G, "NF")</f>
        <v>#DIV/0!</v>
      </c>
      <c r="I80" s="118"/>
      <c r="J80" s="118">
        <f>_xlfn.XLOOKUP(Table1[[#This Row],[Party Name]],
[1]Billing!$Q$5:$Q$25,
[1]Billing!$Y$5:$Y$25)</f>
        <v>0</v>
      </c>
      <c r="K80" s="116"/>
    </row>
    <row r="81" spans="1:17" x14ac:dyDescent="0.3">
      <c r="A81" s="115">
        <v>45979</v>
      </c>
      <c r="B81" s="24" t="s">
        <v>198</v>
      </c>
      <c r="C81" s="116" t="s">
        <v>202</v>
      </c>
      <c r="D81" s="116" t="s">
        <v>201</v>
      </c>
      <c r="E81" s="37"/>
      <c r="F81" s="37"/>
      <c r="G81" s="37"/>
      <c r="H81" s="118" t="e">
        <f>_xlfn.XLOOKUP(Table1[[#This Row],[Shipment Number]], 'pivot '!A:A,'pivot '!G:G, "NF")</f>
        <v>#DIV/0!</v>
      </c>
      <c r="I81" s="118"/>
      <c r="J81" s="118">
        <f>_xlfn.XLOOKUP(Table1[[#This Row],[Party Name]],
[1]Billing!$Q$5:$Q$25,
[1]Billing!$Y$5:$Y$25)</f>
        <v>0</v>
      </c>
      <c r="K81" s="116"/>
    </row>
    <row r="82" spans="1:17" x14ac:dyDescent="0.3">
      <c r="A82" s="109">
        <v>45979</v>
      </c>
      <c r="B82" s="110" t="s">
        <v>198</v>
      </c>
      <c r="C82" s="110">
        <v>1091</v>
      </c>
      <c r="D82" s="110" t="s">
        <v>87</v>
      </c>
      <c r="E82" s="111">
        <v>1879</v>
      </c>
      <c r="F82" s="111">
        <v>15061</v>
      </c>
      <c r="G82" s="111">
        <v>8370</v>
      </c>
      <c r="H82" s="112">
        <f>_xlfn.XLOOKUP(Table1[[#This Row],[Shipment Number]], 'pivot '!A:A,'pivot '!G:G, "NF")</f>
        <v>1.5221542124693741</v>
      </c>
      <c r="I82" s="112">
        <f>Table1[[#This Row],[Tiyaar/gaz]]/1.0936</f>
        <v>7653.6210680321883</v>
      </c>
      <c r="J82" s="10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3"/>
    </row>
    <row r="83" spans="1:17" x14ac:dyDescent="0.3">
      <c r="A83" s="120">
        <v>45979</v>
      </c>
      <c r="B83" s="119" t="s">
        <v>22</v>
      </c>
      <c r="C83" s="119">
        <v>1092</v>
      </c>
      <c r="D83" s="119" t="s">
        <v>87</v>
      </c>
      <c r="E83" s="121">
        <v>1867</v>
      </c>
      <c r="F83" s="121">
        <v>15147</v>
      </c>
      <c r="G83" s="121">
        <v>16288</v>
      </c>
      <c r="H83" s="122">
        <f>_xlfn.XLOOKUP(Table1[[#This Row],[Shipment Number]], 'pivot '!A:A,'pivot '!G:G, "NF")</f>
        <v>1.6707710426602347</v>
      </c>
      <c r="I83" s="122">
        <f>Table1[[#This Row],[Tiyaar/gaz]]/1.0936</f>
        <v>14893.928310168252</v>
      </c>
      <c r="J83" s="123"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4"/>
    </row>
    <row r="84" spans="1:17" x14ac:dyDescent="0.3">
      <c r="A84" s="109">
        <v>45979</v>
      </c>
      <c r="B84" s="110" t="s">
        <v>198</v>
      </c>
      <c r="C84" s="110">
        <v>1093</v>
      </c>
      <c r="D84" s="110" t="s">
        <v>87</v>
      </c>
      <c r="E84" s="111">
        <v>1879</v>
      </c>
      <c r="F84" s="111">
        <v>15061</v>
      </c>
      <c r="G84" s="111">
        <v>7850</v>
      </c>
      <c r="H84" s="112">
        <f>_xlfn.XLOOKUP(Table1[[#This Row],[Shipment Number]], 'pivot '!A:A,'pivot '!G:G, "NF")</f>
        <v>1.5221542124693741</v>
      </c>
      <c r="I84" s="112">
        <f>Table1[[#This Row],[Tiyaar/gaz]]/1.0936</f>
        <v>7178.1272860277986</v>
      </c>
      <c r="J84" s="10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3"/>
    </row>
    <row r="85" spans="1:17" x14ac:dyDescent="0.3">
      <c r="A85" s="120">
        <v>45979</v>
      </c>
      <c r="B85" s="119" t="s">
        <v>198</v>
      </c>
      <c r="C85" s="119">
        <v>1094</v>
      </c>
      <c r="D85" s="119" t="s">
        <v>87</v>
      </c>
      <c r="E85" s="121" t="s">
        <v>199</v>
      </c>
      <c r="F85" s="121">
        <v>17020</v>
      </c>
      <c r="G85" s="121">
        <v>3280</v>
      </c>
      <c r="H85" s="122">
        <f>_xlfn.XLOOKUP(Table1[[#This Row],[Shipment Number]], 'pivot '!A:A,'pivot '!G:G, "NF")</f>
        <v>2.6007098667001287</v>
      </c>
      <c r="I85" s="122">
        <f>Table1[[#This Row],[Tiyaar/gaz]]/1.0936</f>
        <v>2999.268471104609</v>
      </c>
      <c r="J85" s="123"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4"/>
    </row>
    <row r="86" spans="1:17" x14ac:dyDescent="0.3">
      <c r="A86" s="109">
        <v>45979</v>
      </c>
      <c r="B86" s="110" t="s">
        <v>198</v>
      </c>
      <c r="C86" s="110">
        <v>1095</v>
      </c>
      <c r="D86" s="110" t="s">
        <v>87</v>
      </c>
      <c r="E86" s="111" t="s">
        <v>199</v>
      </c>
      <c r="F86" s="111">
        <v>17020</v>
      </c>
      <c r="G86" s="111">
        <v>2238</v>
      </c>
      <c r="H86" s="112">
        <f>_xlfn.XLOOKUP(Table1[[#This Row],[Shipment Number]], 'pivot '!A:A,'pivot '!G:G, "NF")</f>
        <v>2.6007098667001287</v>
      </c>
      <c r="I86" s="112">
        <f>Table1[[#This Row],[Tiyaar/gaz]]/1.0936</f>
        <v>2046.452084857352</v>
      </c>
      <c r="J86" s="10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3"/>
    </row>
    <row r="87" spans="1:17" x14ac:dyDescent="0.3">
      <c r="A87" s="120">
        <v>45979</v>
      </c>
      <c r="B87" s="119" t="s">
        <v>198</v>
      </c>
      <c r="C87" s="119">
        <v>1096</v>
      </c>
      <c r="D87" s="119" t="s">
        <v>87</v>
      </c>
      <c r="E87" s="121" t="s">
        <v>199</v>
      </c>
      <c r="F87" s="121">
        <v>17020</v>
      </c>
      <c r="G87" s="121">
        <v>7449</v>
      </c>
      <c r="H87" s="122">
        <f>_xlfn.XLOOKUP(Table1[[#This Row],[Shipment Number]], 'pivot '!A:A,'pivot '!G:G, "NF")</f>
        <v>2.6007098667001287</v>
      </c>
      <c r="I87" s="122">
        <f>Table1[[#This Row],[Tiyaar/gaz]]/1.0936</f>
        <v>6811.4484272128757</v>
      </c>
      <c r="J87" s="123"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4"/>
    </row>
    <row r="88" spans="1:17" x14ac:dyDescent="0.3">
      <c r="A88" s="109">
        <v>45979</v>
      </c>
      <c r="B88" s="110" t="s">
        <v>198</v>
      </c>
      <c r="C88" s="110">
        <v>1097</v>
      </c>
      <c r="D88" s="110" t="s">
        <v>87</v>
      </c>
      <c r="E88" s="111" t="s">
        <v>199</v>
      </c>
      <c r="F88" s="111">
        <v>17020</v>
      </c>
      <c r="G88" s="111">
        <v>5162</v>
      </c>
      <c r="H88" s="112">
        <f>_xlfn.XLOOKUP(Table1[[#This Row],[Shipment Number]], 'pivot '!A:A,'pivot '!G:G, "NF")</f>
        <v>2.6007098667001287</v>
      </c>
      <c r="I88" s="112">
        <f>Table1[[#This Row],[Tiyaar/gaz]]/1.0936</f>
        <v>4720.1901975128021</v>
      </c>
      <c r="J88" s="10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3"/>
    </row>
    <row r="89" spans="1:17" x14ac:dyDescent="0.3">
      <c r="A89" s="129">
        <v>45980</v>
      </c>
      <c r="B89" s="127" t="s">
        <v>9</v>
      </c>
      <c r="C89" s="119">
        <v>1098</v>
      </c>
      <c r="D89" s="127" t="s">
        <v>87</v>
      </c>
      <c r="E89" s="11">
        <v>1878</v>
      </c>
      <c r="F89" s="11">
        <v>25021</v>
      </c>
      <c r="G89" s="11">
        <v>26629</v>
      </c>
      <c r="H89" s="128">
        <f>_xlfn.XLOOKUP(Table1[[#This Row],[Shipment Number]], 'pivot '!A:A,'pivot '!G:G, "NF")</f>
        <v>2.6823320641823756</v>
      </c>
      <c r="I89" s="112">
        <f>Table1[[#This Row],[Tiyaar/gaz]]/1.0936</f>
        <v>24349.853694220925</v>
      </c>
      <c r="J89" s="10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7"/>
    </row>
    <row r="90" spans="1:17" x14ac:dyDescent="0.3">
      <c r="A90" s="129">
        <v>45980</v>
      </c>
      <c r="B90" s="127" t="s">
        <v>21</v>
      </c>
      <c r="C90" s="127">
        <v>1099</v>
      </c>
      <c r="D90" s="127" t="s">
        <v>87</v>
      </c>
      <c r="E90" s="11">
        <v>1897</v>
      </c>
      <c r="F90" s="11">
        <v>11127</v>
      </c>
      <c r="G90" s="11">
        <v>11819</v>
      </c>
      <c r="H90" s="128">
        <f>_xlfn.XLOOKUP(Table1[[#This Row],[Shipment Number]], 'pivot '!A:A,'pivot '!G:G, "NF")</f>
        <v>2.8720677784827728</v>
      </c>
      <c r="I90" s="112">
        <f>Table1[[#This Row],[Tiyaar/gaz]]/1.0936</f>
        <v>10807.425018288222</v>
      </c>
      <c r="J90" s="10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7"/>
    </row>
    <row r="91" spans="1:17" x14ac:dyDescent="0.3">
      <c r="A91" s="129">
        <v>45980</v>
      </c>
      <c r="B91" s="127" t="s">
        <v>21</v>
      </c>
      <c r="C91" s="127">
        <v>1100</v>
      </c>
      <c r="D91" s="127" t="s">
        <v>87</v>
      </c>
      <c r="E91" s="11">
        <v>1920</v>
      </c>
      <c r="F91" s="11">
        <v>12000</v>
      </c>
      <c r="G91" s="11">
        <v>6508</v>
      </c>
      <c r="H91" s="128">
        <f>_xlfn.XLOOKUP(Table1[[#This Row],[Shipment Number]], 'pivot '!A:A,'pivot '!G:G, "NF")</f>
        <v>1.4645818093147938</v>
      </c>
      <c r="I91" s="112">
        <f>Table1[[#This Row],[Tiyaar/gaz]]/1.0936</f>
        <v>5950.9875640087785</v>
      </c>
      <c r="J91" s="10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7"/>
    </row>
    <row r="92" spans="1:17" x14ac:dyDescent="0.3">
      <c r="A92" s="129">
        <v>45980</v>
      </c>
      <c r="B92" s="127" t="s">
        <v>21</v>
      </c>
      <c r="C92" s="127">
        <v>1101</v>
      </c>
      <c r="D92" s="127" t="s">
        <v>87</v>
      </c>
      <c r="E92" s="11">
        <v>1898</v>
      </c>
      <c r="F92" s="11">
        <v>8003</v>
      </c>
      <c r="G92" s="11">
        <v>5167</v>
      </c>
      <c r="H92" s="128">
        <f>_xlfn.XLOOKUP(Table1[[#This Row],[Shipment Number]], 'pivot '!A:A,'pivot '!G:G, "NF")</f>
        <v>2.5031852996603874</v>
      </c>
      <c r="I92" s="112">
        <f>Table1[[#This Row],[Tiyaar/gaz]]/1.0936</f>
        <v>4724.7622531089983</v>
      </c>
      <c r="J92" s="10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7"/>
    </row>
    <row r="93" spans="1:17" x14ac:dyDescent="0.3">
      <c r="A93" s="129">
        <v>45980</v>
      </c>
      <c r="B93" s="127" t="s">
        <v>21</v>
      </c>
      <c r="C93" s="127">
        <v>1102</v>
      </c>
      <c r="D93" s="127" t="s">
        <v>87</v>
      </c>
      <c r="E93" s="11">
        <v>1898</v>
      </c>
      <c r="F93" s="11">
        <v>8003</v>
      </c>
      <c r="G93" s="11">
        <v>3366</v>
      </c>
      <c r="H93" s="128">
        <f>_xlfn.XLOOKUP(Table1[[#This Row],[Shipment Number]], 'pivot '!A:A,'pivot '!G:G, "NF")</f>
        <v>2.5031852996603874</v>
      </c>
      <c r="I93" s="112">
        <f>Table1[[#This Row],[Tiyaar/gaz]]/1.0936</f>
        <v>3077.9078273591808</v>
      </c>
      <c r="J93" s="10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7"/>
    </row>
    <row r="94" spans="1:17" x14ac:dyDescent="0.3">
      <c r="A94" s="129">
        <v>45980</v>
      </c>
      <c r="B94" s="127" t="s">
        <v>21</v>
      </c>
      <c r="C94" s="127">
        <v>1103</v>
      </c>
      <c r="D94" s="127" t="s">
        <v>87</v>
      </c>
      <c r="E94" s="11">
        <v>1920</v>
      </c>
      <c r="F94" s="11">
        <v>12000</v>
      </c>
      <c r="G94" s="11">
        <v>6423</v>
      </c>
      <c r="H94" s="128">
        <f>_xlfn.XLOOKUP(Table1[[#This Row],[Shipment Number]], 'pivot '!A:A,'pivot '!G:G, "NF")</f>
        <v>1.4645818093147938</v>
      </c>
      <c r="I94" s="112">
        <f>Table1[[#This Row],[Tiyaar/gaz]]/1.0936</f>
        <v>5873.2626188734457</v>
      </c>
      <c r="J94" s="10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7"/>
    </row>
    <row r="95" spans="1:17" x14ac:dyDescent="0.3">
      <c r="A95" s="129">
        <v>45980</v>
      </c>
      <c r="B95" s="127" t="s">
        <v>21</v>
      </c>
      <c r="C95" s="127">
        <v>1104</v>
      </c>
      <c r="D95" s="127" t="s">
        <v>87</v>
      </c>
      <c r="E95" s="11">
        <v>1875</v>
      </c>
      <c r="F95" s="11">
        <v>8051</v>
      </c>
      <c r="G95" s="11">
        <v>8739</v>
      </c>
      <c r="H95" s="128">
        <f>_xlfn.XLOOKUP(Table1[[#This Row],[Shipment Number]], 'pivot '!A:A,'pivot '!G:G, "NF")</f>
        <v>0.74476746948880646</v>
      </c>
      <c r="I95" s="112">
        <f>Table1[[#This Row],[Tiyaar/gaz]]/1.0936</f>
        <v>7991.0387710314562</v>
      </c>
      <c r="J95" s="10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7"/>
    </row>
    <row r="96" spans="1:17" x14ac:dyDescent="0.3">
      <c r="A96" s="129">
        <v>45980</v>
      </c>
      <c r="B96" s="127" t="s">
        <v>21</v>
      </c>
      <c r="C96" s="127">
        <v>1105</v>
      </c>
      <c r="D96" s="127" t="s">
        <v>87</v>
      </c>
      <c r="E96" s="11">
        <v>1918</v>
      </c>
      <c r="F96" s="11">
        <v>24516</v>
      </c>
      <c r="G96" s="11">
        <v>6876</v>
      </c>
      <c r="H96" s="128">
        <f>_xlfn.XLOOKUP(Table1[[#This Row],[Shipment Number]], 'pivot '!A:A,'pivot '!G:G, "NF")</f>
        <v>74.35352073793112</v>
      </c>
      <c r="I96" s="112">
        <f>Table1[[#This Row],[Tiyaar/gaz]]/1.0936</f>
        <v>6287.4908558888083</v>
      </c>
      <c r="J96" s="10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7"/>
      <c r="O96"/>
      <c r="P96"/>
      <c r="Q96"/>
    </row>
    <row r="97" spans="1:18" x14ac:dyDescent="0.3">
      <c r="A97" s="129">
        <v>45981</v>
      </c>
      <c r="B97" s="127" t="s">
        <v>186</v>
      </c>
      <c r="C97" s="127">
        <v>1106</v>
      </c>
      <c r="D97" s="127" t="s">
        <v>87</v>
      </c>
      <c r="E97" s="11">
        <v>1906</v>
      </c>
      <c r="F97" s="11">
        <v>36489</v>
      </c>
      <c r="G97" s="11">
        <v>27661</v>
      </c>
      <c r="H97" s="128">
        <f>_xlfn.XLOOKUP(Table1[[#This Row],[Shipment Number]], 'pivot '!A:A,'pivot '!G:G, "NF")</f>
        <v>30.681778154304624</v>
      </c>
      <c r="I97" s="112">
        <f>Table1[[#This Row],[Tiyaar/gaz]]/1.0936</f>
        <v>25293.52596927579</v>
      </c>
      <c r="J97" s="10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7"/>
      <c r="O97"/>
      <c r="P97"/>
      <c r="Q97"/>
    </row>
    <row r="98" spans="1:18" x14ac:dyDescent="0.3">
      <c r="A98" s="129">
        <v>45981</v>
      </c>
      <c r="B98" s="127" t="s">
        <v>186</v>
      </c>
      <c r="C98" s="127">
        <v>1107</v>
      </c>
      <c r="D98" s="127" t="s">
        <v>87</v>
      </c>
      <c r="E98" s="11">
        <v>1873</v>
      </c>
      <c r="F98" s="11">
        <v>42762</v>
      </c>
      <c r="G98" s="11">
        <v>835</v>
      </c>
      <c r="H98" s="128">
        <f>_xlfn.XLOOKUP(Table1[[#This Row],[Shipment Number]], 'pivot '!A:A,'pivot '!G:G, "NF")</f>
        <v>98.2144584337385</v>
      </c>
      <c r="I98" s="112">
        <f>Table1[[#This Row],[Tiyaar/gaz]]/1.0936</f>
        <v>763.53328456474037</v>
      </c>
      <c r="J98" s="10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7"/>
      <c r="L98"/>
      <c r="M98"/>
      <c r="O98"/>
      <c r="P98"/>
      <c r="Q98"/>
    </row>
    <row r="99" spans="1:18" x14ac:dyDescent="0.3">
      <c r="A99" s="129">
        <v>45981</v>
      </c>
      <c r="B99" s="127" t="s">
        <v>186</v>
      </c>
      <c r="C99" s="127">
        <v>1108</v>
      </c>
      <c r="D99" s="127" t="s">
        <v>87</v>
      </c>
      <c r="E99" s="11">
        <v>1883</v>
      </c>
      <c r="F99" s="11">
        <v>8030</v>
      </c>
      <c r="G99" s="11">
        <v>1819</v>
      </c>
      <c r="H99" s="128">
        <f>_xlfn.XLOOKUP(Table1[[#This Row],[Shipment Number]], 'pivot '!A:A,'pivot '!G:G, "NF")</f>
        <v>79.286253724830345</v>
      </c>
      <c r="I99" s="112">
        <f>Table1[[#This Row],[Tiyaar/gaz]]/1.0936</f>
        <v>1663.313825896123</v>
      </c>
      <c r="J99" s="10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7"/>
      <c r="M99"/>
      <c r="P99"/>
      <c r="Q99"/>
      <c r="R99"/>
    </row>
    <row r="100" spans="1:18" x14ac:dyDescent="0.3">
      <c r="A100"/>
      <c r="B100"/>
      <c r="C100"/>
      <c r="D100"/>
      <c r="E100" s="14"/>
      <c r="F100" s="14"/>
      <c r="G100" s="14"/>
      <c r="H100" s="43"/>
      <c r="I100" s="95" cm="1">
        <f t="array" aca="1" ref="I100" ca="1">SUMPRODUCT( SUBTOTAL(109, OFFSET(Table1[tiyar/meters], ROW(Table1[tiyar/meters])-MIN(ROW(Table1[tiyar/meters])), 0, 1)), --(Table1[Bill Number]&lt;&gt;"October Closing CF") )</f>
        <v>143086.13752743238</v>
      </c>
      <c r="J100" s="43" cm="1">
        <f t="array" aca="1" ref="J100" ca="1">SUMPRODUCT( SUBTOTAL(109, OFFSET(Table1[billing], ROW(Table1[billing])-MIN(ROW(Table1[billing])), 0, 1)), --(Table1[Bill Number]&lt;&gt;"October Closing CF") )</f>
        <v>1860119.7878566203</v>
      </c>
      <c r="K100" s="14">
        <f>SUMIFS(Table1[billing], Table1[Bill Number], "&lt;&gt;October Closing CF")</f>
        <v>1860119.7878566203</v>
      </c>
      <c r="M100"/>
      <c r="P100"/>
      <c r="Q100"/>
      <c r="R100"/>
    </row>
    <row r="101" spans="1:18" x14ac:dyDescent="0.3">
      <c r="M101"/>
      <c r="P101"/>
      <c r="Q101"/>
      <c r="R101"/>
    </row>
    <row r="102" spans="1:18" x14ac:dyDescent="0.3">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D110" s="3" t="s">
        <v>2</v>
      </c>
      <c r="E110" t="s">
        <v>88</v>
      </c>
      <c r="L110"/>
      <c r="O110"/>
      <c r="P110"/>
      <c r="Q110"/>
    </row>
    <row r="111" spans="1:18" x14ac:dyDescent="0.3">
      <c r="D111" s="3" t="s">
        <v>75</v>
      </c>
      <c r="E111" t="s">
        <v>88</v>
      </c>
      <c r="L111"/>
      <c r="O111"/>
      <c r="P111"/>
      <c r="Q111"/>
    </row>
    <row r="112" spans="1:18" x14ac:dyDescent="0.3">
      <c r="D112" s="3" t="s">
        <v>79</v>
      </c>
      <c r="E112" t="s">
        <v>88</v>
      </c>
      <c r="L112"/>
      <c r="O112"/>
      <c r="P112"/>
      <c r="Q112"/>
    </row>
    <row r="113" spans="4:17" x14ac:dyDescent="0.3">
      <c r="O113"/>
      <c r="P113"/>
      <c r="Q113"/>
    </row>
    <row r="114" spans="4:17" x14ac:dyDescent="0.3">
      <c r="D114" s="3" t="s">
        <v>6</v>
      </c>
      <c r="E114" t="s">
        <v>89</v>
      </c>
      <c r="F114" t="s">
        <v>90</v>
      </c>
      <c r="G114" t="s">
        <v>91</v>
      </c>
      <c r="I114" s="3" t="s">
        <v>6</v>
      </c>
      <c r="J114" t="s">
        <v>90</v>
      </c>
      <c r="K114" t="s">
        <v>91</v>
      </c>
      <c r="O114"/>
      <c r="P114"/>
      <c r="Q114"/>
    </row>
    <row r="115" spans="4:17" x14ac:dyDescent="0.3">
      <c r="D115" s="16">
        <v>1091</v>
      </c>
      <c r="E115">
        <v>8370</v>
      </c>
      <c r="F115" s="28">
        <v>7653.6210680321883</v>
      </c>
      <c r="G115">
        <v>99497.073884418453</v>
      </c>
      <c r="I115" s="26">
        <v>45979</v>
      </c>
      <c r="J115" s="43">
        <v>5841581.9312362839</v>
      </c>
      <c r="K115" s="14">
        <v>60925591.276005872</v>
      </c>
      <c r="O115"/>
      <c r="P115"/>
      <c r="Q115"/>
    </row>
    <row r="116" spans="4:17" x14ac:dyDescent="0.3">
      <c r="D116" s="16">
        <v>1092</v>
      </c>
      <c r="E116">
        <v>16288</v>
      </c>
      <c r="F116" s="28">
        <v>14893.928310168252</v>
      </c>
      <c r="G116">
        <v>193621.06803218729</v>
      </c>
      <c r="I116" s="26">
        <v>45980</v>
      </c>
      <c r="J116" s="43">
        <v>24349.853694220925</v>
      </c>
      <c r="K116" s="14">
        <v>316548.09802487202</v>
      </c>
      <c r="O116"/>
      <c r="P116"/>
      <c r="Q116"/>
    </row>
    <row r="117" spans="4:17" x14ac:dyDescent="0.3">
      <c r="D117" s="16">
        <v>1093</v>
      </c>
      <c r="E117">
        <v>7850</v>
      </c>
      <c r="F117" s="28">
        <v>7178.1272860277986</v>
      </c>
      <c r="G117">
        <v>93315.654718361387</v>
      </c>
      <c r="I117" s="26">
        <v>45981</v>
      </c>
      <c r="J117" s="43"/>
      <c r="K117" s="14"/>
      <c r="O117"/>
      <c r="P117"/>
      <c r="Q117"/>
    </row>
    <row r="118" spans="4:17" x14ac:dyDescent="0.3">
      <c r="D118" s="16">
        <v>1094</v>
      </c>
      <c r="E118">
        <v>3280</v>
      </c>
      <c r="F118" s="28">
        <v>2999.268471104609</v>
      </c>
      <c r="G118">
        <v>38990.490124359916</v>
      </c>
      <c r="I118" s="26" t="s">
        <v>28</v>
      </c>
      <c r="J118" s="43">
        <v>5865931.7849305049</v>
      </c>
      <c r="K118" s="14">
        <v>61242139.374030747</v>
      </c>
      <c r="O118"/>
      <c r="P118"/>
      <c r="Q118"/>
    </row>
    <row r="119" spans="4:17" x14ac:dyDescent="0.3">
      <c r="D119" s="16">
        <v>1095</v>
      </c>
      <c r="E119">
        <v>2238</v>
      </c>
      <c r="F119" s="28">
        <v>2046.452084857352</v>
      </c>
      <c r="G119">
        <v>26603.877103145576</v>
      </c>
      <c r="I119"/>
      <c r="J119"/>
      <c r="K119"/>
      <c r="O119"/>
      <c r="P119"/>
      <c r="Q119"/>
    </row>
    <row r="120" spans="4:17" x14ac:dyDescent="0.3">
      <c r="D120" s="16">
        <v>1096</v>
      </c>
      <c r="E120">
        <v>7449</v>
      </c>
      <c r="F120" s="28">
        <v>6811.4484272128757</v>
      </c>
      <c r="G120">
        <v>88548.829553767384</v>
      </c>
      <c r="I120"/>
      <c r="J120"/>
      <c r="K120"/>
      <c r="P120"/>
      <c r="Q120"/>
    </row>
    <row r="121" spans="4:17" x14ac:dyDescent="0.3">
      <c r="D121" s="16">
        <v>1097</v>
      </c>
      <c r="E121">
        <v>5162</v>
      </c>
      <c r="F121" s="28">
        <v>4720.1901975128021</v>
      </c>
      <c r="G121">
        <v>61362.472567666424</v>
      </c>
      <c r="I121"/>
      <c r="J121"/>
      <c r="K121"/>
      <c r="P121"/>
      <c r="Q121"/>
    </row>
    <row r="122" spans="4:17" x14ac:dyDescent="0.3">
      <c r="D122" s="16">
        <v>1098</v>
      </c>
      <c r="E122">
        <v>26629</v>
      </c>
      <c r="F122" s="28">
        <v>24349.853694220925</v>
      </c>
      <c r="G122">
        <v>316548.09802487202</v>
      </c>
      <c r="I122"/>
      <c r="J122"/>
      <c r="K122"/>
      <c r="P122"/>
      <c r="Q122"/>
    </row>
    <row r="123" spans="4:17" x14ac:dyDescent="0.3">
      <c r="D123" s="16" t="s">
        <v>202</v>
      </c>
      <c r="E123"/>
      <c r="F123" s="28">
        <v>5795278.8953913683</v>
      </c>
      <c r="G123">
        <v>60323651.810021959</v>
      </c>
      <c r="I123"/>
      <c r="J123"/>
      <c r="K123"/>
      <c r="P123"/>
      <c r="Q123"/>
    </row>
    <row r="124" spans="4:17" x14ac:dyDescent="0.3">
      <c r="D124" s="16">
        <v>1099</v>
      </c>
      <c r="E124">
        <v>11819</v>
      </c>
      <c r="F124" s="28"/>
      <c r="G124"/>
      <c r="I124"/>
      <c r="J124"/>
      <c r="K124"/>
      <c r="P124"/>
      <c r="Q124"/>
    </row>
    <row r="125" spans="4:17" x14ac:dyDescent="0.3">
      <c r="D125" s="16">
        <v>1100</v>
      </c>
      <c r="E125">
        <v>6508</v>
      </c>
      <c r="F125" s="28"/>
      <c r="G125"/>
      <c r="I125"/>
      <c r="J125"/>
      <c r="K125"/>
      <c r="P125"/>
      <c r="Q125"/>
    </row>
    <row r="126" spans="4:17" x14ac:dyDescent="0.3">
      <c r="D126" s="16">
        <v>1101</v>
      </c>
      <c r="E126">
        <v>5167</v>
      </c>
      <c r="F126" s="28"/>
      <c r="G126"/>
      <c r="I126"/>
      <c r="J126"/>
      <c r="K126"/>
      <c r="P126"/>
      <c r="Q126"/>
    </row>
    <row r="127" spans="4:17" x14ac:dyDescent="0.3">
      <c r="D127" s="16">
        <v>1102</v>
      </c>
      <c r="E127">
        <v>3366</v>
      </c>
      <c r="F127" s="28"/>
      <c r="G127"/>
      <c r="I127"/>
      <c r="J127"/>
      <c r="K127"/>
      <c r="P127"/>
      <c r="Q127"/>
    </row>
    <row r="128" spans="4:17" x14ac:dyDescent="0.3">
      <c r="D128" s="16">
        <v>1103</v>
      </c>
      <c r="E128">
        <v>6423</v>
      </c>
      <c r="F128" s="28"/>
      <c r="G128"/>
      <c r="I128"/>
      <c r="J128"/>
      <c r="K128"/>
      <c r="P128"/>
      <c r="Q128"/>
    </row>
    <row r="129" spans="4:17" x14ac:dyDescent="0.3">
      <c r="D129" s="16">
        <v>1104</v>
      </c>
      <c r="E129">
        <v>8739</v>
      </c>
      <c r="F129" s="28"/>
      <c r="G129"/>
      <c r="I129"/>
      <c r="J129"/>
      <c r="K129"/>
      <c r="P129"/>
      <c r="Q129"/>
    </row>
    <row r="130" spans="4:17" x14ac:dyDescent="0.3">
      <c r="D130" s="16">
        <v>1105</v>
      </c>
      <c r="E130">
        <v>6876</v>
      </c>
      <c r="F130" s="28"/>
      <c r="G130"/>
      <c r="I130"/>
      <c r="J130"/>
      <c r="K130"/>
      <c r="P130"/>
      <c r="Q130"/>
    </row>
    <row r="131" spans="4:17" x14ac:dyDescent="0.3">
      <c r="D131" s="16">
        <v>1106</v>
      </c>
      <c r="E131">
        <v>27661</v>
      </c>
      <c r="F131" s="28"/>
      <c r="G131"/>
      <c r="I131"/>
      <c r="J131"/>
      <c r="K131"/>
      <c r="O131"/>
      <c r="P131"/>
      <c r="Q131"/>
    </row>
    <row r="132" spans="4:17" x14ac:dyDescent="0.3">
      <c r="D132" s="16">
        <v>1107</v>
      </c>
      <c r="E132">
        <v>835</v>
      </c>
      <c r="F132" s="28"/>
      <c r="G132"/>
      <c r="I132"/>
      <c r="J132"/>
      <c r="K132"/>
      <c r="L132"/>
      <c r="M132"/>
      <c r="N132"/>
    </row>
    <row r="133" spans="4:17" x14ac:dyDescent="0.3">
      <c r="D133" s="16">
        <v>1108</v>
      </c>
      <c r="E133">
        <v>1819</v>
      </c>
      <c r="F133" s="28"/>
      <c r="G133"/>
      <c r="I133"/>
      <c r="J133"/>
      <c r="K133"/>
    </row>
    <row r="134" spans="4:17" x14ac:dyDescent="0.3">
      <c r="D134" s="16" t="s">
        <v>106</v>
      </c>
      <c r="E134"/>
      <c r="F134" s="28"/>
      <c r="G134"/>
      <c r="I134"/>
      <c r="J134"/>
      <c r="K134"/>
    </row>
    <row r="135" spans="4:17" x14ac:dyDescent="0.3">
      <c r="D135" s="16" t="s">
        <v>28</v>
      </c>
      <c r="E135">
        <v>156479</v>
      </c>
      <c r="F135" s="28">
        <v>5865931.7849305049</v>
      </c>
      <c r="G135">
        <v>61242139.374030739</v>
      </c>
      <c r="I135"/>
      <c r="J135"/>
      <c r="K135"/>
    </row>
    <row r="136" spans="4:17" x14ac:dyDescent="0.3">
      <c r="D136"/>
      <c r="E136"/>
      <c r="F136"/>
      <c r="G136"/>
    </row>
    <row r="137" spans="4:17" x14ac:dyDescent="0.3">
      <c r="D137"/>
      <c r="E137"/>
      <c r="F137"/>
      <c r="G137"/>
    </row>
    <row r="138" spans="4:17" x14ac:dyDescent="0.3">
      <c r="D138"/>
      <c r="E138"/>
      <c r="F138"/>
      <c r="G138"/>
    </row>
    <row r="139" spans="4:17" x14ac:dyDescent="0.3">
      <c r="D139"/>
      <c r="E139"/>
      <c r="F139"/>
      <c r="G139"/>
    </row>
    <row r="140" spans="4:17" x14ac:dyDescent="0.3">
      <c r="D140"/>
      <c r="E140"/>
      <c r="F140"/>
      <c r="G140"/>
    </row>
    <row r="141" spans="4:17" x14ac:dyDescent="0.3">
      <c r="D141"/>
      <c r="E141"/>
      <c r="F141"/>
      <c r="G141"/>
    </row>
    <row r="142" spans="4:17" x14ac:dyDescent="0.3">
      <c r="D142"/>
      <c r="E142"/>
      <c r="F142"/>
      <c r="G142"/>
    </row>
    <row r="143" spans="4:17" x14ac:dyDescent="0.3">
      <c r="D143"/>
      <c r="E143"/>
      <c r="F143"/>
      <c r="G143"/>
    </row>
    <row r="144" spans="4:17" x14ac:dyDescent="0.3">
      <c r="D144"/>
      <c r="E144"/>
      <c r="F144"/>
      <c r="G144"/>
    </row>
    <row r="145" spans="4:7" x14ac:dyDescent="0.3">
      <c r="D145"/>
      <c r="E145"/>
      <c r="F145"/>
      <c r="G145"/>
    </row>
    <row r="146" spans="4:7" x14ac:dyDescent="0.3">
      <c r="D146"/>
      <c r="E146"/>
      <c r="F146"/>
      <c r="G146"/>
    </row>
    <row r="147" spans="4:7" x14ac:dyDescent="0.3">
      <c r="D147"/>
      <c r="E147"/>
      <c r="F147"/>
      <c r="G147"/>
    </row>
    <row r="148" spans="4:7" x14ac:dyDescent="0.3">
      <c r="D148"/>
      <c r="E148"/>
      <c r="F148"/>
      <c r="G148"/>
    </row>
    <row r="149" spans="4:7" x14ac:dyDescent="0.3">
      <c r="D149"/>
      <c r="E149"/>
      <c r="F149"/>
      <c r="G149"/>
    </row>
    <row r="150" spans="4:7" x14ac:dyDescent="0.3">
      <c r="D150"/>
      <c r="E150"/>
      <c r="F150"/>
      <c r="G150"/>
    </row>
    <row r="151" spans="4:7" x14ac:dyDescent="0.3">
      <c r="D151"/>
      <c r="E151"/>
      <c r="F151"/>
      <c r="G151"/>
    </row>
    <row r="152" spans="4:7" x14ac:dyDescent="0.3">
      <c r="D152"/>
      <c r="E152"/>
      <c r="F152"/>
      <c r="G152"/>
    </row>
    <row r="153" spans="4:7" x14ac:dyDescent="0.3">
      <c r="D153"/>
      <c r="E153"/>
      <c r="F153"/>
      <c r="G153"/>
    </row>
    <row r="154" spans="4:7" x14ac:dyDescent="0.3">
      <c r="D154"/>
      <c r="E154"/>
      <c r="F154"/>
      <c r="G154"/>
    </row>
    <row r="155" spans="4:7" x14ac:dyDescent="0.3">
      <c r="D155"/>
      <c r="E155"/>
      <c r="F155"/>
      <c r="G155"/>
    </row>
    <row r="156" spans="4:7" x14ac:dyDescent="0.3">
      <c r="D156"/>
      <c r="E156"/>
      <c r="F156"/>
      <c r="G156"/>
    </row>
    <row r="157" spans="4:7" x14ac:dyDescent="0.3">
      <c r="D157"/>
      <c r="E157"/>
      <c r="F157"/>
      <c r="G157"/>
    </row>
    <row r="158" spans="4:7" x14ac:dyDescent="0.3">
      <c r="D158"/>
      <c r="E158"/>
      <c r="F158"/>
      <c r="G158"/>
    </row>
    <row r="159" spans="4:7" x14ac:dyDescent="0.3">
      <c r="D159"/>
      <c r="E159"/>
      <c r="F159"/>
      <c r="G159"/>
    </row>
    <row r="160" spans="4:7" x14ac:dyDescent="0.3">
      <c r="D160"/>
      <c r="E160"/>
      <c r="F160"/>
      <c r="G160"/>
    </row>
    <row r="161" spans="4:7" x14ac:dyDescent="0.3">
      <c r="D161"/>
      <c r="E161"/>
      <c r="F161"/>
      <c r="G161"/>
    </row>
    <row r="162" spans="4:7" x14ac:dyDescent="0.3">
      <c r="D162"/>
      <c r="E162"/>
      <c r="F162"/>
      <c r="G162"/>
    </row>
    <row r="163" spans="4:7" x14ac:dyDescent="0.3">
      <c r="D163"/>
      <c r="E163"/>
      <c r="F163"/>
      <c r="G163"/>
    </row>
    <row r="164" spans="4:7" x14ac:dyDescent="0.3">
      <c r="D164"/>
      <c r="E164"/>
      <c r="F164"/>
      <c r="G164"/>
    </row>
    <row r="165" spans="4:7" x14ac:dyDescent="0.3">
      <c r="D165"/>
      <c r="E165"/>
      <c r="F165"/>
      <c r="G165"/>
    </row>
    <row r="166" spans="4:7" x14ac:dyDescent="0.3">
      <c r="D166"/>
      <c r="E166"/>
      <c r="F166"/>
      <c r="G166"/>
    </row>
    <row r="167" spans="4:7" x14ac:dyDescent="0.3">
      <c r="D167"/>
      <c r="E167"/>
      <c r="F167"/>
      <c r="G167"/>
    </row>
    <row r="168" spans="4:7" x14ac:dyDescent="0.3">
      <c r="D168"/>
      <c r="E168"/>
      <c r="F168"/>
      <c r="G168"/>
    </row>
    <row r="169" spans="4:7" x14ac:dyDescent="0.3">
      <c r="D169"/>
      <c r="E169"/>
      <c r="F169"/>
      <c r="G169"/>
    </row>
    <row r="170" spans="4:7" x14ac:dyDescent="0.3">
      <c r="D170"/>
      <c r="E170"/>
      <c r="F170"/>
      <c r="G170"/>
    </row>
    <row r="171" spans="4:7" x14ac:dyDescent="0.3">
      <c r="D171"/>
      <c r="E171"/>
      <c r="F171"/>
      <c r="G171"/>
    </row>
    <row r="172" spans="4:7" x14ac:dyDescent="0.3">
      <c r="D172"/>
      <c r="E172"/>
      <c r="F172"/>
      <c r="G172"/>
    </row>
    <row r="173" spans="4:7" x14ac:dyDescent="0.3">
      <c r="D173"/>
      <c r="E173"/>
      <c r="F173"/>
      <c r="G173"/>
    </row>
    <row r="174" spans="4:7" x14ac:dyDescent="0.3">
      <c r="D174"/>
      <c r="E174"/>
      <c r="F174"/>
      <c r="G174"/>
    </row>
    <row r="175" spans="4:7" x14ac:dyDescent="0.3">
      <c r="D175"/>
      <c r="E175"/>
      <c r="F175"/>
      <c r="G175"/>
    </row>
    <row r="176" spans="4:7"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zoomScale="90" zoomScaleNormal="90" workbookViewId="0">
      <selection activeCell="H10" sqref="H10:H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6" t="s">
        <v>180</v>
      </c>
      <c r="C6" s="82" t="s">
        <v>98</v>
      </c>
      <c r="D6" s="11"/>
      <c r="E6" s="11"/>
      <c r="F6" s="11"/>
      <c r="G6" s="11">
        <f t="shared" si="0"/>
        <v>0</v>
      </c>
      <c r="H6" s="11"/>
      <c r="I6" s="11">
        <v>-1000</v>
      </c>
      <c r="K6" s="17">
        <f>SUM(Table3[Total])</f>
        <v>369360</v>
      </c>
      <c r="L6" s="3" t="s">
        <v>2</v>
      </c>
      <c r="M6" t="s">
        <v>88</v>
      </c>
    </row>
    <row r="7" spans="1:16" x14ac:dyDescent="0.3">
      <c r="A7" s="85">
        <v>45979</v>
      </c>
      <c r="B7" s="96"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c r="D12" s="11"/>
      <c r="E12" s="11"/>
      <c r="F12" s="11"/>
      <c r="G12" s="11">
        <f t="shared" si="2"/>
        <v>0</v>
      </c>
      <c r="H12" s="11"/>
      <c r="I12" s="11">
        <f>(D12*E12)-Table3[[#This Row],[Paid]]</f>
        <v>0</v>
      </c>
      <c r="K12" s="11"/>
      <c r="L12" s="42" t="s">
        <v>98</v>
      </c>
      <c r="M12" s="14"/>
      <c r="N12" s="14">
        <v>0</v>
      </c>
      <c r="O12" s="14"/>
      <c r="P12" s="14">
        <v>330400</v>
      </c>
    </row>
    <row r="13" spans="1:16" x14ac:dyDescent="0.3">
      <c r="A13" s="1"/>
      <c r="D13" s="14"/>
      <c r="E13" s="14"/>
      <c r="F13" s="14"/>
      <c r="G13" s="14">
        <f>SUBTOTAL(109,Table3[Total])</f>
        <v>369360</v>
      </c>
      <c r="H13" s="14">
        <f>SUBTOTAL(109,Table3[Paid])</f>
        <v>494312</v>
      </c>
      <c r="I13" s="14">
        <f>SUBTOTAL(109,Table3[balance])</f>
        <v>3199501</v>
      </c>
      <c r="K13" s="11"/>
      <c r="L13" s="26">
        <v>45980</v>
      </c>
      <c r="M13" s="14"/>
      <c r="N13" s="14">
        <v>0</v>
      </c>
      <c r="O13" s="14">
        <v>414012</v>
      </c>
      <c r="P13" s="14">
        <v>-414012</v>
      </c>
    </row>
    <row r="14" spans="1:16" x14ac:dyDescent="0.3">
      <c r="K14" s="11"/>
      <c r="L14" s="42" t="s">
        <v>106</v>
      </c>
      <c r="M14" s="14"/>
      <c r="N14" s="14">
        <v>0</v>
      </c>
      <c r="O14" s="14">
        <v>414012</v>
      </c>
      <c r="P14" s="14">
        <v>-414012</v>
      </c>
    </row>
    <row r="15" spans="1:16" x14ac:dyDescent="0.3">
      <c r="K15" s="11"/>
      <c r="L15" s="26" t="s">
        <v>28</v>
      </c>
      <c r="M15" s="14"/>
      <c r="N15" s="14">
        <v>0</v>
      </c>
      <c r="O15" s="14">
        <v>414012</v>
      </c>
      <c r="P15" s="14">
        <v>2910441</v>
      </c>
    </row>
    <row r="16" spans="1:16" x14ac:dyDescent="0.3">
      <c r="K16" s="11"/>
    </row>
    <row r="17" spans="11:11" x14ac:dyDescent="0.3">
      <c r="K17" s="11"/>
    </row>
    <row r="29" spans="11:11"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81"/>
  <sheetViews>
    <sheetView tabSelected="1" topLeftCell="A34" zoomScale="132" workbookViewId="0">
      <selection activeCell="I52" sqref="I5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646818</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8">
        <v>800</v>
      </c>
      <c r="D4" s="98"/>
      <c r="F4" s="125" t="s">
        <v>111</v>
      </c>
      <c r="J4" s="45" t="s">
        <v>70</v>
      </c>
      <c r="K4" s="46">
        <f>Table14[[#Totals],[Debit]]</f>
        <v>3040597</v>
      </c>
      <c r="M4" s="45" t="s">
        <v>110</v>
      </c>
      <c r="N4" s="51">
        <f>SUMIFS(Table14[Withdrawal],Table14[Party],"Cash",Table14[Mode],"Transfer")</f>
        <v>0</v>
      </c>
    </row>
    <row r="5" spans="1:16" x14ac:dyDescent="0.3">
      <c r="A5" s="38">
        <v>45980</v>
      </c>
      <c r="B5" t="s">
        <v>188</v>
      </c>
      <c r="C5" s="98">
        <v>7200</v>
      </c>
      <c r="D5" s="98"/>
      <c r="E5" t="s">
        <v>207</v>
      </c>
      <c r="F5" s="125" t="s">
        <v>112</v>
      </c>
      <c r="J5" s="45" t="s">
        <v>69</v>
      </c>
      <c r="K5" s="46">
        <f>Table14[[#Totals],[Credit]]</f>
        <v>3111482</v>
      </c>
      <c r="M5" s="45" t="s">
        <v>111</v>
      </c>
      <c r="N5" s="46">
        <f>(SUMIFS(Table14[Credit],Table14[Mode],"Bank")-SUMIFS(Table14[Debit],Table14[Mode],"Bank")-SUMIFS(Table14[Withdrawal],Table14[Mode],"Transfer"))</f>
        <v>676801</v>
      </c>
      <c r="O5">
        <v>360000</v>
      </c>
    </row>
    <row r="6" spans="1:16" x14ac:dyDescent="0.3">
      <c r="A6" s="38">
        <v>45980</v>
      </c>
      <c r="B6" t="s">
        <v>208</v>
      </c>
      <c r="C6" s="98">
        <v>2000</v>
      </c>
      <c r="D6" s="98"/>
      <c r="E6" t="s">
        <v>209</v>
      </c>
      <c r="F6" s="125" t="s">
        <v>112</v>
      </c>
      <c r="J6" s="52" t="s">
        <v>43</v>
      </c>
      <c r="K6" s="53">
        <f>(K5-K4)</f>
        <v>70885</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5" t="s">
        <v>112</v>
      </c>
      <c r="M7" s="48" t="s">
        <v>5</v>
      </c>
      <c r="N7" s="49">
        <f>SUM(N5:N6)</f>
        <v>70885</v>
      </c>
      <c r="O7" s="90">
        <f>SUM(O5,O6)</f>
        <v>410000</v>
      </c>
      <c r="P7" s="14">
        <f>Table18[[#Totals],[amount]]-Table18[[#Totals],[Actual]]</f>
        <v>-339115</v>
      </c>
    </row>
    <row r="8" spans="1:16" x14ac:dyDescent="0.3">
      <c r="A8" s="38">
        <v>45980</v>
      </c>
      <c r="B8" t="s">
        <v>97</v>
      </c>
      <c r="C8" s="11">
        <v>8000</v>
      </c>
      <c r="D8" s="11"/>
      <c r="E8" t="s">
        <v>209</v>
      </c>
      <c r="F8" s="125" t="s">
        <v>112</v>
      </c>
    </row>
    <row r="9" spans="1:16" x14ac:dyDescent="0.3">
      <c r="A9" s="38">
        <v>45980</v>
      </c>
      <c r="B9" t="s">
        <v>55</v>
      </c>
      <c r="C9" s="11">
        <v>25000</v>
      </c>
      <c r="D9" s="11"/>
      <c r="E9" t="s">
        <v>210</v>
      </c>
      <c r="F9" s="125" t="s">
        <v>111</v>
      </c>
    </row>
    <row r="10" spans="1:16" x14ac:dyDescent="0.3">
      <c r="A10" s="38">
        <v>45980</v>
      </c>
      <c r="B10" t="s">
        <v>21</v>
      </c>
      <c r="C10" s="11"/>
      <c r="D10" s="11">
        <v>50000</v>
      </c>
      <c r="F10" s="125" t="s">
        <v>111</v>
      </c>
    </row>
    <row r="11" spans="1:16" x14ac:dyDescent="0.3">
      <c r="A11" s="38">
        <v>45980</v>
      </c>
      <c r="B11" t="s">
        <v>21</v>
      </c>
      <c r="C11" s="11"/>
      <c r="D11" s="11">
        <v>51000</v>
      </c>
      <c r="F11" s="125" t="s">
        <v>111</v>
      </c>
    </row>
    <row r="12" spans="1:16" x14ac:dyDescent="0.3">
      <c r="A12" s="38">
        <v>45980</v>
      </c>
      <c r="B12" t="s">
        <v>21</v>
      </c>
      <c r="C12" s="11"/>
      <c r="D12" s="11">
        <v>14000</v>
      </c>
      <c r="E12" t="s">
        <v>191</v>
      </c>
      <c r="F12" s="125" t="s">
        <v>111</v>
      </c>
    </row>
    <row r="13" spans="1:16" x14ac:dyDescent="0.3">
      <c r="A13" s="38">
        <v>45980</v>
      </c>
      <c r="B13" t="s">
        <v>188</v>
      </c>
      <c r="C13" s="11">
        <v>3000</v>
      </c>
      <c r="D13" s="11"/>
      <c r="E13" t="s">
        <v>211</v>
      </c>
      <c r="F13" s="125" t="s">
        <v>111</v>
      </c>
    </row>
    <row r="14" spans="1:16" x14ac:dyDescent="0.3">
      <c r="A14" s="38">
        <v>45980</v>
      </c>
      <c r="B14" t="s">
        <v>55</v>
      </c>
      <c r="C14" s="11">
        <v>6000</v>
      </c>
      <c r="D14" s="11"/>
      <c r="E14" t="s">
        <v>212</v>
      </c>
      <c r="F14" s="125" t="s">
        <v>111</v>
      </c>
    </row>
    <row r="15" spans="1:16" x14ac:dyDescent="0.3">
      <c r="A15" s="38">
        <v>45980</v>
      </c>
      <c r="B15" t="s">
        <v>185</v>
      </c>
      <c r="C15" s="11">
        <v>1000</v>
      </c>
      <c r="D15" s="11"/>
      <c r="E15" t="s">
        <v>213</v>
      </c>
      <c r="F15" s="125" t="s">
        <v>111</v>
      </c>
    </row>
    <row r="16" spans="1:16" x14ac:dyDescent="0.3">
      <c r="A16" s="38">
        <v>45980</v>
      </c>
      <c r="B16" t="s">
        <v>214</v>
      </c>
      <c r="C16" s="11"/>
      <c r="D16" s="11"/>
      <c r="E16" t="s">
        <v>196</v>
      </c>
      <c r="F16" s="125" t="s">
        <v>111</v>
      </c>
    </row>
    <row r="17" spans="1:6" x14ac:dyDescent="0.3">
      <c r="A17" s="38">
        <v>45980</v>
      </c>
      <c r="B17" t="s">
        <v>214</v>
      </c>
      <c r="C17" s="11"/>
      <c r="D17" s="11"/>
      <c r="E17" t="s">
        <v>215</v>
      </c>
      <c r="F17" s="125" t="s">
        <v>111</v>
      </c>
    </row>
    <row r="18" spans="1:6" x14ac:dyDescent="0.3">
      <c r="A18" s="38">
        <v>45980</v>
      </c>
      <c r="B18" t="s">
        <v>9</v>
      </c>
      <c r="C18" s="11"/>
      <c r="D18" s="11">
        <v>350000</v>
      </c>
      <c r="E18" t="s">
        <v>216</v>
      </c>
      <c r="F18" s="125" t="s">
        <v>111</v>
      </c>
    </row>
    <row r="19" spans="1:6" x14ac:dyDescent="0.3">
      <c r="A19" s="38">
        <v>45980</v>
      </c>
      <c r="B19" t="s">
        <v>97</v>
      </c>
      <c r="C19" s="11">
        <v>400012</v>
      </c>
      <c r="D19" s="11"/>
      <c r="E19" t="s">
        <v>217</v>
      </c>
      <c r="F19" s="125" t="s">
        <v>111</v>
      </c>
    </row>
    <row r="20" spans="1:6" x14ac:dyDescent="0.3">
      <c r="A20" s="126">
        <v>45980</v>
      </c>
      <c r="B20" t="s">
        <v>116</v>
      </c>
      <c r="C20" s="11">
        <v>2250</v>
      </c>
      <c r="D20" s="11"/>
      <c r="E20" s="1">
        <v>45980</v>
      </c>
      <c r="F20" s="125" t="s">
        <v>111</v>
      </c>
    </row>
    <row r="21" spans="1:6" x14ac:dyDescent="0.3">
      <c r="A21" s="38">
        <v>45980</v>
      </c>
      <c r="B21" t="s">
        <v>54</v>
      </c>
      <c r="C21" s="98">
        <v>10000</v>
      </c>
      <c r="D21" s="98"/>
      <c r="E21" t="s">
        <v>218</v>
      </c>
      <c r="F21" s="125" t="s">
        <v>111</v>
      </c>
    </row>
    <row r="22" spans="1:6" x14ac:dyDescent="0.3">
      <c r="A22" s="38">
        <v>45980</v>
      </c>
      <c r="B22" t="s">
        <v>21</v>
      </c>
      <c r="C22" s="98"/>
      <c r="D22" s="98">
        <v>10000</v>
      </c>
      <c r="E22" t="s">
        <v>218</v>
      </c>
      <c r="F22" s="125" t="s">
        <v>111</v>
      </c>
    </row>
    <row r="23" spans="1:6" x14ac:dyDescent="0.3">
      <c r="A23" s="126">
        <v>45980</v>
      </c>
      <c r="B23" t="s">
        <v>120</v>
      </c>
      <c r="C23" s="11">
        <v>24000</v>
      </c>
      <c r="D23" s="11"/>
      <c r="E23" t="s">
        <v>219</v>
      </c>
      <c r="F23" s="125" t="s">
        <v>111</v>
      </c>
    </row>
    <row r="24" spans="1:6" x14ac:dyDescent="0.3">
      <c r="A24" s="38">
        <v>45980</v>
      </c>
      <c r="B24" t="s">
        <v>21</v>
      </c>
      <c r="C24" s="98"/>
      <c r="D24" s="98">
        <v>24000</v>
      </c>
      <c r="E24" t="s">
        <v>219</v>
      </c>
      <c r="F24" s="125" t="s">
        <v>111</v>
      </c>
    </row>
    <row r="25" spans="1:6" x14ac:dyDescent="0.3">
      <c r="A25" s="126">
        <v>45981</v>
      </c>
      <c r="B25" t="s">
        <v>116</v>
      </c>
      <c r="C25" s="11">
        <v>2260</v>
      </c>
      <c r="D25" s="11"/>
      <c r="E25" s="1">
        <v>45981</v>
      </c>
      <c r="F25" s="125" t="s">
        <v>111</v>
      </c>
    </row>
    <row r="26" spans="1:6" x14ac:dyDescent="0.3">
      <c r="A26" s="126">
        <v>45981</v>
      </c>
      <c r="B26" t="s">
        <v>222</v>
      </c>
      <c r="C26" s="11"/>
      <c r="D26" s="11"/>
      <c r="E26" t="s">
        <v>223</v>
      </c>
      <c r="F26" s="125" t="s">
        <v>111</v>
      </c>
    </row>
    <row r="27" spans="1:6" x14ac:dyDescent="0.3">
      <c r="A27" s="126">
        <v>45981</v>
      </c>
      <c r="B27" t="s">
        <v>187</v>
      </c>
      <c r="C27" s="11">
        <v>141950</v>
      </c>
      <c r="D27" s="11"/>
      <c r="E27" t="s">
        <v>224</v>
      </c>
      <c r="F27" s="125" t="s">
        <v>111</v>
      </c>
    </row>
    <row r="28" spans="1:6" x14ac:dyDescent="0.3">
      <c r="A28" s="126">
        <v>45981</v>
      </c>
      <c r="B28" t="s">
        <v>21</v>
      </c>
      <c r="C28" s="11"/>
      <c r="D28" s="11">
        <v>141950</v>
      </c>
      <c r="E28" t="s">
        <v>225</v>
      </c>
      <c r="F28" s="125" t="s">
        <v>111</v>
      </c>
    </row>
    <row r="29" spans="1:6" x14ac:dyDescent="0.3">
      <c r="A29" s="126">
        <v>45981</v>
      </c>
      <c r="B29" t="s">
        <v>97</v>
      </c>
      <c r="C29" s="11">
        <v>80300</v>
      </c>
      <c r="D29" s="11"/>
      <c r="E29" t="s">
        <v>226</v>
      </c>
      <c r="F29" s="125" t="s">
        <v>111</v>
      </c>
    </row>
    <row r="30" spans="1:6" x14ac:dyDescent="0.3">
      <c r="A30" s="126">
        <v>45981</v>
      </c>
      <c r="B30" t="s">
        <v>21</v>
      </c>
      <c r="C30" s="11"/>
      <c r="D30" s="11">
        <v>100000</v>
      </c>
      <c r="F30" s="125" t="s">
        <v>111</v>
      </c>
    </row>
    <row r="31" spans="1:6" x14ac:dyDescent="0.3">
      <c r="A31" s="126">
        <v>45981</v>
      </c>
      <c r="B31" t="s">
        <v>188</v>
      </c>
      <c r="C31" s="11">
        <v>7200</v>
      </c>
      <c r="D31" s="11"/>
      <c r="E31" t="s">
        <v>207</v>
      </c>
      <c r="F31" s="125" t="s">
        <v>111</v>
      </c>
    </row>
    <row r="32" spans="1:6" x14ac:dyDescent="0.3">
      <c r="A32" s="126">
        <v>45981</v>
      </c>
      <c r="B32" t="s">
        <v>54</v>
      </c>
      <c r="C32" s="11">
        <v>500</v>
      </c>
      <c r="D32" s="11"/>
      <c r="E32" t="s">
        <v>227</v>
      </c>
      <c r="F32" s="125" t="s">
        <v>111</v>
      </c>
    </row>
    <row r="33" spans="1:6" x14ac:dyDescent="0.3">
      <c r="A33" s="126">
        <v>45981</v>
      </c>
      <c r="B33" t="s">
        <v>55</v>
      </c>
      <c r="C33" s="11">
        <v>4000</v>
      </c>
      <c r="D33" s="11"/>
      <c r="E33" t="s">
        <v>228</v>
      </c>
      <c r="F33" s="125" t="s">
        <v>111</v>
      </c>
    </row>
    <row r="34" spans="1:6" x14ac:dyDescent="0.3">
      <c r="A34" s="126">
        <v>45981</v>
      </c>
      <c r="B34" t="s">
        <v>214</v>
      </c>
      <c r="C34" s="11"/>
      <c r="D34" s="11"/>
      <c r="E34" t="s">
        <v>191</v>
      </c>
      <c r="F34" s="125" t="s">
        <v>111</v>
      </c>
    </row>
    <row r="35" spans="1:6" x14ac:dyDescent="0.3">
      <c r="A35" s="126">
        <v>45981</v>
      </c>
      <c r="B35" t="s">
        <v>229</v>
      </c>
      <c r="C35" s="11"/>
      <c r="D35" s="11">
        <v>200000</v>
      </c>
      <c r="E35" t="s">
        <v>230</v>
      </c>
      <c r="F35" s="125" t="s">
        <v>111</v>
      </c>
    </row>
    <row r="36" spans="1:6" x14ac:dyDescent="0.3">
      <c r="A36" s="126">
        <v>45981</v>
      </c>
      <c r="B36" t="s">
        <v>116</v>
      </c>
      <c r="C36" s="11">
        <v>9740</v>
      </c>
      <c r="D36" s="11"/>
      <c r="E36" t="s">
        <v>231</v>
      </c>
      <c r="F36" s="125" t="s">
        <v>111</v>
      </c>
    </row>
    <row r="37" spans="1:6" x14ac:dyDescent="0.3">
      <c r="A37" s="126">
        <v>45982</v>
      </c>
      <c r="B37" t="s">
        <v>116</v>
      </c>
      <c r="C37" s="11">
        <v>2250</v>
      </c>
      <c r="D37" s="11"/>
      <c r="E37" s="1">
        <v>45982</v>
      </c>
      <c r="F37" s="125" t="s">
        <v>111</v>
      </c>
    </row>
    <row r="38" spans="1:6" x14ac:dyDescent="0.3">
      <c r="A38" s="126">
        <v>45982</v>
      </c>
      <c r="B38" t="s">
        <v>55</v>
      </c>
      <c r="C38" s="98">
        <v>12500</v>
      </c>
      <c r="D38" s="98"/>
      <c r="E38" t="s">
        <v>234</v>
      </c>
      <c r="F38" s="125" t="s">
        <v>111</v>
      </c>
    </row>
    <row r="39" spans="1:6" x14ac:dyDescent="0.3">
      <c r="A39" s="126">
        <v>45982</v>
      </c>
      <c r="B39" t="s">
        <v>54</v>
      </c>
      <c r="C39" s="11">
        <v>8008</v>
      </c>
      <c r="D39" s="11"/>
      <c r="E39" t="s">
        <v>235</v>
      </c>
      <c r="F39" s="125" t="s">
        <v>111</v>
      </c>
    </row>
    <row r="40" spans="1:6" x14ac:dyDescent="0.3">
      <c r="A40" s="126">
        <v>45982</v>
      </c>
      <c r="B40" t="s">
        <v>21</v>
      </c>
      <c r="C40" s="11"/>
      <c r="D40" s="11">
        <v>8008</v>
      </c>
      <c r="E40" t="s">
        <v>236</v>
      </c>
      <c r="F40" s="125" t="s">
        <v>111</v>
      </c>
    </row>
    <row r="41" spans="1:6" x14ac:dyDescent="0.3">
      <c r="A41" s="126">
        <v>45982</v>
      </c>
      <c r="B41" t="s">
        <v>51</v>
      </c>
      <c r="C41" s="11">
        <v>1803475</v>
      </c>
      <c r="D41" s="11"/>
      <c r="E41" t="s">
        <v>237</v>
      </c>
      <c r="F41" s="125" t="s">
        <v>111</v>
      </c>
    </row>
    <row r="42" spans="1:6" x14ac:dyDescent="0.3">
      <c r="A42" s="126">
        <v>45982</v>
      </c>
      <c r="B42" t="s">
        <v>97</v>
      </c>
      <c r="C42" s="11">
        <v>300152</v>
      </c>
      <c r="D42" s="11"/>
      <c r="E42" t="s">
        <v>238</v>
      </c>
      <c r="F42" s="125" t="s">
        <v>111</v>
      </c>
    </row>
    <row r="43" spans="1:6" x14ac:dyDescent="0.3">
      <c r="A43" s="126">
        <v>45980</v>
      </c>
      <c r="B43" t="s">
        <v>155</v>
      </c>
      <c r="C43" s="11"/>
      <c r="D43" s="11">
        <v>300000</v>
      </c>
      <c r="F43" s="125" t="s">
        <v>111</v>
      </c>
    </row>
    <row r="44" spans="1:6" x14ac:dyDescent="0.3">
      <c r="A44" s="126">
        <v>45982</v>
      </c>
      <c r="B44" t="s">
        <v>169</v>
      </c>
      <c r="C44" s="11"/>
      <c r="D44" s="11">
        <v>700000</v>
      </c>
      <c r="F44" s="125" t="s">
        <v>111</v>
      </c>
    </row>
    <row r="45" spans="1:6" x14ac:dyDescent="0.3">
      <c r="A45" s="126">
        <v>45982</v>
      </c>
      <c r="B45" t="s">
        <v>239</v>
      </c>
      <c r="C45" s="11"/>
      <c r="D45" s="11">
        <v>500000</v>
      </c>
      <c r="F45" s="125" t="s">
        <v>111</v>
      </c>
    </row>
    <row r="46" spans="1:6" x14ac:dyDescent="0.3">
      <c r="A46" s="126">
        <v>45982</v>
      </c>
      <c r="B46" t="s">
        <v>155</v>
      </c>
      <c r="C46" s="11"/>
      <c r="D46" s="11">
        <v>175000</v>
      </c>
      <c r="F46" s="125" t="s">
        <v>111</v>
      </c>
    </row>
    <row r="47" spans="1:6" x14ac:dyDescent="0.3">
      <c r="A47" s="126">
        <v>45982</v>
      </c>
      <c r="B47" t="s">
        <v>181</v>
      </c>
      <c r="C47" s="11"/>
      <c r="D47" s="11">
        <v>120205</v>
      </c>
      <c r="F47" s="125" t="s">
        <v>111</v>
      </c>
    </row>
    <row r="48" spans="1:6" x14ac:dyDescent="0.3">
      <c r="A48" s="126">
        <v>45982</v>
      </c>
      <c r="B48" t="s">
        <v>169</v>
      </c>
      <c r="C48" s="11"/>
      <c r="D48" s="11">
        <v>175217</v>
      </c>
      <c r="F48" s="125" t="s">
        <v>111</v>
      </c>
    </row>
    <row r="49" spans="1:6" x14ac:dyDescent="0.3">
      <c r="A49" s="126">
        <v>45982</v>
      </c>
      <c r="B49" t="s">
        <v>151</v>
      </c>
      <c r="C49" s="11"/>
      <c r="D49" s="11">
        <v>130000</v>
      </c>
      <c r="F49" s="125" t="s">
        <v>111</v>
      </c>
    </row>
    <row r="50" spans="1:6" x14ac:dyDescent="0.3">
      <c r="A50" s="126">
        <v>45982</v>
      </c>
      <c r="B50" t="s">
        <v>240</v>
      </c>
      <c r="C50" s="11">
        <v>175000</v>
      </c>
      <c r="D50" s="11"/>
      <c r="E50" t="s">
        <v>241</v>
      </c>
      <c r="F50" s="125" t="s">
        <v>111</v>
      </c>
    </row>
    <row r="51" spans="1:6" x14ac:dyDescent="0.3">
      <c r="A51" s="126">
        <v>45982</v>
      </c>
      <c r="C51" s="11"/>
      <c r="D51" s="11"/>
      <c r="F51" s="125"/>
    </row>
    <row r="52" spans="1:6" x14ac:dyDescent="0.3">
      <c r="A52" s="38"/>
      <c r="C52" s="14">
        <f>SUBTOTAL(109,Table14[Debit])</f>
        <v>3040597</v>
      </c>
      <c r="D52" s="14">
        <f>SUBTOTAL(109,Table14[Credit])</f>
        <v>3111482</v>
      </c>
      <c r="F52" s="54">
        <f>(Table14[[#Totals],[Credit]]-Table14[[#Totals],[Debit]])</f>
        <v>70885</v>
      </c>
    </row>
    <row r="163" spans="10:12" x14ac:dyDescent="0.3">
      <c r="J163" s="3" t="s">
        <v>6</v>
      </c>
      <c r="K163" t="s">
        <v>121</v>
      </c>
      <c r="L163" t="s">
        <v>122</v>
      </c>
    </row>
    <row r="164" spans="10:12" x14ac:dyDescent="0.3">
      <c r="J164" s="4" t="s">
        <v>222</v>
      </c>
      <c r="K164" s="14"/>
      <c r="L164" s="14">
        <v>5000</v>
      </c>
    </row>
    <row r="165" spans="10:12" x14ac:dyDescent="0.3">
      <c r="J165" s="4" t="s">
        <v>9</v>
      </c>
      <c r="K165" s="14">
        <v>350000</v>
      </c>
      <c r="L165" s="14"/>
    </row>
    <row r="166" spans="10:12" x14ac:dyDescent="0.3">
      <c r="J166" s="4" t="s">
        <v>21</v>
      </c>
      <c r="K166" s="14">
        <v>390950</v>
      </c>
      <c r="L166" s="14"/>
    </row>
    <row r="167" spans="10:12" x14ac:dyDescent="0.3">
      <c r="J167" s="4" t="s">
        <v>120</v>
      </c>
      <c r="K167" s="14"/>
      <c r="L167" s="14">
        <v>24000</v>
      </c>
    </row>
    <row r="168" spans="10:12" x14ac:dyDescent="0.3">
      <c r="J168" s="4" t="s">
        <v>97</v>
      </c>
      <c r="K168" s="14"/>
      <c r="L168" s="14">
        <v>488312</v>
      </c>
    </row>
    <row r="169" spans="10:12" x14ac:dyDescent="0.3">
      <c r="J169" s="4" t="s">
        <v>55</v>
      </c>
      <c r="K169" s="14"/>
      <c r="L169" s="14">
        <v>35000</v>
      </c>
    </row>
    <row r="170" spans="10:12" x14ac:dyDescent="0.3">
      <c r="J170" s="4" t="s">
        <v>116</v>
      </c>
      <c r="K170" s="14"/>
      <c r="L170" s="14">
        <v>14250</v>
      </c>
    </row>
    <row r="171" spans="10:12" x14ac:dyDescent="0.3">
      <c r="J171" s="4" t="s">
        <v>214</v>
      </c>
      <c r="K171" s="14"/>
      <c r="L171" s="14">
        <v>18250</v>
      </c>
    </row>
    <row r="172" spans="10:12" x14ac:dyDescent="0.3">
      <c r="J172" s="4" t="s">
        <v>54</v>
      </c>
      <c r="K172" s="14"/>
      <c r="L172" s="14">
        <v>10500</v>
      </c>
    </row>
    <row r="173" spans="10:12" x14ac:dyDescent="0.3">
      <c r="J173" s="4" t="s">
        <v>188</v>
      </c>
      <c r="K173" s="14"/>
      <c r="L173" s="14">
        <v>17400</v>
      </c>
    </row>
    <row r="174" spans="10:12" x14ac:dyDescent="0.3">
      <c r="J174" s="4" t="s">
        <v>185</v>
      </c>
      <c r="K174" s="14"/>
      <c r="L174" s="14">
        <v>1800</v>
      </c>
    </row>
    <row r="175" spans="10:12" x14ac:dyDescent="0.3">
      <c r="J175" s="4" t="s">
        <v>229</v>
      </c>
      <c r="K175" s="14">
        <v>200000</v>
      </c>
      <c r="L175" s="14"/>
    </row>
    <row r="176" spans="10:12" x14ac:dyDescent="0.3">
      <c r="J176" s="4" t="s">
        <v>106</v>
      </c>
      <c r="K176" s="14"/>
      <c r="L176" s="14"/>
    </row>
    <row r="177" spans="10:12" x14ac:dyDescent="0.3">
      <c r="J177" s="4" t="s">
        <v>208</v>
      </c>
      <c r="K177" s="14"/>
      <c r="L177" s="14">
        <v>2000</v>
      </c>
    </row>
    <row r="178" spans="10:12" x14ac:dyDescent="0.3">
      <c r="J178" s="4" t="s">
        <v>187</v>
      </c>
      <c r="K178" s="14"/>
      <c r="L178" s="14">
        <v>141950</v>
      </c>
    </row>
    <row r="179" spans="10:12" x14ac:dyDescent="0.3">
      <c r="J179" s="4" t="s">
        <v>195</v>
      </c>
      <c r="K179" s="14"/>
      <c r="L179" s="14">
        <v>4000</v>
      </c>
    </row>
    <row r="180" spans="10:12" x14ac:dyDescent="0.3">
      <c r="J180" s="4" t="s">
        <v>205</v>
      </c>
      <c r="K180" s="14">
        <v>62102</v>
      </c>
      <c r="L180" s="14"/>
    </row>
    <row r="181" spans="10:12" x14ac:dyDescent="0.3">
      <c r="J181" s="4" t="s">
        <v>28</v>
      </c>
      <c r="K181" s="14">
        <v>1003052</v>
      </c>
      <c r="L181" s="14">
        <v>762462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6" sqref="A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9" t="s">
        <v>118</v>
      </c>
      <c r="G2" s="82">
        <f>SUMIFS(Table14[Debit], Table14[Date], Table8[[#This Row],[Date]], Table14[Party], Table8[[#This Row],[Party]])</f>
        <v>0</v>
      </c>
      <c r="H2" s="82">
        <v>240125</v>
      </c>
      <c r="I2" s="82" t="s">
        <v>203</v>
      </c>
      <c r="K2" t="s">
        <v>75</v>
      </c>
      <c r="L2" t="s">
        <v>45</v>
      </c>
      <c r="M2" t="s">
        <v>36</v>
      </c>
      <c r="N2" t="s">
        <v>5</v>
      </c>
    </row>
    <row r="3" spans="1:14" x14ac:dyDescent="0.3">
      <c r="A3" s="97">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E6">
        <f>SUBTOTAL(109,Table8[Price])</f>
        <v>141950</v>
      </c>
      <c r="H6">
        <f>SUBTOTAL(109,Table8[Balance])</f>
        <v>240125</v>
      </c>
    </row>
    <row r="7" spans="1:14" x14ac:dyDescent="0.3">
      <c r="K7" s="3" t="s">
        <v>113</v>
      </c>
      <c r="L7" t="s">
        <v>88</v>
      </c>
    </row>
    <row r="9" spans="1:14" x14ac:dyDescent="0.3">
      <c r="K9" s="3" t="s">
        <v>6</v>
      </c>
      <c r="L9" t="s">
        <v>130</v>
      </c>
      <c r="M9" t="s">
        <v>131</v>
      </c>
    </row>
    <row r="10" spans="1:14" x14ac:dyDescent="0.3">
      <c r="K10" s="26">
        <v>45947</v>
      </c>
      <c r="M10">
        <v>240125</v>
      </c>
    </row>
    <row r="11" spans="1:14" x14ac:dyDescent="0.3">
      <c r="K11" s="26">
        <v>45979</v>
      </c>
      <c r="M11">
        <v>0</v>
      </c>
    </row>
    <row r="12" spans="1:14" x14ac:dyDescent="0.3">
      <c r="A12" t="s">
        <v>57</v>
      </c>
      <c r="B12" t="s">
        <v>159</v>
      </c>
      <c r="C12" t="s">
        <v>160</v>
      </c>
      <c r="D12" t="s">
        <v>4</v>
      </c>
      <c r="E12" t="s">
        <v>161</v>
      </c>
      <c r="K12" s="26">
        <v>45981</v>
      </c>
      <c r="L12">
        <v>141950</v>
      </c>
      <c r="M12">
        <v>0</v>
      </c>
    </row>
    <row r="13" spans="1:14" x14ac:dyDescent="0.3">
      <c r="A13" t="s">
        <v>134</v>
      </c>
      <c r="B13">
        <v>1</v>
      </c>
      <c r="C13">
        <v>25</v>
      </c>
      <c r="D13">
        <v>1400</v>
      </c>
      <c r="E13">
        <f>Table2325[[#This Row],[boxes]]*Table2325[[#This Row],[kgs]]*Table2325[[#This Row],[Rate]]</f>
        <v>35000</v>
      </c>
      <c r="K13" s="4" t="s">
        <v>28</v>
      </c>
      <c r="L13">
        <v>141950</v>
      </c>
      <c r="M13">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D10" sqref="D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106</v>
      </c>
      <c r="K5">
        <v>0</v>
      </c>
      <c r="L5">
        <v>0</v>
      </c>
      <c r="M5">
        <v>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119</v>
      </c>
      <c r="K6">
        <v>0</v>
      </c>
      <c r="L6">
        <v>0</v>
      </c>
      <c r="M6">
        <v>-1000</v>
      </c>
    </row>
    <row r="7" spans="1:13" x14ac:dyDescent="0.3">
      <c r="A7" s="85">
        <v>45979</v>
      </c>
      <c r="B7" s="85" t="s">
        <v>168</v>
      </c>
      <c r="C7" s="82" t="s">
        <v>182</v>
      </c>
      <c r="F7">
        <v>0</v>
      </c>
      <c r="G7">
        <v>0</v>
      </c>
      <c r="H7" s="81">
        <v>0</v>
      </c>
      <c r="J7" s="4" t="s">
        <v>120</v>
      </c>
      <c r="K7">
        <v>24000</v>
      </c>
      <c r="L7">
        <v>24000</v>
      </c>
      <c r="M7">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168</v>
      </c>
      <c r="K8">
        <v>0</v>
      </c>
      <c r="L8">
        <v>0</v>
      </c>
      <c r="M8">
        <v>0</v>
      </c>
    </row>
    <row r="9" spans="1:13" x14ac:dyDescent="0.3">
      <c r="A9" s="1">
        <v>45981</v>
      </c>
      <c r="B9" s="1" t="s">
        <v>119</v>
      </c>
      <c r="C9" t="s">
        <v>232</v>
      </c>
      <c r="F9">
        <v>231000</v>
      </c>
      <c r="G9">
        <f>SUMIFS(Table14[Debit], Table14[Date], Table2[[#This Row],[Date]], Table14[Party], Table2[[#This Row],[Party Name]],Table14[Description],Table2[[#This Row],[Item]])</f>
        <v>0</v>
      </c>
      <c r="H9">
        <f>Table2[[#This Row],[Price]]-Table2[[#This Row],[Paid]]</f>
        <v>231000</v>
      </c>
      <c r="J9" s="4" t="s">
        <v>28</v>
      </c>
      <c r="K9">
        <v>24000</v>
      </c>
      <c r="L9">
        <v>24000</v>
      </c>
      <c r="M9">
        <v>-1000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row>
    <row r="11" spans="1:13" x14ac:dyDescent="0.3">
      <c r="A11" s="1"/>
      <c r="F11">
        <f>SUBTOTAL(109,Table2[Price])</f>
        <v>255000</v>
      </c>
      <c r="G11">
        <f>SUBTOTAL(109,Table2[Paid])</f>
        <v>24000</v>
      </c>
      <c r="H11">
        <f>SUBTOTAL(109,Table2[Balance])</f>
        <v>230000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6" zoomScale="118" workbookViewId="0">
      <selection activeCell="L34" sqref="L34"/>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0</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4"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233</v>
      </c>
      <c r="C1" s="14"/>
    </row>
    <row r="2" spans="1:12" x14ac:dyDescent="0.3">
      <c r="A2" s="31" t="s">
        <v>28</v>
      </c>
      <c r="B2" s="33">
        <f>SUM(B4:INDEX(B:B, MATCH(1E+100, B:B)-1))</f>
        <v>223227</v>
      </c>
      <c r="C2" s="32">
        <f>GETPIVOTDATA("Sum of Tiyaar/gaz",$A$3)</f>
        <v>156479</v>
      </c>
      <c r="D2" s="31">
        <f>((B2*48)+((C2/1.0936)*10))/C2</f>
        <v>77.619088665407645</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6876</v>
      </c>
      <c r="D14" s="28">
        <f t="shared" si="1"/>
        <v>180.28547244893662</v>
      </c>
      <c r="E14" s="11">
        <f t="shared" si="2"/>
        <v>26810.697599999996</v>
      </c>
      <c r="F14" s="11">
        <f t="shared" si="0"/>
        <v>6876</v>
      </c>
      <c r="G14" s="78">
        <f t="shared" si="4"/>
        <v>74.35352073793112</v>
      </c>
      <c r="H14" s="28">
        <f t="shared" si="3"/>
        <v>6287.4908558888083</v>
      </c>
      <c r="I14" s="28">
        <f t="shared" si="5"/>
        <v>180.28547244893662</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t="s">
        <v>28</v>
      </c>
      <c r="B17" s="30">
        <v>42762</v>
      </c>
      <c r="C17" s="30">
        <v>156479</v>
      </c>
      <c r="D17" s="28">
        <f t="shared" si="1"/>
        <v>22.261372933584209</v>
      </c>
      <c r="E17" s="11">
        <f t="shared" si="2"/>
        <v>46764.523199999996</v>
      </c>
      <c r="F17" s="11">
        <f t="shared" si="0"/>
        <v>156479</v>
      </c>
      <c r="G17" s="78">
        <f t="shared" si="4"/>
        <v>-234.61048951740412</v>
      </c>
      <c r="H17" s="28">
        <f t="shared" si="3"/>
        <v>143086.13752743235</v>
      </c>
      <c r="I17" s="28">
        <f>((B17*48)+(H17*10))/C17</f>
        <v>22.261372933584209</v>
      </c>
    </row>
    <row r="18" spans="1:9" x14ac:dyDescent="0.3">
      <c r="D18" s="28" t="e">
        <f t="shared" si="1"/>
        <v>#DIV/0!</v>
      </c>
      <c r="E18" s="11">
        <f t="shared" si="2"/>
        <v>0</v>
      </c>
      <c r="F18" s="11">
        <f t="shared" si="0"/>
        <v>0</v>
      </c>
      <c r="G18" s="78" t="e">
        <f t="shared" si="4"/>
        <v>#DIV/0!</v>
      </c>
      <c r="H18" s="28">
        <f t="shared" si="3"/>
        <v>0</v>
      </c>
      <c r="I18" s="28" t="e">
        <f>((B18*48)+(H18*10))/C18</f>
        <v>#DIV/0!</v>
      </c>
    </row>
    <row r="19" spans="1:9" x14ac:dyDescent="0.3">
      <c r="D19" s="28" t="e">
        <f t="shared" si="1"/>
        <v>#DIV/0!</v>
      </c>
      <c r="E19" s="11">
        <f t="shared" si="2"/>
        <v>0</v>
      </c>
      <c r="F19" s="11">
        <f t="shared" si="0"/>
        <v>0</v>
      </c>
      <c r="G19" s="78" t="e">
        <f t="shared" ref="G19:G38" si="6">100- (F19/E19 *100)</f>
        <v>#DIV/0!</v>
      </c>
      <c r="H19" s="28">
        <f t="shared" si="3"/>
        <v>0</v>
      </c>
      <c r="I19" s="28" t="e">
        <f t="shared" si="5"/>
        <v>#DIV/0!</v>
      </c>
    </row>
    <row r="20" spans="1:9" x14ac:dyDescent="0.3">
      <c r="D20" s="28" t="e">
        <f t="shared" si="1"/>
        <v>#DIV/0!</v>
      </c>
      <c r="E20" s="11">
        <f>B20 * 1.0936</f>
        <v>0</v>
      </c>
      <c r="F20" s="11">
        <f t="shared" si="0"/>
        <v>0</v>
      </c>
      <c r="G20" s="78" t="e">
        <f t="shared" si="6"/>
        <v>#DIV/0!</v>
      </c>
      <c r="H20" s="28">
        <f t="shared" si="3"/>
        <v>0</v>
      </c>
      <c r="I20" s="28" t="e">
        <f t="shared" si="5"/>
        <v>#DIV/0!</v>
      </c>
    </row>
    <row r="21" spans="1:9" x14ac:dyDescent="0.3">
      <c r="D21" s="28" t="e">
        <f t="shared" si="1"/>
        <v>#DIV/0!</v>
      </c>
      <c r="E21" s="11">
        <f t="shared" si="2"/>
        <v>0</v>
      </c>
      <c r="F21" s="11">
        <f t="shared" si="0"/>
        <v>0</v>
      </c>
      <c r="G21" s="78" t="e">
        <f t="shared" si="6"/>
        <v>#DIV/0!</v>
      </c>
      <c r="H21" s="28">
        <f t="shared" si="3"/>
        <v>0</v>
      </c>
      <c r="I21" s="28" t="e">
        <f t="shared" si="5"/>
        <v>#DIV/0!</v>
      </c>
    </row>
    <row r="22" spans="1:9" x14ac:dyDescent="0.3">
      <c r="D22" s="28" t="e">
        <f t="shared" si="1"/>
        <v>#DIV/0!</v>
      </c>
      <c r="E22" s="11">
        <f t="shared" si="2"/>
        <v>0</v>
      </c>
      <c r="F22" s="11">
        <f t="shared" si="0"/>
        <v>0</v>
      </c>
      <c r="G22" s="78" t="e">
        <f t="shared" si="6"/>
        <v>#DIV/0!</v>
      </c>
      <c r="H22" s="28">
        <f t="shared" si="3"/>
        <v>0</v>
      </c>
      <c r="I22" s="28" t="e">
        <f t="shared" si="5"/>
        <v>#DIV/0!</v>
      </c>
    </row>
    <row r="23" spans="1:9" x14ac:dyDescent="0.3">
      <c r="D23" s="28" t="e">
        <f t="shared" si="1"/>
        <v>#DIV/0!</v>
      </c>
      <c r="E23" s="11">
        <f t="shared" si="2"/>
        <v>0</v>
      </c>
      <c r="F23" s="11">
        <f t="shared" si="0"/>
        <v>0</v>
      </c>
      <c r="G23" s="78" t="e">
        <f t="shared" si="6"/>
        <v>#DIV/0!</v>
      </c>
      <c r="H23" s="28">
        <f t="shared" si="3"/>
        <v>0</v>
      </c>
      <c r="I23" s="28" t="e">
        <f t="shared" si="5"/>
        <v>#DIV/0!</v>
      </c>
    </row>
    <row r="24" spans="1:9" x14ac:dyDescent="0.3">
      <c r="D24" s="28" t="e">
        <f t="shared" si="1"/>
        <v>#DIV/0!</v>
      </c>
      <c r="E24" s="11">
        <f t="shared" si="2"/>
        <v>0</v>
      </c>
      <c r="F24" s="11">
        <f t="shared" si="0"/>
        <v>0</v>
      </c>
      <c r="G24" s="78" t="e">
        <f t="shared" si="6"/>
        <v>#DIV/0!</v>
      </c>
      <c r="H24" s="28">
        <f t="shared" si="3"/>
        <v>0</v>
      </c>
      <c r="I24" s="28" t="e">
        <f t="shared" si="5"/>
        <v>#DIV/0!</v>
      </c>
    </row>
    <row r="25" spans="1:9" x14ac:dyDescent="0.3">
      <c r="D25" s="28" t="e">
        <f t="shared" si="1"/>
        <v>#DIV/0!</v>
      </c>
      <c r="E25" s="11">
        <f t="shared" si="2"/>
        <v>0</v>
      </c>
      <c r="F25" s="11">
        <f t="shared" si="0"/>
        <v>0</v>
      </c>
      <c r="G25" s="78" t="e">
        <f t="shared" si="6"/>
        <v>#DIV/0!</v>
      </c>
      <c r="H25" s="28">
        <f t="shared" si="3"/>
        <v>0</v>
      </c>
      <c r="I25" s="28" t="e">
        <f t="shared" si="5"/>
        <v>#DIV/0!</v>
      </c>
    </row>
    <row r="26" spans="1:9" x14ac:dyDescent="0.3">
      <c r="D26" s="28" t="e">
        <f t="shared" si="1"/>
        <v>#DIV/0!</v>
      </c>
      <c r="E26" s="11">
        <f t="shared" si="2"/>
        <v>0</v>
      </c>
      <c r="F26" s="11">
        <f t="shared" si="0"/>
        <v>0</v>
      </c>
      <c r="G26" s="78" t="e">
        <f t="shared" si="6"/>
        <v>#DIV/0!</v>
      </c>
      <c r="H26" s="28">
        <f t="shared" si="3"/>
        <v>0</v>
      </c>
      <c r="I26" s="28" t="e">
        <f t="shared" si="5"/>
        <v>#DIV/0!</v>
      </c>
    </row>
    <row r="27" spans="1:9" x14ac:dyDescent="0.3">
      <c r="D27" s="28" t="e">
        <f t="shared" si="1"/>
        <v>#DIV/0!</v>
      </c>
      <c r="E27" s="11">
        <f t="shared" si="2"/>
        <v>0</v>
      </c>
      <c r="F27" s="11">
        <f t="shared" si="0"/>
        <v>0</v>
      </c>
      <c r="G27" s="78" t="e">
        <f t="shared" si="6"/>
        <v>#DIV/0!</v>
      </c>
      <c r="H27" s="28">
        <f t="shared" si="3"/>
        <v>0</v>
      </c>
      <c r="I27" s="28" t="e">
        <f t="shared" si="5"/>
        <v>#DIV/0!</v>
      </c>
    </row>
    <row r="28" spans="1:9" x14ac:dyDescent="0.3">
      <c r="D28" s="28" t="e">
        <f t="shared" si="1"/>
        <v>#DIV/0!</v>
      </c>
      <c r="E28" s="11">
        <f t="shared" si="2"/>
        <v>0</v>
      </c>
      <c r="F28" s="11">
        <f t="shared" si="0"/>
        <v>0</v>
      </c>
      <c r="G28" s="78" t="e">
        <f t="shared" si="6"/>
        <v>#DIV/0!</v>
      </c>
      <c r="H28" s="28">
        <f t="shared" si="3"/>
        <v>0</v>
      </c>
      <c r="I28" s="28" t="e">
        <f t="shared" si="5"/>
        <v>#DIV/0!</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0</v>
      </c>
      <c r="H8" s="1">
        <v>45983</v>
      </c>
      <c r="J8">
        <f>SUMIFS(Table14[Debit], Table14[Date], Table15[[#This Row],[Date]], Table14[Party], "Parts")</f>
        <v>0</v>
      </c>
    </row>
    <row r="9" spans="2:10" x14ac:dyDescent="0.3">
      <c r="B9" s="1">
        <v>45984</v>
      </c>
      <c r="C9" t="s">
        <v>116</v>
      </c>
      <c r="D9">
        <f>SUMIFS(Table14[Debit], Table14[Date], Table5[[#This Row],[Date]], Table14[Party], "Rashan")</f>
        <v>0</v>
      </c>
      <c r="H9" s="1">
        <v>45984</v>
      </c>
      <c r="J9">
        <f>SUMIFS(Table14[Debit], Table14[Date], Table15[[#This Row],[Date]], Table14[Party], "Parts")</f>
        <v>0</v>
      </c>
    </row>
    <row r="10" spans="2:10" x14ac:dyDescent="0.3">
      <c r="B10" s="1">
        <v>45985</v>
      </c>
      <c r="C10" t="s">
        <v>116</v>
      </c>
      <c r="D10">
        <f>SUMIFS(Table14[Debit], Table14[Date], Table5[[#This Row],[Date]], Table14[Party], "Rashan")</f>
        <v>0</v>
      </c>
      <c r="H10" s="1">
        <v>45985</v>
      </c>
      <c r="J10">
        <f>SUMIFS(Table14[Debit], Table14[Date], Table15[[#This Row],[Date]], Table14[Party], "Parts")</f>
        <v>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16500</v>
      </c>
      <c r="H37" s="1"/>
      <c r="J37">
        <f>SUM(Table15[Amount])</f>
        <v>47500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F17" sqref="F17"/>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03" t="s">
        <v>18</v>
      </c>
    </row>
    <row r="2" spans="1:3" ht="21" x14ac:dyDescent="0.4">
      <c r="A2" s="105" t="str">
        <f>Billing!Q5</f>
        <v>BSC</v>
      </c>
      <c r="B2" s="108">
        <f>Billing!AA5</f>
        <v>18810634</v>
      </c>
      <c r="C2" s="106">
        <f>Billing!AB5</f>
        <v>2212515.2318946645</v>
      </c>
    </row>
    <row r="3" spans="1:3" ht="21" x14ac:dyDescent="0.4">
      <c r="A3" s="105" t="str">
        <f>Billing!Q6</f>
        <v>Ejaz Sahab</v>
      </c>
      <c r="B3" s="108">
        <f>Billing!AA6</f>
        <v>3363904</v>
      </c>
      <c r="C3" s="106">
        <f>Billing!AB6</f>
        <v>-371072.06876371615</v>
      </c>
    </row>
    <row r="4" spans="1:3" ht="21" x14ac:dyDescent="0.4">
      <c r="A4" s="105" t="str">
        <f>Billing!Q7</f>
        <v>Arshad</v>
      </c>
      <c r="B4" s="108">
        <f>Billing!AA7</f>
        <v>4452935</v>
      </c>
      <c r="C4" s="107">
        <f>Billing!AB7</f>
        <v>-33041.986100950278</v>
      </c>
    </row>
    <row r="5" spans="1:3" ht="21" x14ac:dyDescent="0.4">
      <c r="A5" s="105" t="str">
        <f>Billing!Q8</f>
        <v>Shehzad Kamoki</v>
      </c>
      <c r="B5" s="108">
        <f>Billing!AA8</f>
        <v>1268740</v>
      </c>
      <c r="C5" s="107">
        <f>Billing!AB8</f>
        <v>530.34403803967871</v>
      </c>
    </row>
    <row r="6" spans="1:3" ht="21" x14ac:dyDescent="0.4">
      <c r="A6" s="105" t="str">
        <f>Billing!Q9</f>
        <v>Sufi Nawaz Sahab</v>
      </c>
      <c r="B6" s="108">
        <f>Billing!AA9</f>
        <v>10629100</v>
      </c>
      <c r="C6" s="106">
        <f>Billing!AB9</f>
        <v>609704.47256766632</v>
      </c>
    </row>
    <row r="7" spans="1:3" ht="21" x14ac:dyDescent="0.4">
      <c r="A7" s="105" t="str">
        <f>Billing!Q10</f>
        <v>Sajad Khan</v>
      </c>
      <c r="B7" s="108">
        <f>Billing!AA10</f>
        <v>5544810</v>
      </c>
      <c r="C7" s="106">
        <f>Billing!AB10</f>
        <v>918.78566203359514</v>
      </c>
    </row>
    <row r="8" spans="1:3" ht="21" x14ac:dyDescent="0.4">
      <c r="A8" s="105" t="str">
        <f>Billing!Q11</f>
        <v>Raaz Fabrics</v>
      </c>
      <c r="B8" s="108">
        <f>Billing!AA11</f>
        <v>900000</v>
      </c>
      <c r="C8" s="107">
        <f>Billing!AB11</f>
        <v>22787.125091441208</v>
      </c>
    </row>
    <row r="9" spans="1:3" ht="21" x14ac:dyDescent="0.4">
      <c r="A9" s="105" t="str">
        <f>Billing!Q12</f>
        <v>Azam</v>
      </c>
      <c r="B9" s="108">
        <f>Billing!AA12</f>
        <v>2092620</v>
      </c>
      <c r="C9" s="106">
        <f>Billing!AB12</f>
        <v>-147084.15508412546</v>
      </c>
    </row>
    <row r="10" spans="1:3" ht="21" x14ac:dyDescent="0.4">
      <c r="A10" s="105" t="str">
        <f>Billing!Q13</f>
        <v>Ubaidullah</v>
      </c>
      <c r="B10" s="108">
        <f>Billing!AA13</f>
        <v>630150</v>
      </c>
      <c r="C10" s="106">
        <f>Billing!AB13</f>
        <v>11124.689100219635</v>
      </c>
    </row>
    <row r="11" spans="1:3" ht="21" x14ac:dyDescent="0.4">
      <c r="A11" s="105" t="str">
        <f>Billing!Q14</f>
        <v>Ashraf Zia</v>
      </c>
      <c r="B11" s="108">
        <f>Billing!AA14</f>
        <v>130000</v>
      </c>
      <c r="C11" s="106">
        <f>Billing!AB14</f>
        <v>125724.21360643749</v>
      </c>
    </row>
    <row r="12" spans="1:3" ht="21" x14ac:dyDescent="0.4">
      <c r="A12" s="105" t="str">
        <f>Billing!Q15</f>
        <v>Hafiz Qureshi</v>
      </c>
      <c r="B12" s="108">
        <f>Billing!AA15</f>
        <v>1200000</v>
      </c>
      <c r="C12" s="106">
        <f>Billing!AB15</f>
        <v>11512.435991221806</v>
      </c>
    </row>
    <row r="13" spans="1:3" ht="21" x14ac:dyDescent="0.4">
      <c r="A13" s="105" t="str">
        <f>Billing!Q16</f>
        <v>Badshah Fabrics</v>
      </c>
      <c r="B13" s="108">
        <f>Billing!AA16</f>
        <v>4875761</v>
      </c>
      <c r="C13" s="106">
        <f>Billing!AB16</f>
        <v>-700000.20994879259</v>
      </c>
    </row>
    <row r="14" spans="1:3" ht="21" x14ac:dyDescent="0.4">
      <c r="A14" s="105" t="str">
        <f>Billing!Q17</f>
        <v>Reject</v>
      </c>
      <c r="B14" s="108">
        <f>Billing!AA17</f>
        <v>0</v>
      </c>
      <c r="C14" s="106">
        <f>Billing!AB17</f>
        <v>0</v>
      </c>
    </row>
    <row r="15" spans="1:3" ht="21" x14ac:dyDescent="0.4">
      <c r="A15" s="105" t="str">
        <f>Billing!Q18</f>
        <v>Amjad 7up</v>
      </c>
      <c r="B15" s="108">
        <f>Billing!AA18</f>
        <v>480000</v>
      </c>
      <c r="C15" s="107">
        <f>Billing!AB18</f>
        <v>3851.4996342355735</v>
      </c>
    </row>
    <row r="16" spans="1:3" ht="21" x14ac:dyDescent="0.4">
      <c r="A16" s="105" t="str">
        <f>Billing!Q19</f>
        <v>Hazrat Khan</v>
      </c>
      <c r="B16" s="108">
        <f>Billing!AA19</f>
        <v>95000</v>
      </c>
      <c r="C16" s="107">
        <f>Billing!AB19</f>
        <v>-5844.9158741770225</v>
      </c>
    </row>
    <row r="17" spans="1:3" ht="21" x14ac:dyDescent="0.4">
      <c r="A17" s="105" t="str">
        <f>Billing!Q20</f>
        <v>Haseeb Shamsi</v>
      </c>
      <c r="B17" s="108">
        <f>Billing!AA20</f>
        <v>594405</v>
      </c>
      <c r="C17" s="106">
        <f>Billing!AB20</f>
        <v>-0.28163862461224198</v>
      </c>
    </row>
    <row r="18" spans="1:3" ht="21" x14ac:dyDescent="0.4">
      <c r="A18" s="105" t="str">
        <f>Billing!Q21</f>
        <v>Faizan</v>
      </c>
      <c r="B18" s="108">
        <f>Billing!AA21</f>
        <v>2915571</v>
      </c>
      <c r="C18" s="107">
        <f>Billing!AB21</f>
        <v>91923.513533284888</v>
      </c>
    </row>
    <row r="19" spans="1:3" ht="21" x14ac:dyDescent="0.4">
      <c r="A19" s="105" t="str">
        <f>Billing!Q22</f>
        <v>Shafique Ansari</v>
      </c>
      <c r="B19" s="108">
        <f>Billing!AA22</f>
        <v>835660</v>
      </c>
      <c r="C19" s="107">
        <f>Billing!AB22</f>
        <v>356.82516459410544</v>
      </c>
    </row>
    <row r="20" spans="1:3" ht="21" x14ac:dyDescent="0.4">
      <c r="A20" s="105" t="str">
        <f>Billing!Q23</f>
        <v>Amjad sohail</v>
      </c>
      <c r="B20" s="108">
        <f>Billing!AA23</f>
        <v>1300000</v>
      </c>
      <c r="C20" s="106">
        <f>Billing!AB23</f>
        <v>-177742.3189465981</v>
      </c>
    </row>
    <row r="21" spans="1:3" ht="21" x14ac:dyDescent="0.4">
      <c r="A21" s="105" t="str">
        <f>Billing!Q24</f>
        <v>Salman Zaffar</v>
      </c>
      <c r="B21" s="14">
        <f>Billing!AA24</f>
        <v>0</v>
      </c>
      <c r="C21" s="106">
        <f>Billing!AB24</f>
        <v>408318.39795171918</v>
      </c>
    </row>
    <row r="22" spans="1:3" ht="18" x14ac:dyDescent="0.35">
      <c r="A22">
        <f>Billing!Q25</f>
        <v>0</v>
      </c>
      <c r="B22" s="14">
        <f>Billing!AA25</f>
        <v>0</v>
      </c>
      <c r="C22" s="94">
        <f>Billing!AB25</f>
        <v>0</v>
      </c>
    </row>
    <row r="23" spans="1:3" ht="18" x14ac:dyDescent="0.35">
      <c r="A23">
        <f>Billing!Q26</f>
        <v>0</v>
      </c>
      <c r="B23" s="14">
        <f>Billing!AA26</f>
        <v>0</v>
      </c>
      <c r="C23" s="94">
        <f>Billing!AB26</f>
        <v>0</v>
      </c>
    </row>
    <row r="24" spans="1:3" ht="18" x14ac:dyDescent="0.35">
      <c r="A24">
        <f>Billing!Q27</f>
        <v>0</v>
      </c>
      <c r="B24" s="14">
        <f>Billing!AA27</f>
        <v>0</v>
      </c>
      <c r="C24" s="94">
        <f>Billing!AB27</f>
        <v>0</v>
      </c>
    </row>
    <row r="25" spans="1:3" ht="18" x14ac:dyDescent="0.35">
      <c r="A25">
        <f>Billing!Q28</f>
        <v>0</v>
      </c>
      <c r="B25" s="14">
        <f>Billing!AA28</f>
        <v>0</v>
      </c>
      <c r="C25" s="94">
        <f>Billing!AB28</f>
        <v>0</v>
      </c>
    </row>
    <row r="26" spans="1:3" ht="18" x14ac:dyDescent="0.35">
      <c r="A26">
        <f>Billing!Q29</f>
        <v>0</v>
      </c>
      <c r="B26" s="14">
        <f>Billing!AA29</f>
        <v>0</v>
      </c>
      <c r="C26" s="94">
        <f>Billing!AB29</f>
        <v>0</v>
      </c>
    </row>
    <row r="27" spans="1:3" ht="18" x14ac:dyDescent="0.35">
      <c r="A27">
        <f>Billing!Q30</f>
        <v>0</v>
      </c>
      <c r="B27" s="14">
        <f>Billing!AA30</f>
        <v>0</v>
      </c>
      <c r="C27" s="94">
        <f>Billing!AB30</f>
        <v>0</v>
      </c>
    </row>
    <row r="28" spans="1:3" ht="18" x14ac:dyDescent="0.35">
      <c r="A28">
        <f>Billing!Q31</f>
        <v>0</v>
      </c>
      <c r="B28" s="14">
        <f>Billing!AA31</f>
        <v>0</v>
      </c>
      <c r="C28" s="94">
        <f>Billing!AB31</f>
        <v>0</v>
      </c>
    </row>
  </sheetData>
  <conditionalFormatting sqref="C2:C28">
    <cfRule type="cellIs" dxfId="5" priority="1" operator="lessThan">
      <formula>20000</formula>
    </cfRule>
  </conditionalFormatting>
  <conditionalFormatting sqref="C2:C29">
    <cfRule type="cellIs" dxfId="4"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f>Billing!Q25</f>
        <v>0</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2025-11-21T21:24:48Z</dcterms:modified>
  <cp:category/>
  <cp:contentStatus/>
</cp:coreProperties>
</file>