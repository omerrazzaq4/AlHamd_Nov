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796" documentId="8_{475843C5-500E-4738-B9D9-47939CD7324F}" xr6:coauthVersionLast="47" xr6:coauthVersionMax="47" xr10:uidLastSave="{0D11FD11-3792-4DEB-8D7F-54D91537EACC}"/>
  <bookViews>
    <workbookView xWindow="-108" yWindow="-108" windowWidth="23256" windowHeight="12456"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0"/>
    <pivotCache cacheId="13" r:id="rId21"/>
    <pivotCache cacheId="18" r:id="rId22"/>
    <pivotCache cacheId="24" r:id="rId23"/>
    <pivotCache cacheId="28"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2" i="6" l="1"/>
  <c r="I32" i="6" s="1"/>
  <c r="G32" i="6"/>
  <c r="I168" i="1" l="1"/>
  <c r="J168" i="1" a="1"/>
  <c r="J168" i="1"/>
  <c r="I169" i="1"/>
  <c r="J169" i="1" s="1" a="1"/>
  <c r="J169" i="1" s="1"/>
  <c r="I170" i="1"/>
  <c r="J170" i="1" a="1"/>
  <c r="J170" i="1"/>
  <c r="I171" i="1"/>
  <c r="J171" i="1" a="1"/>
  <c r="J171" i="1" s="1"/>
  <c r="I172" i="1"/>
  <c r="J172" i="1" a="1"/>
  <c r="J172" i="1" s="1"/>
  <c r="I173" i="1"/>
  <c r="J173" i="1" s="1" a="1"/>
  <c r="J173" i="1" s="1"/>
  <c r="I174" i="1"/>
  <c r="J174" i="1" a="1"/>
  <c r="J174" i="1" s="1"/>
  <c r="I175" i="1"/>
  <c r="J175" i="1" a="1"/>
  <c r="J175" i="1"/>
  <c r="I176" i="1"/>
  <c r="J176" i="1" a="1"/>
  <c r="J176" i="1" s="1"/>
  <c r="I177" i="1"/>
  <c r="J177" i="1" s="1" a="1"/>
  <c r="J177" i="1" s="1"/>
  <c r="I178" i="1"/>
  <c r="J178" i="1" a="1"/>
  <c r="J178" i="1"/>
  <c r="I179" i="1"/>
  <c r="J179" i="1" a="1"/>
  <c r="J179" i="1" s="1"/>
  <c r="I180" i="1"/>
  <c r="J180" i="1" a="1"/>
  <c r="J180" i="1" s="1"/>
  <c r="I181" i="1"/>
  <c r="J181" i="1" s="1" a="1"/>
  <c r="J181" i="1" s="1"/>
  <c r="I182" i="1"/>
  <c r="J182" i="1" a="1"/>
  <c r="J182" i="1" s="1"/>
  <c r="I183" i="1"/>
  <c r="J183" i="1" a="1"/>
  <c r="J183" i="1"/>
  <c r="F173" i="1"/>
  <c r="H178" i="1"/>
  <c r="H30" i="6"/>
  <c r="I30" i="6" s="1"/>
  <c r="H31" i="6"/>
  <c r="I31" i="6" s="1"/>
  <c r="G31" i="6"/>
  <c r="G30" i="6"/>
  <c r="G14" i="7"/>
  <c r="H14"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59" i="1"/>
  <c r="J159" i="1" s="1" a="1"/>
  <c r="J159" i="1" s="1"/>
  <c r="I160" i="1"/>
  <c r="I162" i="1"/>
  <c r="J162" i="1" s="1" a="1"/>
  <c r="J162" i="1" s="1"/>
  <c r="I163" i="1"/>
  <c r="J163" i="1" s="1" a="1"/>
  <c r="J163" i="1" s="1"/>
  <c r="I164" i="1"/>
  <c r="J164" i="1" s="1" a="1"/>
  <c r="J164" i="1" s="1"/>
  <c r="I165" i="1"/>
  <c r="J165" i="1" s="1" a="1"/>
  <c r="J165" i="1" s="1"/>
  <c r="I166" i="1"/>
  <c r="J166" i="1" a="1"/>
  <c r="J166" i="1" s="1"/>
  <c r="I167" i="1"/>
  <c r="J167" i="1" s="1" a="1"/>
  <c r="J167" i="1" s="1"/>
  <c r="G161" i="1"/>
  <c r="I161" i="1" s="1"/>
  <c r="J161" i="1" s="1" a="1"/>
  <c r="J161" i="1" s="1"/>
  <c r="H160" i="1"/>
  <c r="I149" i="1"/>
  <c r="J149" i="1" a="1"/>
  <c r="J149" i="1" s="1"/>
  <c r="I150" i="1"/>
  <c r="J150" i="1" s="1" a="1"/>
  <c r="J150" i="1" s="1"/>
  <c r="I151" i="1"/>
  <c r="J151" i="1" s="1" a="1"/>
  <c r="J151" i="1" s="1"/>
  <c r="I152" i="1"/>
  <c r="J152" i="1" s="1" a="1"/>
  <c r="J152" i="1" s="1"/>
  <c r="I153" i="1"/>
  <c r="J153" i="1" s="1" a="1"/>
  <c r="J153" i="1" s="1"/>
  <c r="I154" i="1"/>
  <c r="J154" i="1" s="1" a="1"/>
  <c r="J154" i="1" s="1"/>
  <c r="I155" i="1"/>
  <c r="J155" i="1" s="1" a="1"/>
  <c r="J155" i="1" s="1"/>
  <c r="B49" i="9" a="1"/>
  <c r="I83" i="1"/>
  <c r="J83" i="1" s="1" a="1"/>
  <c r="J83" i="1" s="1"/>
  <c r="I146" i="1"/>
  <c r="J146" i="1" a="1"/>
  <c r="J146" i="1" s="1"/>
  <c r="I147" i="1"/>
  <c r="J147" i="1" s="1" a="1"/>
  <c r="J147" i="1" s="1"/>
  <c r="I156" i="1"/>
  <c r="J156" i="1" s="1" a="1"/>
  <c r="J156" i="1" s="1"/>
  <c r="I157" i="1"/>
  <c r="J157" i="1" s="1" a="1"/>
  <c r="J157" i="1" s="1"/>
  <c r="I158" i="1"/>
  <c r="J158" i="1" s="1" a="1"/>
  <c r="J158" i="1" s="1"/>
  <c r="I136" i="1"/>
  <c r="J136" i="1" a="1"/>
  <c r="J136" i="1" s="1"/>
  <c r="I137" i="1"/>
  <c r="J137" i="1" s="1" a="1"/>
  <c r="J137" i="1" s="1"/>
  <c r="I138" i="1"/>
  <c r="J138" i="1" s="1" a="1"/>
  <c r="J138" i="1" s="1"/>
  <c r="I139" i="1"/>
  <c r="J139" i="1" s="1" a="1"/>
  <c r="J139" i="1" s="1"/>
  <c r="I140" i="1"/>
  <c r="J140" i="1" s="1" a="1"/>
  <c r="J140" i="1" s="1"/>
  <c r="I141" i="1"/>
  <c r="J141" i="1" a="1"/>
  <c r="J141" i="1" s="1"/>
  <c r="I142" i="1"/>
  <c r="J142" i="1" a="1"/>
  <c r="J142" i="1" s="1"/>
  <c r="I143" i="1"/>
  <c r="J143" i="1" a="1"/>
  <c r="J143" i="1" s="1"/>
  <c r="I144" i="1"/>
  <c r="J144" i="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L74" i="9"/>
  <c r="L75" i="9"/>
  <c r="L76" i="9"/>
  <c r="L77" i="9"/>
  <c r="L78" i="9"/>
  <c r="I131" i="1"/>
  <c r="J131" i="1" s="1" a="1"/>
  <c r="J131" i="1" s="1"/>
  <c r="H24" i="6"/>
  <c r="I24" i="6" s="1"/>
  <c r="G24" i="6"/>
  <c r="G25" i="6"/>
  <c r="C9" i="8"/>
  <c r="G11" i="7"/>
  <c r="H11" i="7" s="1"/>
  <c r="G12" i="7"/>
  <c r="H12" i="7" s="1"/>
  <c r="G13" i="7"/>
  <c r="H13" i="7" s="1"/>
  <c r="H22" i="6"/>
  <c r="I22" i="6" s="1"/>
  <c r="H23" i="6"/>
  <c r="I23" i="6" s="1"/>
  <c r="G22" i="6"/>
  <c r="G23" i="6"/>
  <c r="I128" i="1"/>
  <c r="J128" i="1" s="1" a="1"/>
  <c r="J128" i="1" s="1"/>
  <c r="I129" i="1"/>
  <c r="J129" i="1" a="1"/>
  <c r="J129" i="1" s="1"/>
  <c r="I130" i="1"/>
  <c r="J130" i="1" s="1" a="1"/>
  <c r="J130" i="1" s="1"/>
  <c r="I119" i="1"/>
  <c r="J119" i="1" a="1"/>
  <c r="J119" i="1" s="1"/>
  <c r="I120" i="1"/>
  <c r="J120" i="1" s="1" a="1"/>
  <c r="J120" i="1" s="1"/>
  <c r="I127" i="1"/>
  <c r="J127" i="1" a="1"/>
  <c r="J127" i="1" s="1"/>
  <c r="I132" i="1"/>
  <c r="J132" i="1" s="1" a="1"/>
  <c r="J132" i="1" s="1"/>
  <c r="I133" i="1"/>
  <c r="J133" i="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a="1"/>
  <c r="J121" i="1" s="1"/>
  <c r="I122" i="1"/>
  <c r="J122" i="1" s="1" a="1"/>
  <c r="J122" i="1" s="1"/>
  <c r="I123" i="1"/>
  <c r="J123" i="1" s="1" a="1"/>
  <c r="J123" i="1" s="1"/>
  <c r="I124" i="1"/>
  <c r="J124" i="1" s="1" a="1"/>
  <c r="J124" i="1" s="1"/>
  <c r="I125" i="1"/>
  <c r="J125" i="1" s="1" a="1"/>
  <c r="J125" i="1" s="1"/>
  <c r="I126" i="1"/>
  <c r="J126" i="1" s="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a="1"/>
  <c r="J115" i="1" s="1"/>
  <c r="I116" i="1"/>
  <c r="J116" i="1" a="1"/>
  <c r="J116" i="1" s="1"/>
  <c r="I117" i="1"/>
  <c r="J117" i="1" a="1"/>
  <c r="J117" i="1" s="1"/>
  <c r="I118" i="1"/>
  <c r="J118" i="1" a="1"/>
  <c r="J118" i="1" s="1"/>
  <c r="I99" i="1"/>
  <c r="J99" i="1" a="1"/>
  <c r="J99" i="1" s="1"/>
  <c r="I100" i="1"/>
  <c r="J100" i="1" a="1"/>
  <c r="J100" i="1" s="1"/>
  <c r="I101" i="1"/>
  <c r="J101" i="1" a="1"/>
  <c r="J101" i="1" s="1"/>
  <c r="I102" i="1"/>
  <c r="J102" i="1" a="1"/>
  <c r="J102" i="1" s="1"/>
  <c r="I103" i="1"/>
  <c r="J103" i="1" a="1"/>
  <c r="J103" i="1" s="1"/>
  <c r="I104" i="1"/>
  <c r="J104" i="1" a="1"/>
  <c r="J104" i="1" s="1"/>
  <c r="I105" i="1"/>
  <c r="J105" i="1" a="1"/>
  <c r="J105" i="1" s="1"/>
  <c r="I106" i="1"/>
  <c r="J106" i="1" a="1"/>
  <c r="J106" i="1" s="1"/>
  <c r="I107" i="1"/>
  <c r="J107" i="1" s="1" a="1"/>
  <c r="J107" i="1" s="1"/>
  <c r="I108" i="1"/>
  <c r="J108" i="1" s="1" a="1"/>
  <c r="J108" i="1" s="1"/>
  <c r="I109" i="1"/>
  <c r="J109" i="1" s="1" a="1"/>
  <c r="J109" i="1" s="1"/>
  <c r="I110" i="1"/>
  <c r="J110" i="1" s="1" a="1"/>
  <c r="J110" i="1" s="1"/>
  <c r="I111" i="1"/>
  <c r="J111" i="1" s="1" a="1"/>
  <c r="J111" i="1" s="1"/>
  <c r="F11" i="15"/>
  <c r="F10" i="15"/>
  <c r="H12" i="6"/>
  <c r="I12" i="6" s="1"/>
  <c r="I36" i="12"/>
  <c r="H11" i="6"/>
  <c r="I11" i="6" s="1"/>
  <c r="G11" i="6"/>
  <c r="G12" i="6"/>
  <c r="I90" i="1"/>
  <c r="J90" i="1" s="1" a="1"/>
  <c r="J90" i="1" s="1"/>
  <c r="I91" i="1"/>
  <c r="J91" i="1" a="1"/>
  <c r="J91" i="1" s="1"/>
  <c r="I92" i="1"/>
  <c r="J92" i="1" s="1" a="1"/>
  <c r="J92" i="1" s="1"/>
  <c r="I93" i="1"/>
  <c r="J93" i="1" s="1" a="1"/>
  <c r="J93" i="1" s="1"/>
  <c r="I94" i="1"/>
  <c r="J94" i="1" s="1" a="1"/>
  <c r="J94" i="1" s="1"/>
  <c r="I95" i="1"/>
  <c r="J95" i="1" s="1" a="1"/>
  <c r="J95" i="1" s="1"/>
  <c r="I96" i="1"/>
  <c r="J96" i="1" s="1" a="1"/>
  <c r="J96" i="1" s="1"/>
  <c r="I97" i="1"/>
  <c r="J97" i="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a="1"/>
  <c r="J89" i="1" s="1"/>
  <c r="G9" i="15"/>
  <c r="H9" i="15" s="1"/>
  <c r="G10" i="15"/>
  <c r="H10" i="15" s="1"/>
  <c r="G11" i="15"/>
  <c r="H11" i="15" s="1"/>
  <c r="J27" i="15"/>
  <c r="E43" i="7"/>
  <c r="E42" i="7"/>
  <c r="G5" i="7"/>
  <c r="H5" i="7" s="1"/>
  <c r="G4" i="7"/>
  <c r="H4" i="7" s="1"/>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20" i="15"/>
  <c r="F6" i="15"/>
  <c r="B84" i="9" a="1"/>
  <c r="B84" i="9" s="1"/>
  <c r="E21" i="7"/>
  <c r="E46" i="7"/>
  <c r="C5" i="8"/>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7" i="20"/>
  <c r="A28" i="20"/>
  <c r="Q5" i="9" a="1"/>
  <c r="A22" i="21" s="1"/>
  <c r="B2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G57" i="2" s="1"/>
  <c r="H173" i="1" s="1"/>
  <c r="E58" i="2"/>
  <c r="F58" i="2"/>
  <c r="G58" i="2" s="1"/>
  <c r="H174" i="1" s="1"/>
  <c r="F27" i="2"/>
  <c r="G27" i="2" s="1"/>
  <c r="E27" i="2"/>
  <c r="E59" i="2"/>
  <c r="F59" i="2"/>
  <c r="F28" i="2"/>
  <c r="H28" i="2" s="1"/>
  <c r="I28" i="2" s="1"/>
  <c r="D28" i="2" s="1"/>
  <c r="E28" i="2"/>
  <c r="E60" i="2"/>
  <c r="G60" i="2" s="1"/>
  <c r="F60" i="2"/>
  <c r="E61" i="2"/>
  <c r="G61" i="2" s="1"/>
  <c r="H183" i="1" s="1"/>
  <c r="F61" i="2"/>
  <c r="H61" i="2"/>
  <c r="I61" i="2"/>
  <c r="D61" i="2" s="1"/>
  <c r="E62" i="2"/>
  <c r="F62" i="2"/>
  <c r="H62" i="2"/>
  <c r="I62" i="2"/>
  <c r="D62" i="2" s="1"/>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s="1"/>
  <c r="I45" i="2" s="1"/>
  <c r="D45" i="2" s="1"/>
  <c r="E46" i="2"/>
  <c r="F46" i="2"/>
  <c r="H46" i="2" s="1"/>
  <c r="I46" i="2" s="1"/>
  <c r="D46" i="2" s="1"/>
  <c r="E47" i="2"/>
  <c r="F47" i="2"/>
  <c r="G47" i="2" s="1"/>
  <c r="H150" i="1" s="1"/>
  <c r="E48" i="2"/>
  <c r="F48" i="2"/>
  <c r="G48" i="2" s="1"/>
  <c r="H151" i="1" s="1"/>
  <c r="F20" i="2"/>
  <c r="H20" i="2"/>
  <c r="I20" i="2" s="1"/>
  <c r="D20" i="2" s="1"/>
  <c r="E20" i="2"/>
  <c r="G20" i="2" s="1"/>
  <c r="H104" i="1" s="1"/>
  <c r="E49" i="2"/>
  <c r="F49" i="2"/>
  <c r="G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G54" i="2" s="1"/>
  <c r="F24" i="2"/>
  <c r="H24" i="2"/>
  <c r="I24" i="2" s="1"/>
  <c r="D24" i="2" s="1"/>
  <c r="E24" i="2"/>
  <c r="E55" i="2"/>
  <c r="F55" i="2"/>
  <c r="G55" i="2" s="1"/>
  <c r="F25" i="2"/>
  <c r="H25" i="2"/>
  <c r="I25" i="2" s="1"/>
  <c r="D25" i="2" s="1"/>
  <c r="E25" i="2"/>
  <c r="G25" i="2"/>
  <c r="H111" i="1"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G6" i="2" s="1"/>
  <c r="E6" i="2"/>
  <c r="F5" i="2"/>
  <c r="H5" i="2" s="1"/>
  <c r="I5" i="2" s="1"/>
  <c r="D5" i="2" s="1"/>
  <c r="E5" i="2"/>
  <c r="E34" i="2"/>
  <c r="F34" i="2"/>
  <c r="G34" i="2"/>
  <c r="H131" i="1" s="1"/>
  <c r="F18" i="2"/>
  <c r="H18" i="2"/>
  <c r="I18" i="2"/>
  <c r="D18" i="2"/>
  <c r="E18" i="2"/>
  <c r="G18" i="2" s="1"/>
  <c r="H102" i="1" s="1"/>
  <c r="E35" i="2"/>
  <c r="F35" i="2"/>
  <c r="H35" i="2"/>
  <c r="I35" i="2" s="1"/>
  <c r="D35" i="2" s="1"/>
  <c r="E36" i="2"/>
  <c r="F36" i="2"/>
  <c r="G36" i="2" s="1"/>
  <c r="H135" i="1" s="1"/>
  <c r="F22" i="2"/>
  <c r="E22" i="2"/>
  <c r="F7" i="2"/>
  <c r="G7" i="2" s="1"/>
  <c r="H83" i="1" s="1"/>
  <c r="H7" i="2"/>
  <c r="I7" i="2" s="1"/>
  <c r="D7" i="2" s="1"/>
  <c r="E7" i="2"/>
  <c r="E37" i="2"/>
  <c r="F37" i="2"/>
  <c r="H37" i="2" s="1"/>
  <c r="I37" i="2" s="1"/>
  <c r="D37" i="2" s="1"/>
  <c r="E39" i="2"/>
  <c r="F39" i="2"/>
  <c r="G39" i="2" s="1"/>
  <c r="E40" i="2"/>
  <c r="F40" i="2"/>
  <c r="H40" i="2" s="1"/>
  <c r="I40" i="2" s="1"/>
  <c r="D40" i="2" s="1"/>
  <c r="E41" i="2"/>
  <c r="F41" i="2"/>
  <c r="G41" i="2"/>
  <c r="H143" i="1"/>
  <c r="E42" i="2"/>
  <c r="F42" i="2"/>
  <c r="G42" i="2" s="1"/>
  <c r="H144" i="1" s="1"/>
  <c r="E43" i="2"/>
  <c r="F43" i="2"/>
  <c r="H43" i="2" s="1"/>
  <c r="I43" i="2" s="1"/>
  <c r="D43" i="2" s="1"/>
  <c r="E44" i="2"/>
  <c r="F44" i="2"/>
  <c r="H44" i="2"/>
  <c r="I44" i="2"/>
  <c r="D44" i="2"/>
  <c r="F19" i="2"/>
  <c r="G19" i="2" s="1"/>
  <c r="H103" i="1" s="1"/>
  <c r="H19" i="2"/>
  <c r="I19" i="2" s="1"/>
  <c r="D19" i="2" s="1"/>
  <c r="E19" i="2"/>
  <c r="F38" i="2"/>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G13" i="2" s="1"/>
  <c r="H95" i="1" s="1"/>
  <c r="F23" i="2"/>
  <c r="H23" i="2" s="1"/>
  <c r="I23" i="2" s="1"/>
  <c r="D23" i="2" s="1"/>
  <c r="E23" i="2"/>
  <c r="G23" i="2" s="1"/>
  <c r="F15" i="2"/>
  <c r="H15" i="2"/>
  <c r="I15" i="2" s="1"/>
  <c r="D15" i="2" s="1"/>
  <c r="E15" i="2"/>
  <c r="F16" i="2"/>
  <c r="E16" i="2"/>
  <c r="F26" i="2"/>
  <c r="H26" i="2" s="1"/>
  <c r="I26" i="2" s="1"/>
  <c r="D26" i="2" s="1"/>
  <c r="E26" i="2"/>
  <c r="G26" i="2" s="1"/>
  <c r="F29" i="2"/>
  <c r="H29" i="2"/>
  <c r="I29" i="2" s="1"/>
  <c r="D29" i="2" s="1"/>
  <c r="E29" i="2"/>
  <c r="F30" i="2"/>
  <c r="F31" i="2"/>
  <c r="H31" i="2" s="1"/>
  <c r="I31" i="2" s="1"/>
  <c r="D31" i="2" s="1"/>
  <c r="E31" i="2"/>
  <c r="F32" i="2"/>
  <c r="G32" i="2" s="1"/>
  <c r="F14" i="2"/>
  <c r="H14" i="2" s="1"/>
  <c r="I14" i="2" s="1"/>
  <c r="D14" i="2" s="1"/>
  <c r="E14" i="2"/>
  <c r="E30" i="2"/>
  <c r="E32" i="2"/>
  <c r="N4" i="17"/>
  <c r="F12" i="2"/>
  <c r="G12" i="2" s="1"/>
  <c r="E12" i="2"/>
  <c r="F11" i="2"/>
  <c r="G11" i="2" s="1"/>
  <c r="E11" i="2"/>
  <c r="E17" i="2"/>
  <c r="F17" i="2"/>
  <c r="H17" i="2" s="1"/>
  <c r="I17" i="2" s="1"/>
  <c r="D17" i="2" s="1"/>
  <c r="F9" i="2"/>
  <c r="E9" i="2"/>
  <c r="E8" i="2"/>
  <c r="G8" i="2"/>
  <c r="H86" i="1" s="1"/>
  <c r="F8" i="2"/>
  <c r="H8" i="2" s="1"/>
  <c r="I8" i="2" s="1"/>
  <c r="D8" i="2" s="1"/>
  <c r="E10" i="2"/>
  <c r="E4" i="2"/>
  <c r="C8" i="8"/>
  <c r="F10" i="2"/>
  <c r="H10" i="2"/>
  <c r="I10" i="2" s="1"/>
  <c r="D10" i="2" s="1"/>
  <c r="F4" i="2"/>
  <c r="H4" i="2"/>
  <c r="I4" i="2" s="1"/>
  <c r="D4" i="2" s="1"/>
  <c r="N3" i="7"/>
  <c r="N5" i="7"/>
  <c r="E6" i="11"/>
  <c r="D6" i="11"/>
  <c r="F3" i="2"/>
  <c r="J15" i="14"/>
  <c r="H92" i="2"/>
  <c r="I92" i="2"/>
  <c r="D92" i="2"/>
  <c r="G76" i="2"/>
  <c r="G88" i="2"/>
  <c r="G81" i="2"/>
  <c r="G72" i="2"/>
  <c r="G87" i="2"/>
  <c r="H94" i="2"/>
  <c r="I94" i="2"/>
  <c r="D94" i="2"/>
  <c r="G91" i="2"/>
  <c r="G90" i="2"/>
  <c r="H89" i="2"/>
  <c r="I89" i="2"/>
  <c r="D89" i="2"/>
  <c r="E15"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s="1"/>
  <c r="D59" i="2" s="1"/>
  <c r="C287" i="17"/>
  <c r="K4" i="17" s="1"/>
  <c r="C16" i="10"/>
  <c r="J30" i="15"/>
  <c r="G67" i="2"/>
  <c r="G71" i="2"/>
  <c r="G66" i="2"/>
  <c r="G65" i="2"/>
  <c r="G69" i="2"/>
  <c r="G68" i="2"/>
  <c r="G63" i="2"/>
  <c r="G70" i="2"/>
  <c r="G59" i="2"/>
  <c r="G62" i="2"/>
  <c r="H60" i="2"/>
  <c r="I60" i="2"/>
  <c r="D60" i="2" s="1"/>
  <c r="H58" i="2"/>
  <c r="I58" i="2"/>
  <c r="D58" i="2" s="1"/>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s="1"/>
  <c r="D2" i="17"/>
  <c r="N5" i="17" s="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H55" i="2"/>
  <c r="I55" i="2"/>
  <c r="D55" i="2" s="1"/>
  <c r="G56" i="2"/>
  <c r="H177" i="1" s="1"/>
  <c r="H167" i="1"/>
  <c r="G16" i="2"/>
  <c r="H139" i="1" s="1"/>
  <c r="G22" i="2"/>
  <c r="H106" i="1"/>
  <c r="G53" i="2"/>
  <c r="H170" i="1" s="1"/>
  <c r="G9" i="2"/>
  <c r="H89" i="1" s="1"/>
  <c r="G21" i="2"/>
  <c r="H105" i="1" s="1"/>
  <c r="H108" i="1"/>
  <c r="H41" i="2"/>
  <c r="I41" i="2" s="1"/>
  <c r="D41" i="2" s="1"/>
  <c r="G52" i="2"/>
  <c r="H158" i="1"/>
  <c r="G31" i="2"/>
  <c r="H129" i="1" s="1"/>
  <c r="H54" i="2"/>
  <c r="I54" i="2" s="1"/>
  <c r="D54" i="2" s="1"/>
  <c r="G51" i="2"/>
  <c r="H157" i="1" s="1"/>
  <c r="G4" i="2"/>
  <c r="G29" i="2"/>
  <c r="H119" i="1"/>
  <c r="H22" i="2"/>
  <c r="I22" i="2" s="1"/>
  <c r="D22" i="2" s="1"/>
  <c r="G24" i="2"/>
  <c r="H110" i="1" s="1"/>
  <c r="H34" i="2"/>
  <c r="I34" i="2"/>
  <c r="D34" i="2" s="1"/>
  <c r="H36" i="2"/>
  <c r="I36" i="2" s="1"/>
  <c r="D36" i="2" s="1"/>
  <c r="G15" i="2"/>
  <c r="H97" i="1" s="1"/>
  <c r="G17" i="2"/>
  <c r="H101" i="1" s="1"/>
  <c r="G33" i="2"/>
  <c r="H125" i="1" s="1"/>
  <c r="G50" i="2"/>
  <c r="H156" i="1" s="1"/>
  <c r="G10" i="2"/>
  <c r="H90" i="1" s="1"/>
  <c r="H48" i="2"/>
  <c r="I48" i="2"/>
  <c r="D48" i="2" s="1"/>
  <c r="G46" i="2"/>
  <c r="H149" i="1" s="1"/>
  <c r="G30" i="2"/>
  <c r="H171" i="1" s="1"/>
  <c r="H30" i="2"/>
  <c r="I30" i="2"/>
  <c r="D30" i="2"/>
  <c r="G40" i="2"/>
  <c r="H142" i="1"/>
  <c r="H127" i="1"/>
  <c r="G44" i="2"/>
  <c r="H163" i="1"/>
  <c r="G5" i="2"/>
  <c r="H98" i="1"/>
  <c r="H16" i="2"/>
  <c r="I16" i="2"/>
  <c r="D16" i="2" s="1"/>
  <c r="H50" i="2"/>
  <c r="I50" i="2"/>
  <c r="D50" i="2" s="1"/>
  <c r="H9" i="2"/>
  <c r="I9" i="2"/>
  <c r="D9" i="2"/>
  <c r="G38" i="2"/>
  <c r="H164" i="1" s="1"/>
  <c r="H12" i="2"/>
  <c r="I12" i="2"/>
  <c r="D12" i="2" s="1"/>
  <c r="G35" i="2"/>
  <c r="H134" i="1" s="1"/>
  <c r="X28" i="9" a="1"/>
  <c r="X28" i="9" s="1"/>
  <c r="L70" i="9"/>
  <c r="H120" i="1"/>
  <c r="H137" i="1"/>
  <c r="H112" i="1"/>
  <c r="H138" i="1"/>
  <c r="H128" i="1"/>
  <c r="H146" i="1"/>
  <c r="H153" i="1"/>
  <c r="H133" i="1"/>
  <c r="C2" i="2"/>
  <c r="G33" i="6" l="1"/>
  <c r="K6" i="6"/>
  <c r="C4" i="8" s="1"/>
  <c r="N7" i="17"/>
  <c r="P7" i="17" s="1"/>
  <c r="C12" i="10"/>
  <c r="D287" i="17"/>
  <c r="K5" i="17" s="1"/>
  <c r="K6" i="17" s="1"/>
  <c r="T28" i="9" a="1"/>
  <c r="T28" i="9" s="1"/>
  <c r="I73" i="9" a="1"/>
  <c r="I73" i="9" s="1"/>
  <c r="R29" i="9" a="1"/>
  <c r="R29" i="9" s="1"/>
  <c r="X29" i="9" a="1"/>
  <c r="X29" i="9" s="1"/>
  <c r="S29" i="9" a="1"/>
  <c r="S29" i="9" s="1"/>
  <c r="T29" i="9" a="1"/>
  <c r="T29" i="9" s="1"/>
  <c r="V29" i="9" a="1"/>
  <c r="V29" i="9" s="1"/>
  <c r="J73" i="9" a="1"/>
  <c r="J73" i="9" s="1"/>
  <c r="U29" i="9" a="1"/>
  <c r="U29" i="9" s="1"/>
  <c r="Y29" i="9" a="1"/>
  <c r="Y29" i="9" s="1"/>
  <c r="H73" i="9" a="1"/>
  <c r="H73" i="9" s="1"/>
  <c r="H168" i="1"/>
  <c r="H169" i="1"/>
  <c r="H175" i="1"/>
  <c r="H181" i="1"/>
  <c r="H166" i="1"/>
  <c r="H116" i="1"/>
  <c r="H121" i="1"/>
  <c r="H148" i="1"/>
  <c r="H176" i="1"/>
  <c r="H126" i="1"/>
  <c r="H124" i="1"/>
  <c r="H93" i="1"/>
  <c r="H92" i="1"/>
  <c r="H172" i="1"/>
  <c r="H165" i="1"/>
  <c r="H179" i="1"/>
  <c r="H182" i="1"/>
  <c r="H113" i="1"/>
  <c r="H107" i="1"/>
  <c r="H94" i="1"/>
  <c r="H91" i="1"/>
  <c r="H115" i="1"/>
  <c r="H114" i="1"/>
  <c r="H141" i="1"/>
  <c r="H140" i="1"/>
  <c r="H155" i="1"/>
  <c r="H161" i="1"/>
  <c r="H82" i="1"/>
  <c r="H84" i="1"/>
  <c r="H132" i="1"/>
  <c r="H49" i="2"/>
  <c r="I49" i="2" s="1"/>
  <c r="D49" i="2" s="1"/>
  <c r="H123" i="1"/>
  <c r="H162" i="1"/>
  <c r="H88" i="1"/>
  <c r="H11" i="2"/>
  <c r="I11" i="2" s="1"/>
  <c r="H47" i="2"/>
  <c r="I47" i="2" s="1"/>
  <c r="D47" i="2" s="1"/>
  <c r="H32" i="2"/>
  <c r="I32" i="2" s="1"/>
  <c r="D32" i="2" s="1"/>
  <c r="H39" i="2"/>
  <c r="I39" i="2" s="1"/>
  <c r="D39" i="2" s="1"/>
  <c r="H27" i="2"/>
  <c r="I27" i="2" s="1"/>
  <c r="D27" i="2" s="1"/>
  <c r="H159" i="1"/>
  <c r="G28" i="2"/>
  <c r="H180" i="1"/>
  <c r="G43" i="2"/>
  <c r="H145" i="1" s="1"/>
  <c r="G37" i="2"/>
  <c r="H136" i="1" s="1"/>
  <c r="H117" i="1"/>
  <c r="H99" i="1"/>
  <c r="H130" i="1"/>
  <c r="H109" i="1"/>
  <c r="G14" i="2"/>
  <c r="G45" i="2"/>
  <c r="H6" i="2"/>
  <c r="I6" i="2" s="1"/>
  <c r="D6" i="2" s="1"/>
  <c r="H85" i="1"/>
  <c r="H87" i="1"/>
  <c r="H42" i="2"/>
  <c r="I42" i="2" s="1"/>
  <c r="D42" i="2" s="1"/>
  <c r="H57" i="2"/>
  <c r="I57" i="2" s="1"/>
  <c r="D57" i="2" s="1"/>
  <c r="A26" i="20"/>
  <c r="L73" i="9"/>
  <c r="G73" i="9" a="1"/>
  <c r="G73" i="9" s="1"/>
  <c r="AA29" i="9"/>
  <c r="B26" i="20" s="1"/>
  <c r="W29" i="9" a="1"/>
  <c r="W29" i="9" s="1"/>
  <c r="C19" i="10"/>
  <c r="I37" i="12"/>
  <c r="C43" i="12"/>
  <c r="E38" i="18"/>
  <c r="I33" i="6"/>
  <c r="D38" i="18"/>
  <c r="J37" i="14"/>
  <c r="C12" i="8" s="1"/>
  <c r="H33" i="6"/>
  <c r="D37" i="14"/>
  <c r="C10" i="8" s="1"/>
  <c r="H20" i="15"/>
  <c r="H15" i="7"/>
  <c r="G20" i="15"/>
  <c r="U28" i="9" a="1"/>
  <c r="U28" i="9" s="1"/>
  <c r="L94" i="9"/>
  <c r="AA15" i="9" s="1"/>
  <c r="B12" i="20" s="1"/>
  <c r="S28" i="9" a="1"/>
  <c r="S28" i="9" s="1"/>
  <c r="I100" i="9"/>
  <c r="X21" i="9" s="1" a="1"/>
  <c r="X21" i="9" s="1"/>
  <c r="B18" i="9"/>
  <c r="E18" i="9" s="1"/>
  <c r="I184" i="1" a="1"/>
  <c r="I184" i="1" s="1"/>
  <c r="I64" i="9" a="1"/>
  <c r="I64" i="9" s="1"/>
  <c r="L85" i="9"/>
  <c r="AA6" i="9" s="1"/>
  <c r="B3" i="20" s="1"/>
  <c r="B8" i="9"/>
  <c r="C8" i="9" s="1"/>
  <c r="S27" i="9" a="1"/>
  <c r="S27" i="9" s="1"/>
  <c r="X25" i="9" a="1"/>
  <c r="X25" i="9" s="1"/>
  <c r="J102" i="9"/>
  <c r="Y23" i="9" s="1" a="1"/>
  <c r="Y23" i="9" s="1"/>
  <c r="H88" i="9"/>
  <c r="W9" i="9" s="1" a="1"/>
  <c r="W9" i="9" s="1"/>
  <c r="C94" i="9"/>
  <c r="R15" i="9" s="1" a="1"/>
  <c r="R15" i="9" s="1"/>
  <c r="V28" i="9" a="1"/>
  <c r="V28" i="9" s="1"/>
  <c r="C100" i="9"/>
  <c r="R21" i="9" s="1" a="1"/>
  <c r="R21" i="9" s="1"/>
  <c r="H52" i="9" a="1"/>
  <c r="H52" i="9" s="1"/>
  <c r="I90" i="9"/>
  <c r="X11" i="9" s="1" a="1"/>
  <c r="X11" i="9" s="1"/>
  <c r="L65" i="9"/>
  <c r="L53" i="9"/>
  <c r="J60" i="9" a="1"/>
  <c r="J60" i="9" s="1"/>
  <c r="X26" i="9" a="1"/>
  <c r="X26" i="9" s="1"/>
  <c r="J66" i="9" a="1"/>
  <c r="J66" i="9" s="1"/>
  <c r="G50" i="9" a="1"/>
  <c r="G50" i="9" s="1"/>
  <c r="J71" i="9" a="1"/>
  <c r="J71" i="9" s="1"/>
  <c r="L93" i="9"/>
  <c r="AA14" i="9" s="1"/>
  <c r="B11" i="20" s="1"/>
  <c r="H87" i="9"/>
  <c r="W8" i="9" s="1" a="1"/>
  <c r="W8" i="9" s="1"/>
  <c r="D98" i="9"/>
  <c r="S19" i="9" s="1" a="1"/>
  <c r="S19" i="9" s="1"/>
  <c r="A15" i="21"/>
  <c r="B15" i="21" s="1"/>
  <c r="I60" i="9" a="1"/>
  <c r="I60" i="9" s="1"/>
  <c r="J53" i="9" a="1"/>
  <c r="J53" i="9" s="1"/>
  <c r="Y26" i="9" a="1"/>
  <c r="Y26" i="9" s="1"/>
  <c r="F86" i="9"/>
  <c r="U7" i="9" s="1" a="1"/>
  <c r="U7" i="9" s="1"/>
  <c r="I71" i="9" a="1"/>
  <c r="I71" i="9" s="1"/>
  <c r="G102" i="9"/>
  <c r="V23" i="9" s="1" a="1"/>
  <c r="V23" i="9" s="1"/>
  <c r="F94" i="9"/>
  <c r="U15" i="9" s="1" a="1"/>
  <c r="U15" i="9" s="1"/>
  <c r="C87" i="9"/>
  <c r="R8" i="9" s="1" a="1"/>
  <c r="R8" i="9" s="1"/>
  <c r="I54" i="9" a="1"/>
  <c r="I54" i="9" s="1"/>
  <c r="B14" i="9"/>
  <c r="C14" i="9" s="1"/>
  <c r="G63" i="9" a="1"/>
  <c r="G63" i="9" s="1"/>
  <c r="I58" i="9" a="1"/>
  <c r="I58" i="9" s="1"/>
  <c r="I59" i="9" a="1"/>
  <c r="I59" i="9" s="1"/>
  <c r="I69" i="9" a="1"/>
  <c r="I69" i="9" s="1"/>
  <c r="G85" i="9"/>
  <c r="V6" i="9" s="1" a="1"/>
  <c r="V6" i="9" s="1"/>
  <c r="L90" i="9"/>
  <c r="AA11" i="9" s="1"/>
  <c r="B8" i="20" s="1"/>
  <c r="G91" i="9"/>
  <c r="L88" i="9"/>
  <c r="H98" i="9"/>
  <c r="W19" i="9" s="1" a="1"/>
  <c r="W19" i="9" s="1"/>
  <c r="C95" i="9"/>
  <c r="R16" i="9" s="1" a="1"/>
  <c r="R16" i="9" s="1"/>
  <c r="B16" i="9"/>
  <c r="E16" i="9" s="1"/>
  <c r="L51" i="9"/>
  <c r="G93" i="9"/>
  <c r="V14" i="9" s="1" a="1"/>
  <c r="V14" i="9" s="1"/>
  <c r="E90" i="9"/>
  <c r="T11" i="9" s="1" a="1"/>
  <c r="T11" i="9" s="1"/>
  <c r="J68" i="9" a="1"/>
  <c r="J68" i="9" s="1"/>
  <c r="H102" i="9"/>
  <c r="W23" i="9" s="1" a="1"/>
  <c r="W23" i="9" s="1"/>
  <c r="D93" i="9"/>
  <c r="S14" i="9" s="1" a="1"/>
  <c r="S14" i="9" s="1"/>
  <c r="J57" i="9" a="1"/>
  <c r="J57" i="9" s="1"/>
  <c r="L87" i="9"/>
  <c r="AA8" i="9" s="1"/>
  <c r="B5" i="20" s="1"/>
  <c r="L98" i="9"/>
  <c r="AA19" i="9" s="1"/>
  <c r="B16" i="20" s="1"/>
  <c r="I95" i="9"/>
  <c r="X16" i="9" s="1" a="1"/>
  <c r="X16" i="9" s="1"/>
  <c r="I86" i="9"/>
  <c r="X7" i="9" s="1" a="1"/>
  <c r="X7" i="9" s="1"/>
  <c r="J92" i="9"/>
  <c r="Y13" i="9" s="1" a="1"/>
  <c r="Y13" i="9" s="1"/>
  <c r="I97" i="9"/>
  <c r="X18" i="9" s="1" a="1"/>
  <c r="X18" i="9" s="1"/>
  <c r="H55" i="9" a="1"/>
  <c r="H55" i="9" s="1"/>
  <c r="J95" i="9"/>
  <c r="Y16" i="9" s="1" a="1"/>
  <c r="Y16" i="9" s="1"/>
  <c r="B11" i="9"/>
  <c r="C11" i="9" s="1"/>
  <c r="I91" i="9"/>
  <c r="X12" i="9" s="1" a="1"/>
  <c r="X12" i="9" s="1"/>
  <c r="L59" i="9"/>
  <c r="J55" i="9" a="1"/>
  <c r="J55" i="9" s="1"/>
  <c r="C93" i="9"/>
  <c r="R14" i="9" s="1" a="1"/>
  <c r="R14" i="9" s="1"/>
  <c r="I92" i="9"/>
  <c r="X13" i="9" s="1" a="1"/>
  <c r="X13" i="9" s="1"/>
  <c r="C89" i="9"/>
  <c r="R10" i="9" s="1" a="1"/>
  <c r="R10" i="9" s="1"/>
  <c r="L100" i="9"/>
  <c r="AA21" i="9" s="1"/>
  <c r="B18" i="20" s="1"/>
  <c r="J97" i="9"/>
  <c r="Y18" i="9" s="1" a="1"/>
  <c r="Y18" i="9" s="1"/>
  <c r="B7" i="9"/>
  <c r="C7" i="9" s="1"/>
  <c r="Y27" i="9" a="1"/>
  <c r="Y27" i="9" s="1"/>
  <c r="D99" i="9"/>
  <c r="S20" i="9" s="1" a="1"/>
  <c r="S20" i="9" s="1"/>
  <c r="H85" i="9"/>
  <c r="W6" i="9" s="1" a="1"/>
  <c r="W6" i="9" s="1"/>
  <c r="J52" i="9" a="1"/>
  <c r="J52" i="9" s="1"/>
  <c r="H94" i="9"/>
  <c r="W15" i="9" s="1" a="1"/>
  <c r="W15" i="9" s="1"/>
  <c r="D87" i="9"/>
  <c r="S8" i="9" s="1" a="1"/>
  <c r="S8" i="9" s="1"/>
  <c r="I88" i="9"/>
  <c r="X9" i="9" s="1" a="1"/>
  <c r="X9" i="9" s="1"/>
  <c r="L68" i="9"/>
  <c r="G68" i="9" a="1"/>
  <c r="G68" i="9" s="1"/>
  <c r="J62" i="9" a="1"/>
  <c r="J62" i="9" s="1"/>
  <c r="J59" i="9" a="1"/>
  <c r="J59" i="9" s="1"/>
  <c r="L97" i="9"/>
  <c r="AA18" i="9" s="1"/>
  <c r="B15" i="20" s="1"/>
  <c r="H89" i="9"/>
  <c r="W10" i="9" s="1" a="1"/>
  <c r="W10" i="9" s="1"/>
  <c r="J85" i="9"/>
  <c r="Y6" i="9" s="1" a="1"/>
  <c r="Y6" i="9" s="1"/>
  <c r="I52" i="9" a="1"/>
  <c r="I52" i="9" s="1"/>
  <c r="I72" i="9" a="1"/>
  <c r="I72" i="9" s="1"/>
  <c r="I61" i="9" a="1"/>
  <c r="I61" i="9" s="1"/>
  <c r="E96" i="9"/>
  <c r="T17" i="9" s="1" a="1"/>
  <c r="T17" i="9" s="1"/>
  <c r="D85" i="9"/>
  <c r="S6" i="9" s="1" a="1"/>
  <c r="S6" i="9" s="1"/>
  <c r="I87" i="9"/>
  <c r="X8" i="9" s="1" a="1"/>
  <c r="X8" i="9" s="1"/>
  <c r="Y25" i="9" a="1"/>
  <c r="Y25" i="9" s="1"/>
  <c r="I51" i="9" a="1"/>
  <c r="I51" i="9" s="1"/>
  <c r="L103" i="9"/>
  <c r="AA24" i="9" s="1"/>
  <c r="B21" i="20" s="1"/>
  <c r="I89" i="9"/>
  <c r="X10" i="9" s="1" a="1"/>
  <c r="X10" i="9" s="1"/>
  <c r="R26" i="9" a="1"/>
  <c r="R26" i="9" s="1"/>
  <c r="F85" i="9"/>
  <c r="U6" i="9" s="1" a="1"/>
  <c r="U6" i="9" s="1"/>
  <c r="F99" i="9"/>
  <c r="U20" i="9" s="1" a="1"/>
  <c r="U20" i="9" s="1"/>
  <c r="E97" i="9"/>
  <c r="T18" i="9" s="1" a="1"/>
  <c r="T18" i="9" s="1"/>
  <c r="I68" i="9" a="1"/>
  <c r="I68" i="9" s="1"/>
  <c r="D90" i="9"/>
  <c r="S11" i="9" s="1" a="1"/>
  <c r="S11" i="9" s="1"/>
  <c r="S25" i="9" a="1"/>
  <c r="S25" i="9" s="1"/>
  <c r="J86" i="9"/>
  <c r="Y7" i="9" s="1" a="1"/>
  <c r="Y7" i="9" s="1"/>
  <c r="B49" i="9"/>
  <c r="D84" i="9" s="1"/>
  <c r="G62" i="9" a="1"/>
  <c r="G62" i="9" s="1"/>
  <c r="J90" i="9"/>
  <c r="Y11" i="9" s="1" a="1"/>
  <c r="Y11" i="9" s="1"/>
  <c r="D102" i="9"/>
  <c r="S23" i="9" s="1" a="1"/>
  <c r="S23" i="9" s="1"/>
  <c r="J99" i="9"/>
  <c r="Y20" i="9" s="1" a="1"/>
  <c r="Y20" i="9" s="1"/>
  <c r="J72" i="9" a="1"/>
  <c r="J72" i="9" s="1"/>
  <c r="H58" i="9" a="1"/>
  <c r="H58" i="9" s="1"/>
  <c r="C104" i="9"/>
  <c r="R25" i="9" s="1" a="1"/>
  <c r="R25" i="9" s="1"/>
  <c r="J94" i="9"/>
  <c r="Y15" i="9" s="1" a="1"/>
  <c r="Y15" i="9" s="1"/>
  <c r="L66" i="9"/>
  <c r="T27" i="9" a="1"/>
  <c r="T27" i="9" s="1"/>
  <c r="B15" i="9"/>
  <c r="C15" i="9" s="1"/>
  <c r="D92" i="9"/>
  <c r="S13" i="9" s="1" a="1"/>
  <c r="S13" i="9" s="1"/>
  <c r="F103" i="9"/>
  <c r="U24" i="9" s="1" a="1"/>
  <c r="U24" i="9" s="1"/>
  <c r="B4" i="9"/>
  <c r="E4" i="9" s="1"/>
  <c r="H100" i="9"/>
  <c r="W21" i="9" s="1" a="1"/>
  <c r="W21" i="9" s="1"/>
  <c r="L67" i="9"/>
  <c r="L54" i="9"/>
  <c r="G64" i="9" a="1"/>
  <c r="G64" i="9" s="1"/>
  <c r="I57" i="9" a="1"/>
  <c r="I57" i="9" s="1"/>
  <c r="E87" i="9"/>
  <c r="T8" i="9" s="1" a="1"/>
  <c r="T8" i="9" s="1"/>
  <c r="E93" i="9"/>
  <c r="T14" i="9" s="1" a="1"/>
  <c r="T14" i="9" s="1"/>
  <c r="D101" i="9"/>
  <c r="S22" i="9" s="1" a="1"/>
  <c r="S22" i="9" s="1"/>
  <c r="D91" i="9"/>
  <c r="S12" i="9" s="1" a="1"/>
  <c r="S12" i="9" s="1"/>
  <c r="J58" i="9" a="1"/>
  <c r="J58" i="9" s="1"/>
  <c r="L62" i="9"/>
  <c r="F96" i="9"/>
  <c r="U17" i="9" s="1" a="1"/>
  <c r="U17" i="9" s="1"/>
  <c r="D95" i="9"/>
  <c r="S16" i="9" s="1" a="1"/>
  <c r="S16" i="9" s="1"/>
  <c r="I99" i="9"/>
  <c r="X20" i="9" s="1" a="1"/>
  <c r="X20" i="9" s="1"/>
  <c r="U26" i="9" a="1"/>
  <c r="U26" i="9" s="1"/>
  <c r="C90" i="9"/>
  <c r="R11" i="9" s="1" a="1"/>
  <c r="R11" i="9" s="1"/>
  <c r="C97" i="9"/>
  <c r="R18" i="9" s="1" a="1"/>
  <c r="R18" i="9" s="1"/>
  <c r="D88" i="9"/>
  <c r="S9" i="9" s="1" a="1"/>
  <c r="S9" i="9" s="1"/>
  <c r="J65" i="9" a="1"/>
  <c r="J65" i="9" s="1"/>
  <c r="F92" i="9"/>
  <c r="U13" i="9" s="1" a="1"/>
  <c r="U13" i="9" s="1"/>
  <c r="J50" i="9" a="1"/>
  <c r="J50" i="9" s="1"/>
  <c r="I55" i="9" a="1"/>
  <c r="I55" i="9" s="1"/>
  <c r="E102" i="9"/>
  <c r="T23" i="9" s="1" a="1"/>
  <c r="T23" i="9" s="1"/>
  <c r="B6" i="9"/>
  <c r="C6" i="9" s="1"/>
  <c r="J63" i="9" a="1"/>
  <c r="J63" i="9" s="1"/>
  <c r="I63" i="9" a="1"/>
  <c r="I63" i="9" s="1"/>
  <c r="G92" i="9"/>
  <c r="V13" i="9" s="1" a="1"/>
  <c r="V13" i="9" s="1"/>
  <c r="J103" i="9"/>
  <c r="Y24" i="9" s="1" a="1"/>
  <c r="Y24" i="9" s="1"/>
  <c r="G52" i="9" a="1"/>
  <c r="G52" i="9" s="1"/>
  <c r="C101" i="9"/>
  <c r="R22" i="9" s="1" a="1"/>
  <c r="R22" i="9" s="1"/>
  <c r="G66" i="9" a="1"/>
  <c r="G66" i="9" s="1"/>
  <c r="H62" i="9" a="1"/>
  <c r="H62" i="9" s="1"/>
  <c r="I67" i="9" a="1"/>
  <c r="I67" i="9" s="1"/>
  <c r="L55" i="9"/>
  <c r="L72" i="9"/>
  <c r="F97" i="9"/>
  <c r="U18" i="9" s="1" a="1"/>
  <c r="U18" i="9" s="1"/>
  <c r="V27" i="9" a="1"/>
  <c r="V27" i="9" s="1"/>
  <c r="L63" i="9"/>
  <c r="H90" i="9"/>
  <c r="W11" i="9" s="1" a="1"/>
  <c r="W11" i="9" s="1"/>
  <c r="A13" i="20"/>
  <c r="G86" i="9"/>
  <c r="V7" i="9" s="1" a="1"/>
  <c r="V7" i="9" s="1"/>
  <c r="G97" i="9"/>
  <c r="V18" i="9" s="1" a="1"/>
  <c r="V18" i="9" s="1"/>
  <c r="H53" i="9" a="1"/>
  <c r="H53" i="9" s="1"/>
  <c r="D86" i="9"/>
  <c r="S7" i="9" s="1" a="1"/>
  <c r="S7" i="9" s="1"/>
  <c r="F102" i="9"/>
  <c r="U23" i="9" s="1" a="1"/>
  <c r="U23" i="9" s="1"/>
  <c r="L91" i="9"/>
  <c r="AA12" i="9" s="1"/>
  <c r="B9" i="20" s="1"/>
  <c r="I103" i="9"/>
  <c r="X24" i="9" s="1" a="1"/>
  <c r="X24" i="9" s="1"/>
  <c r="H93" i="9"/>
  <c r="W14" i="9" s="1" a="1"/>
  <c r="W14" i="9" s="1"/>
  <c r="G87" i="9"/>
  <c r="V8" i="9" s="1" a="1"/>
  <c r="V8" i="9" s="1"/>
  <c r="T25" i="9" a="1"/>
  <c r="T25" i="9" s="1"/>
  <c r="G89" i="9"/>
  <c r="V10" i="9" s="1" a="1"/>
  <c r="V10" i="9" s="1"/>
  <c r="L95" i="9"/>
  <c r="AA16" i="9" s="1"/>
  <c r="B13" i="20" s="1"/>
  <c r="C88" i="9"/>
  <c r="R9" i="9" s="1" a="1"/>
  <c r="R9" i="9" s="1"/>
  <c r="W25" i="9" a="1"/>
  <c r="W25" i="9" s="1"/>
  <c r="G98" i="9"/>
  <c r="V19" i="9" s="1" a="1"/>
  <c r="V19" i="9" s="1"/>
  <c r="L50" i="9"/>
  <c r="H66" i="9" a="1"/>
  <c r="H66" i="9" s="1"/>
  <c r="L96" i="9"/>
  <c r="AA17" i="9" s="1"/>
  <c r="B14" i="20" s="1"/>
  <c r="A9" i="20"/>
  <c r="L102" i="9"/>
  <c r="AA23" i="9" s="1"/>
  <c r="B20" i="20" s="1"/>
  <c r="Y28" i="9" a="1"/>
  <c r="Y28" i="9" s="1"/>
  <c r="L58" i="9"/>
  <c r="S26" i="9" a="1"/>
  <c r="S26" i="9" s="1"/>
  <c r="L71" i="9"/>
  <c r="J61" i="9" a="1"/>
  <c r="J61" i="9" s="1"/>
  <c r="B5" i="9"/>
  <c r="C5" i="9" s="1"/>
  <c r="C103" i="9"/>
  <c r="R24" i="9" s="1" a="1"/>
  <c r="R24" i="9" s="1"/>
  <c r="H96" i="9"/>
  <c r="W17" i="9" s="1" a="1"/>
  <c r="W17" i="9" s="1"/>
  <c r="H72" i="9" a="1"/>
  <c r="H72" i="9" s="1"/>
  <c r="H61" i="9" a="1"/>
  <c r="H61" i="9" s="1"/>
  <c r="L99" i="9"/>
  <c r="AA20" i="9" s="1"/>
  <c r="B17" i="20" s="1"/>
  <c r="G57" i="9" a="1"/>
  <c r="G57" i="9" s="1"/>
  <c r="E86" i="9"/>
  <c r="T7" i="9" s="1" a="1"/>
  <c r="T7" i="9" s="1"/>
  <c r="J69" i="9" a="1"/>
  <c r="J69" i="9" s="1"/>
  <c r="E94" i="9"/>
  <c r="T15" i="9" s="1" a="1"/>
  <c r="T15" i="9" s="1"/>
  <c r="E101" i="9"/>
  <c r="T22" i="9" s="1" a="1"/>
  <c r="T22" i="9" s="1"/>
  <c r="I62" i="9" a="1"/>
  <c r="I62" i="9" s="1"/>
  <c r="H63" i="9" a="1"/>
  <c r="H63" i="9" s="1"/>
  <c r="H59" i="9" a="1"/>
  <c r="H59" i="9" s="1"/>
  <c r="B3" i="9"/>
  <c r="J51" i="9" a="1"/>
  <c r="J51" i="9" s="1"/>
  <c r="D96" i="9"/>
  <c r="S17" i="9" s="1" a="1"/>
  <c r="S17" i="9" s="1"/>
  <c r="G95" i="9"/>
  <c r="V16" i="9" s="1" a="1"/>
  <c r="V16" i="9" s="1"/>
  <c r="D97" i="9"/>
  <c r="S18" i="9" s="1" a="1"/>
  <c r="S18" i="9" s="1"/>
  <c r="I102" i="9"/>
  <c r="X23" i="9" s="1" a="1"/>
  <c r="X23" i="9" s="1"/>
  <c r="F87" i="9"/>
  <c r="U8" i="9" s="1" a="1"/>
  <c r="U8" i="9" s="1"/>
  <c r="H67" i="9" a="1"/>
  <c r="H67" i="9" s="1"/>
  <c r="F91" i="9"/>
  <c r="U12" i="9" s="1" a="1"/>
  <c r="U12" i="9" s="1"/>
  <c r="G96" i="9"/>
  <c r="V17" i="9" s="1" a="1"/>
  <c r="V17" i="9" s="1"/>
  <c r="E89" i="9"/>
  <c r="T10" i="9" s="1" a="1"/>
  <c r="T10" i="9" s="1"/>
  <c r="F101" i="9"/>
  <c r="U22" i="9" s="1" a="1"/>
  <c r="U22" i="9" s="1"/>
  <c r="J70" i="9" a="1"/>
  <c r="J70" i="9" s="1"/>
  <c r="I66" i="9" a="1"/>
  <c r="I66" i="9" s="1"/>
  <c r="U25" i="9" a="1"/>
  <c r="U25" i="9" s="1"/>
  <c r="L60" i="9"/>
  <c r="C99" i="9"/>
  <c r="R20" i="9" s="1" a="1"/>
  <c r="R20" i="9" s="1"/>
  <c r="T26" i="9" a="1"/>
  <c r="T26" i="9" s="1"/>
  <c r="I94" i="9"/>
  <c r="X15" i="9" s="1" a="1"/>
  <c r="X15" i="9" s="1"/>
  <c r="H86" i="9"/>
  <c r="W7" i="9" s="1" a="1"/>
  <c r="W7" i="9" s="1"/>
  <c r="G103" i="9"/>
  <c r="V24" i="9" s="1" a="1"/>
  <c r="V24" i="9" s="1"/>
  <c r="G58" i="9" a="1"/>
  <c r="G58" i="9" s="1"/>
  <c r="C102" i="9"/>
  <c r="R23" i="9" s="1" a="1"/>
  <c r="R23" i="9" s="1"/>
  <c r="L57" i="9"/>
  <c r="L101" i="9"/>
  <c r="AA22" i="9" s="1"/>
  <c r="B19" i="20" s="1"/>
  <c r="H64" i="9" a="1"/>
  <c r="H64" i="9" s="1"/>
  <c r="J64" i="9" a="1"/>
  <c r="J64" i="9" s="1"/>
  <c r="E100" i="9"/>
  <c r="T21" i="9" s="1" a="1"/>
  <c r="T21" i="9" s="1"/>
  <c r="H69" i="9" a="1"/>
  <c r="H69" i="9" s="1"/>
  <c r="G100" i="9"/>
  <c r="X27" i="9" a="1"/>
  <c r="X27" i="9" s="1"/>
  <c r="H54" i="9" a="1"/>
  <c r="H54" i="9" s="1"/>
  <c r="J98" i="9"/>
  <c r="Y19" i="9" s="1" a="1"/>
  <c r="Y19" i="9" s="1"/>
  <c r="F90" i="9"/>
  <c r="U11" i="9" s="1" a="1"/>
  <c r="U11" i="9" s="1"/>
  <c r="G94" i="9"/>
  <c r="V15" i="9" s="1" a="1"/>
  <c r="V15" i="9" s="1"/>
  <c r="H97" i="9"/>
  <c r="W18" i="9" s="1" a="1"/>
  <c r="W18" i="9" s="1"/>
  <c r="D94" i="9"/>
  <c r="S15" i="9" s="1" a="1"/>
  <c r="S15" i="9" s="1"/>
  <c r="G90" i="9"/>
  <c r="V11" i="9" s="1" a="1"/>
  <c r="V11" i="9" s="1"/>
  <c r="D100" i="9"/>
  <c r="S21" i="9" s="1" a="1"/>
  <c r="S21" i="9" s="1"/>
  <c r="E98" i="9"/>
  <c r="T19" i="9" s="1" a="1"/>
  <c r="T19" i="9" s="1"/>
  <c r="H99" i="9"/>
  <c r="W20" i="9" s="1" a="1"/>
  <c r="W20" i="9" s="1"/>
  <c r="C98" i="9"/>
  <c r="R19" i="9" s="1" a="1"/>
  <c r="R19" i="9" s="1"/>
  <c r="I96" i="9"/>
  <c r="X17" i="9" s="1" a="1"/>
  <c r="X17" i="9" s="1"/>
  <c r="J96" i="9"/>
  <c r="Y17" i="9" s="1" a="1"/>
  <c r="Y17" i="9" s="1"/>
  <c r="I56" i="9" a="1"/>
  <c r="I56" i="9" s="1"/>
  <c r="J67" i="9" a="1"/>
  <c r="J67" i="9" s="1"/>
  <c r="I53" i="9" a="1"/>
  <c r="I53" i="9" s="1"/>
  <c r="H70" i="9" a="1"/>
  <c r="H70" i="9" s="1"/>
  <c r="W28" i="9" a="1"/>
  <c r="W28" i="9" s="1"/>
  <c r="I50" i="9" a="1"/>
  <c r="I50" i="9" s="1"/>
  <c r="H101" i="9"/>
  <c r="W22" i="9" s="1" a="1"/>
  <c r="W22" i="9" s="1"/>
  <c r="G72" i="9" a="1"/>
  <c r="G72" i="9" s="1"/>
  <c r="B13" i="9"/>
  <c r="E13" i="9" s="1"/>
  <c r="G61" i="9" a="1"/>
  <c r="G61" i="9" s="1"/>
  <c r="R27" i="9" a="1"/>
  <c r="R27" i="9" s="1"/>
  <c r="I70" i="9" a="1"/>
  <c r="I70" i="9" s="1"/>
  <c r="J100" i="9"/>
  <c r="Y21" i="9" s="1" a="1"/>
  <c r="Y21" i="9" s="1"/>
  <c r="L56" i="9"/>
  <c r="G99" i="9"/>
  <c r="V20" i="9" s="1" a="1"/>
  <c r="V20" i="9" s="1"/>
  <c r="G53" i="9" a="1"/>
  <c r="G53" i="9" s="1"/>
  <c r="J87" i="9"/>
  <c r="Y8" i="9" s="1" a="1"/>
  <c r="Y8" i="9" s="1"/>
  <c r="E91" i="9"/>
  <c r="T12" i="9" s="1" a="1"/>
  <c r="T12" i="9" s="1"/>
  <c r="C91" i="9"/>
  <c r="R12" i="9" s="1" a="1"/>
  <c r="R12" i="9" s="1"/>
  <c r="L86" i="9"/>
  <c r="AA7" i="9" s="1"/>
  <c r="B4" i="20" s="1"/>
  <c r="D89" i="9"/>
  <c r="S10" i="9" s="1" a="1"/>
  <c r="S10" i="9" s="1"/>
  <c r="J89" i="9"/>
  <c r="Y10" i="9" s="1" a="1"/>
  <c r="Y10" i="9" s="1"/>
  <c r="I85" i="9"/>
  <c r="X6" i="9" s="1" a="1"/>
  <c r="X6" i="9" s="1"/>
  <c r="G88" i="9"/>
  <c r="V9" i="9" s="1" a="1"/>
  <c r="V9" i="9" s="1"/>
  <c r="E85" i="9"/>
  <c r="T6" i="9" s="1" a="1"/>
  <c r="T6" i="9" s="1"/>
  <c r="E95" i="9"/>
  <c r="T16" i="9" s="1" a="1"/>
  <c r="T16" i="9" s="1"/>
  <c r="W26" i="9" a="1"/>
  <c r="W26" i="9" s="1"/>
  <c r="H56" i="9" a="1"/>
  <c r="H56" i="9" s="1"/>
  <c r="L89" i="9"/>
  <c r="AA10" i="9" s="1"/>
  <c r="B7" i="20" s="1"/>
  <c r="F93" i="9"/>
  <c r="U14" i="9" s="1" a="1"/>
  <c r="U14" i="9" s="1"/>
  <c r="E92" i="9"/>
  <c r="T13" i="9" s="1" a="1"/>
  <c r="T13" i="9" s="1"/>
  <c r="R28" i="9" a="1"/>
  <c r="R28" i="9" s="1"/>
  <c r="E88" i="9"/>
  <c r="T9" i="9" s="1" a="1"/>
  <c r="T9" i="9" s="1"/>
  <c r="J93" i="9"/>
  <c r="Y14" i="9" s="1" a="1"/>
  <c r="Y14" i="9" s="1"/>
  <c r="J56" i="9" a="1"/>
  <c r="J56" i="9" s="1"/>
  <c r="B10" i="9"/>
  <c r="E10" i="9" s="1"/>
  <c r="H57" i="9" a="1"/>
  <c r="H57" i="9" s="1"/>
  <c r="F100" i="9"/>
  <c r="U21" i="9" s="1" a="1"/>
  <c r="U21" i="9" s="1"/>
  <c r="J88" i="9"/>
  <c r="Y9" i="9" s="1" a="1"/>
  <c r="Y9" i="9" s="1"/>
  <c r="L92" i="9"/>
  <c r="AA13" i="9" s="1"/>
  <c r="B10" i="20" s="1"/>
  <c r="C86" i="9"/>
  <c r="R7" i="9" s="1" a="1"/>
  <c r="R7" i="9" s="1"/>
  <c r="I65" i="9" a="1"/>
  <c r="I65" i="9" s="1"/>
  <c r="B12" i="9"/>
  <c r="C12" i="9" s="1"/>
  <c r="F98" i="9"/>
  <c r="U19" i="9" s="1" a="1"/>
  <c r="U19" i="9" s="1"/>
  <c r="J101" i="9"/>
  <c r="Y22" i="9" s="1" a="1"/>
  <c r="Y22" i="9" s="1"/>
  <c r="H91" i="9"/>
  <c r="W12" i="9" s="1" a="1"/>
  <c r="W12" i="9" s="1"/>
  <c r="F89" i="9"/>
  <c r="U10" i="9" s="1" a="1"/>
  <c r="U10" i="9" s="1"/>
  <c r="C92" i="9"/>
  <c r="R13" i="9" s="1" a="1"/>
  <c r="R13" i="9" s="1"/>
  <c r="G65" i="9" a="1"/>
  <c r="G65" i="9" s="1"/>
  <c r="J91" i="9"/>
  <c r="Y12" i="9" s="1" a="1"/>
  <c r="Y12" i="9" s="1"/>
  <c r="C96" i="9"/>
  <c r="R17" i="9" s="1" a="1"/>
  <c r="R17" i="9" s="1"/>
  <c r="D103" i="9"/>
  <c r="S24" i="9" s="1" a="1"/>
  <c r="S24" i="9" s="1"/>
  <c r="G71" i="9" a="1"/>
  <c r="G71" i="9" s="1"/>
  <c r="H92" i="9"/>
  <c r="W13" i="9" s="1" a="1"/>
  <c r="W13" i="9" s="1"/>
  <c r="I101" i="9"/>
  <c r="X22" i="9" s="1" a="1"/>
  <c r="X22" i="9" s="1"/>
  <c r="L52" i="9"/>
  <c r="E103" i="9"/>
  <c r="T24" i="9" s="1" a="1"/>
  <c r="T24" i="9" s="1"/>
  <c r="I98" i="9"/>
  <c r="X19" i="9" s="1" a="1"/>
  <c r="X19" i="9" s="1"/>
  <c r="H103" i="9"/>
  <c r="W24" i="9" s="1" a="1"/>
  <c r="W24" i="9" s="1"/>
  <c r="L61" i="9"/>
  <c r="H95" i="9"/>
  <c r="W16" i="9" s="1" a="1"/>
  <c r="W16" i="9" s="1"/>
  <c r="U27" i="9" a="1"/>
  <c r="U27" i="9" s="1"/>
  <c r="E99" i="9"/>
  <c r="T20" i="9" s="1" a="1"/>
  <c r="T20" i="9" s="1"/>
  <c r="L69" i="9"/>
  <c r="J54" i="9" a="1"/>
  <c r="J54" i="9" s="1"/>
  <c r="B17" i="9"/>
  <c r="E17" i="9" s="1"/>
  <c r="F95" i="9"/>
  <c r="U16" i="9" s="1" a="1"/>
  <c r="U16" i="9" s="1"/>
  <c r="G101" i="9"/>
  <c r="V22" i="9" s="1" a="1"/>
  <c r="V22" i="9" s="1"/>
  <c r="I93" i="9"/>
  <c r="X14" i="9" s="1" a="1"/>
  <c r="X14" i="9" s="1"/>
  <c r="F88" i="9"/>
  <c r="U9" i="9" s="1" a="1"/>
  <c r="U9" i="9" s="1"/>
  <c r="C85" i="9"/>
  <c r="R6" i="9" s="1" a="1"/>
  <c r="R6" i="9" s="1"/>
  <c r="B9" i="9"/>
  <c r="E9" i="9" s="1"/>
  <c r="G59" i="9" a="1"/>
  <c r="G59" i="9" s="1"/>
  <c r="AA27" i="9"/>
  <c r="B24" i="20" s="1"/>
  <c r="A25" i="20"/>
  <c r="AA28" i="9"/>
  <c r="B25" i="20" s="1"/>
  <c r="A14" i="20"/>
  <c r="A10" i="20"/>
  <c r="C18" i="9"/>
  <c r="A12" i="20"/>
  <c r="A4" i="21"/>
  <c r="B4" i="21" s="1"/>
  <c r="A7" i="21"/>
  <c r="B7" i="21" s="1"/>
  <c r="A13" i="21"/>
  <c r="B13" i="21" s="1"/>
  <c r="A24" i="20"/>
  <c r="A18" i="21"/>
  <c r="B18" i="21" s="1"/>
  <c r="A8" i="20"/>
  <c r="A20" i="21"/>
  <c r="B20" i="21" s="1"/>
  <c r="A5" i="20"/>
  <c r="Z35" i="9"/>
  <c r="AB35" i="9" s="1"/>
  <c r="A17" i="20"/>
  <c r="A19" i="21"/>
  <c r="B19" i="21" s="1"/>
  <c r="A4" i="20"/>
  <c r="A7" i="20"/>
  <c r="A21" i="21"/>
  <c r="B21" i="21" s="1"/>
  <c r="A21" i="20"/>
  <c r="A6" i="21"/>
  <c r="B6" i="21" s="1"/>
  <c r="A17" i="21"/>
  <c r="B17" i="21" s="1"/>
  <c r="A16" i="21"/>
  <c r="B16" i="21" s="1"/>
  <c r="A8" i="21"/>
  <c r="B8" i="21" s="1"/>
  <c r="AA25" i="9"/>
  <c r="B22" i="20" s="1"/>
  <c r="W27" i="9" a="1"/>
  <c r="W27" i="9" s="1"/>
  <c r="A9" i="21"/>
  <c r="B9" i="21" s="1"/>
  <c r="Q5" i="9"/>
  <c r="A11" i="21"/>
  <c r="B11" i="21" s="1"/>
  <c r="A19" i="20"/>
  <c r="A11" i="20"/>
  <c r="A15" i="20"/>
  <c r="A23" i="20"/>
  <c r="A6" i="20"/>
  <c r="AA26" i="9"/>
  <c r="B23" i="20" s="1"/>
  <c r="A10" i="21"/>
  <c r="B10" i="21" s="1"/>
  <c r="A16" i="20"/>
  <c r="A12" i="21"/>
  <c r="B12" i="21" s="1"/>
  <c r="A3" i="20"/>
  <c r="G70" i="9" a="1"/>
  <c r="G70" i="9" s="1"/>
  <c r="A20" i="20"/>
  <c r="A14" i="21"/>
  <c r="B14" i="21" s="1"/>
  <c r="A5" i="21"/>
  <c r="B5" i="21" s="1"/>
  <c r="AA9" i="9"/>
  <c r="B6" i="20" s="1"/>
  <c r="A3" i="21"/>
  <c r="B3" i="21" s="1"/>
  <c r="A18" i="20"/>
  <c r="A22" i="20"/>
  <c r="Z34" i="9"/>
  <c r="AB34" i="9" s="1"/>
  <c r="V26" i="9" a="1"/>
  <c r="V26" i="9" s="1"/>
  <c r="G56" i="9" a="1"/>
  <c r="G56" i="9" s="1"/>
  <c r="K78" i="9"/>
  <c r="M78" i="9" s="1"/>
  <c r="H71" i="9" a="1"/>
  <c r="H71" i="9" s="1"/>
  <c r="V25" i="9" a="1"/>
  <c r="V25" i="9" s="1"/>
  <c r="G69" i="9" a="1"/>
  <c r="G69" i="9" s="1"/>
  <c r="G51" i="9" a="1"/>
  <c r="G51" i="9" s="1"/>
  <c r="Z32" i="9"/>
  <c r="AB32" i="9" s="1"/>
  <c r="H50" i="9" a="1"/>
  <c r="H50" i="9" s="1"/>
  <c r="H60" i="9" a="1"/>
  <c r="H60" i="9" s="1"/>
  <c r="Z31" i="9"/>
  <c r="AB31" i="9" s="1"/>
  <c r="C28" i="20" s="1"/>
  <c r="G67" i="9" a="1"/>
  <c r="G67" i="9" s="1"/>
  <c r="K184" i="1"/>
  <c r="H68" i="9" a="1"/>
  <c r="H68" i="9" s="1"/>
  <c r="G55" i="9" a="1"/>
  <c r="G55" i="9" s="1"/>
  <c r="K77" i="9"/>
  <c r="M77" i="9" s="1"/>
  <c r="H51" i="9" a="1"/>
  <c r="H51" i="9" s="1"/>
  <c r="K76" i="9"/>
  <c r="M76" i="9" s="1"/>
  <c r="H65" i="9" a="1"/>
  <c r="H65" i="9" s="1"/>
  <c r="K75" i="9"/>
  <c r="M75" i="9" s="1"/>
  <c r="K74" i="9"/>
  <c r="M74" i="9" s="1"/>
  <c r="Z33" i="9"/>
  <c r="AB33" i="9" s="1"/>
  <c r="Z30" i="9"/>
  <c r="AB30" i="9" s="1"/>
  <c r="C27" i="20" s="1"/>
  <c r="G54" i="9" a="1"/>
  <c r="G54" i="9" s="1"/>
  <c r="G60" i="9" a="1"/>
  <c r="G60" i="9" s="1"/>
  <c r="J184" i="1" a="1"/>
  <c r="J184" i="1" s="1"/>
  <c r="V12" i="9" a="1"/>
  <c r="V12" i="9" s="1"/>
  <c r="D2" i="2"/>
  <c r="F287" i="17" l="1"/>
  <c r="Z29" i="9"/>
  <c r="K73" i="9"/>
  <c r="F38" i="18"/>
  <c r="C11" i="8"/>
  <c r="C14" i="8" s="1"/>
  <c r="C4" i="10" s="1"/>
  <c r="C15" i="10" s="1"/>
  <c r="C17" i="10" s="1"/>
  <c r="M73" i="9"/>
  <c r="H122" i="1"/>
  <c r="H118" i="1"/>
  <c r="H154" i="1"/>
  <c r="H147" i="1"/>
  <c r="H96" i="1"/>
  <c r="H152" i="1"/>
  <c r="H100" i="1"/>
  <c r="AB29" i="9"/>
  <c r="C26" i="20" s="1"/>
  <c r="F49" i="9" a="1"/>
  <c r="F49" i="9" s="1"/>
  <c r="E15" i="9"/>
  <c r="E11" i="9"/>
  <c r="G49" i="9" a="1"/>
  <c r="G49" i="9" s="1"/>
  <c r="L84" i="9"/>
  <c r="AA5" i="9" s="1"/>
  <c r="B2" i="20" s="1"/>
  <c r="E49" i="9" a="1"/>
  <c r="E49" i="9" s="1"/>
  <c r="J49" i="9" a="1"/>
  <c r="J49" i="9" s="1"/>
  <c r="C12" i="19" a="1"/>
  <c r="C12" i="19" s="1"/>
  <c r="K99" i="9"/>
  <c r="M99" i="9" s="1"/>
  <c r="L49" i="9"/>
  <c r="I49" i="9" a="1"/>
  <c r="I49" i="9" s="1"/>
  <c r="E6" i="9"/>
  <c r="C16" i="9"/>
  <c r="E8" i="9"/>
  <c r="C4" i="9"/>
  <c r="E14" i="9"/>
  <c r="K52" i="9"/>
  <c r="M52" i="9" s="1"/>
  <c r="K100" i="9"/>
  <c r="M100" i="9" s="1"/>
  <c r="K66" i="9"/>
  <c r="M66" i="9" s="1"/>
  <c r="C10" i="9"/>
  <c r="C13" i="9"/>
  <c r="Z28" i="9"/>
  <c r="AB28" i="9" s="1"/>
  <c r="C25" i="20" s="1"/>
  <c r="Z25" i="9"/>
  <c r="AB25" i="9" s="1"/>
  <c r="C22" i="20" s="1"/>
  <c r="E5" i="9"/>
  <c r="Z20" i="9"/>
  <c r="AB20" i="9" s="1"/>
  <c r="C17" i="20" s="1"/>
  <c r="C14" i="19" a="1"/>
  <c r="C14" i="19" s="1"/>
  <c r="E7" i="9" a="1"/>
  <c r="E7" i="9" s="1"/>
  <c r="C84" i="9"/>
  <c r="R5" i="9" s="1" a="1"/>
  <c r="R5" i="9" s="1"/>
  <c r="D8" i="19" s="1" a="1"/>
  <c r="D8" i="19" s="1"/>
  <c r="H84" i="9"/>
  <c r="W5" i="9" s="1" a="1"/>
  <c r="W5" i="9" s="1"/>
  <c r="H49" i="9" a="1"/>
  <c r="H49" i="9" s="1"/>
  <c r="G84" i="9"/>
  <c r="V5" i="9" s="1" a="1"/>
  <c r="V5" i="9" s="1"/>
  <c r="I84" i="9"/>
  <c r="X5" i="9" s="1" a="1"/>
  <c r="X5" i="9" s="1"/>
  <c r="S5" i="9" a="1"/>
  <c r="S5" i="9" s="1"/>
  <c r="D10" i="19" s="1" a="1"/>
  <c r="D10" i="19" s="1"/>
  <c r="D49" i="9" a="1"/>
  <c r="D49" i="9" s="1"/>
  <c r="E84" i="9"/>
  <c r="T5" i="9" s="1" a="1"/>
  <c r="T5" i="9" s="1"/>
  <c r="D12" i="19" s="1" a="1"/>
  <c r="D12" i="19" s="1"/>
  <c r="C49" i="9" a="1"/>
  <c r="C49" i="9" s="1"/>
  <c r="B2" i="9"/>
  <c r="C2" i="9" s="1"/>
  <c r="J84" i="9"/>
  <c r="Y5" i="9" s="1" a="1"/>
  <c r="Y5" i="9" s="1"/>
  <c r="F84" i="9"/>
  <c r="U5" i="9" s="1" a="1"/>
  <c r="U5" i="9" s="1"/>
  <c r="D14" i="19" s="1" a="1"/>
  <c r="D14" i="19" s="1"/>
  <c r="K68" i="9"/>
  <c r="M68" i="9" s="1"/>
  <c r="K56" i="9"/>
  <c r="M56" i="9" s="1"/>
  <c r="Z13" i="9"/>
  <c r="AB13" i="9" s="1"/>
  <c r="C10" i="20" s="1"/>
  <c r="K95" i="9"/>
  <c r="M95" i="9" s="1"/>
  <c r="K63" i="9"/>
  <c r="M63" i="9" s="1"/>
  <c r="V21" i="9" a="1"/>
  <c r="V21" i="9" s="1"/>
  <c r="Z21" i="9" s="1"/>
  <c r="AB21" i="9" s="1"/>
  <c r="C18" i="20" s="1"/>
  <c r="K88" i="9"/>
  <c r="M88" i="9" s="1"/>
  <c r="Z22" i="9"/>
  <c r="AB22" i="9" s="1"/>
  <c r="C19" i="20" s="1"/>
  <c r="K61" i="9"/>
  <c r="M61" i="9" s="1"/>
  <c r="K62" i="9"/>
  <c r="M62" i="9" s="1"/>
  <c r="K92" i="9"/>
  <c r="M92" i="9" s="1"/>
  <c r="K69" i="9"/>
  <c r="M69" i="9" s="1"/>
  <c r="K58" i="9"/>
  <c r="M58" i="9" s="1"/>
  <c r="Z23" i="9"/>
  <c r="AB23" i="9" s="1"/>
  <c r="C20" i="20" s="1"/>
  <c r="K102" i="9"/>
  <c r="M102" i="9" s="1"/>
  <c r="Z11" i="9"/>
  <c r="AB11" i="9" s="1"/>
  <c r="C8" i="20" s="1"/>
  <c r="K64" i="9"/>
  <c r="M64" i="9" s="1"/>
  <c r="K71" i="9"/>
  <c r="M71" i="9" s="1"/>
  <c r="Z19" i="9"/>
  <c r="AB19" i="9" s="1"/>
  <c r="C16" i="20" s="1"/>
  <c r="K65" i="9"/>
  <c r="M65" i="9" s="1"/>
  <c r="K55" i="9"/>
  <c r="M55" i="9" s="1"/>
  <c r="Z18" i="9"/>
  <c r="AB18" i="9" s="1"/>
  <c r="C15" i="20" s="1"/>
  <c r="Z10" i="9"/>
  <c r="AB10" i="9" s="1"/>
  <c r="C7" i="20" s="1"/>
  <c r="Z27" i="9"/>
  <c r="AB27" i="9" s="1"/>
  <c r="C24" i="20" s="1"/>
  <c r="Z8" i="9"/>
  <c r="AB8" i="9" s="1"/>
  <c r="C5" i="20" s="1"/>
  <c r="C9" i="9"/>
  <c r="K97" i="9"/>
  <c r="M97" i="9" s="1"/>
  <c r="K89" i="9"/>
  <c r="M89" i="9" s="1"/>
  <c r="C17" i="9"/>
  <c r="K53" i="9"/>
  <c r="M53" i="9" s="1"/>
  <c r="K57" i="9"/>
  <c r="M57" i="9" s="1"/>
  <c r="K101" i="9"/>
  <c r="M101" i="9" s="1"/>
  <c r="K86" i="9"/>
  <c r="M86" i="9" s="1"/>
  <c r="K94" i="9"/>
  <c r="M94" i="9" s="1"/>
  <c r="Z26" i="9"/>
  <c r="AB26" i="9" s="1"/>
  <c r="C23" i="20" s="1"/>
  <c r="Z24" i="9"/>
  <c r="AB24" i="9" s="1"/>
  <c r="C21" i="20" s="1"/>
  <c r="K72" i="9"/>
  <c r="M72" i="9" s="1"/>
  <c r="Z9" i="9"/>
  <c r="AB9" i="9" s="1"/>
  <c r="C6" i="20" s="1"/>
  <c r="K85" i="9"/>
  <c r="M85" i="9" s="1"/>
  <c r="K96" i="9"/>
  <c r="M96" i="9" s="1"/>
  <c r="E12" i="9"/>
  <c r="K87" i="9"/>
  <c r="M87" i="9" s="1"/>
  <c r="K67" i="9"/>
  <c r="M67" i="9" s="1"/>
  <c r="Z14" i="9"/>
  <c r="AB14" i="9" s="1"/>
  <c r="C11" i="20" s="1"/>
  <c r="Z15" i="9"/>
  <c r="AB15" i="9" s="1"/>
  <c r="C12" i="20" s="1"/>
  <c r="Z17" i="9"/>
  <c r="AB17" i="9" s="1"/>
  <c r="C14" i="20" s="1"/>
  <c r="K54" i="9"/>
  <c r="M54" i="9" s="1"/>
  <c r="K59" i="9"/>
  <c r="M59" i="9" s="1"/>
  <c r="K70" i="9"/>
  <c r="M70" i="9" s="1"/>
  <c r="K90" i="9"/>
  <c r="M90" i="9" s="1"/>
  <c r="Z6" i="9"/>
  <c r="AB6" i="9" s="1"/>
  <c r="C3" i="20" s="1"/>
  <c r="K103" i="9"/>
  <c r="M103" i="9" s="1"/>
  <c r="K93" i="9"/>
  <c r="M93" i="9" s="1"/>
  <c r="C3" i="9"/>
  <c r="E3" i="9"/>
  <c r="Z12" i="9"/>
  <c r="AB12" i="9" s="1"/>
  <c r="C9" i="20" s="1"/>
  <c r="K50" i="9"/>
  <c r="M50" i="9" s="1"/>
  <c r="K91" i="9"/>
  <c r="M91" i="9" s="1"/>
  <c r="K98" i="9"/>
  <c r="M98" i="9" s="1"/>
  <c r="Z7" i="9"/>
  <c r="AB7" i="9" s="1"/>
  <c r="C4" i="20" s="1"/>
  <c r="A2" i="20"/>
  <c r="A2" i="21"/>
  <c r="B2" i="21" s="1"/>
  <c r="Z16" i="9"/>
  <c r="AB16" i="9" s="1"/>
  <c r="C13" i="20" s="1"/>
  <c r="K51" i="9"/>
  <c r="M51" i="9" s="1"/>
  <c r="K60" i="9"/>
  <c r="M60" i="9" s="1"/>
  <c r="E12" i="19" l="1"/>
  <c r="K49" i="9"/>
  <c r="Z5" i="9"/>
  <c r="AB5" i="9" s="1"/>
  <c r="E14" i="19"/>
  <c r="E2" i="9"/>
  <c r="K84" i="9"/>
  <c r="M84" i="9" s="1"/>
  <c r="E18" i="19" a="1"/>
  <c r="E18" i="19" s="1"/>
  <c r="C23" i="9"/>
  <c r="C3" i="10" s="1"/>
  <c r="M49" i="9"/>
  <c r="C21" i="9"/>
  <c r="E16" i="19" l="1"/>
  <c r="C2" i="20"/>
  <c r="E20" i="19" a="1"/>
  <c r="E20" i="19" s="1"/>
  <c r="C11" i="10"/>
  <c r="C13"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<sst xmlns="http://schemas.openxmlformats.org/spreadsheetml/2006/main" count="1785" uniqueCount="362">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</sst>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0" borderId="0" xfId="0" applyBorder="1"/>
    <xf numFmtId="0" fontId="0" fillId="0" borderId="0" xfId="0" applyNumberFormat="1"/>
    <xf numFmtId="14" fontId="0" fillId="0" borderId="7" xfId="0" applyNumberFormat="1" applyFont="1" applyBorder="1"/>
    <xf numFmtId="0" fontId="0" fillId="0" borderId="0" xfId="0" applyBorder="1" applyAlignment="1">
      <alignment horizontal="center"/>
    </xf>
  </cellXfs>
  <cellStyles count="2">
    <cellStyle name="Comma" xfId="1" builtinId="3"/>
    <cellStyle name="Normal" xfId="0" builtinId="0"/>
  </cellStyles>
  <dxfs count="149">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628833</xdr:colOff>
      <xdr:row>188</xdr:row>
      <xdr:rowOff>138821</xdr:rowOff>
    </xdr:from>
    <xdr:to>
      <xdr:col>2</xdr:col>
      <xdr:colOff>264050</xdr:colOff>
      <xdr:row>197</xdr:row>
      <xdr:rowOff>13001</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628833" y="3477214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56423</xdr:rowOff>
    </xdr:from>
    <xdr:to>
      <xdr:col>11</xdr:col>
      <xdr:colOff>66829</xdr:colOff>
      <xdr:row>40</xdr:row>
      <xdr:rowOff>92994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7</xdr:row>
      <xdr:rowOff>43181</xdr:rowOff>
    </xdr:from>
    <xdr:to>
      <xdr:col>13</xdr:col>
      <xdr:colOff>342772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12</xdr:row>
      <xdr:rowOff>138748</xdr:rowOff>
    </xdr:from>
    <xdr:to>
      <xdr:col>14</xdr:col>
      <xdr:colOff>478515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-672015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7.001442592591" createdVersion="8" refreshedVersion="8" minRefreshableVersion="3" recordCount="270" xr:uid="{B5BDFB73-D93A-4A7A-8149-666BC190B09B}">
  <cacheSource type="worksheet">
    <worksheetSource name="Table14"/>
  </cacheSource>
  <cacheFields count="7">
    <cacheField name="Date" numFmtId="14">
      <sharedItems containsNonDate="0" containsDate="1" containsString="0" containsBlank="1" minDate="2025-10-17T00:00:00" maxDate="2025-12-05T00:00:00"/>
    </cacheField>
    <cacheField name="Party" numFmtId="0">
      <sharedItems containsBlank="1" count="72">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Zia-ullah" u="1"/>
        <s v="Closing September CF" u="1"/>
        <s v="Temp" u="1"/>
        <s v="copper" u="1"/>
        <s v="sunsuper theka" u="1"/>
        <s v="Dyes" u="1"/>
        <s v="electric bill" u="1"/>
        <s v="Shafique Ansari" u="1"/>
        <s v="Chain Acc"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5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7.00144317129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97699.34162399417"/>
    </cacheField>
    <cacheField name="Rate" numFmtId="0">
      <sharedItems containsString="0" containsBlank="1" containsNumber="1" minValue="10" maxValue="12"/>
    </cacheField>
    <cacheField name="Total" numFmtId="164">
      <sharedItems containsSemiMixedTypes="0" containsString="0" containsNumber="1" minValue="0" maxValue="2177324.433065106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7.001443402776" createdVersion="8" refreshedVersion="8" minRefreshableVersion="3" recordCount="13" xr:uid="{AC867DCC-CE64-4D1A-827D-F1F3EE10EE4E}">
  <cacheSource type="worksheet">
    <worksheetSource name="Table8"/>
  </cacheSource>
  <cacheFields count="9">
    <cacheField name="Date" numFmtId="0">
      <sharedItems containsNonDate="0" containsDate="1" containsString="0" containsBlank="1" minDate="2025-05-16T00:00:00" maxDate="2025-12-05T00:00:00" count="45">
        <d v="2025-10-17T00:00:00"/>
        <d v="2025-11-18T00:00:00"/>
        <d v="2025-11-20T00:00:00"/>
        <d v="2025-11-22T00:00:00"/>
        <d v="2025-11-25T00:00:00"/>
        <d v="2025-11-26T00:00:00"/>
        <d v="2025-11-27T00:00:00"/>
        <d v="2025-11-29T00:00:00"/>
        <d v="2025-12-02T00:00:00"/>
        <d v="2025-12-04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7.001443865738" createdVersion="8" refreshedVersion="8" minRefreshableVersion="3" recordCount="30" xr:uid="{3E5C2981-ACF5-44A9-8567-B1D65DB3A8D2}">
  <cacheSource type="worksheet">
    <worksheetSource name="Table3"/>
  </cacheSource>
  <cacheFields count="9">
    <cacheField name="Date" numFmtId="14">
      <sharedItems containsSemiMixedTypes="0" containsNonDate="0" containsDate="1" containsString="0" minDate="2025-05-02T00:00:00" maxDate="2025-12-05T00:00:00" count="122">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0">
        <s v="Malik Zaheer"/>
        <s v="Aqib"/>
        <s v="Rafaqat"/>
        <s v="Kaleem ullah"/>
        <s v="Ishaq"/>
        <s v="Aurangzeb"/>
        <s v="Irfan Punjabi"/>
        <m u="1"/>
        <s v="Shamil" u="1"/>
        <s v="Aqib Freight" u="1"/>
      </sharedItems>
    </cacheField>
    <cacheField name="Vehicle Number" numFmtId="0">
      <sharedItems containsBlank="1" containsMixedTypes="1" containsNumber="1" containsInteger="1" minValue="31" maxValue="9940" count="66">
        <s v="Closing Balance CF"/>
        <m/>
        <s v="TKL 364"/>
        <n v="9662"/>
        <s v="APL"/>
        <s v="C 8947"/>
        <s v="E 3229"/>
        <s v="E 9399"/>
        <s v="TAD 290"/>
        <s v="NAD 668"/>
        <s v="CAR 6957"/>
        <s v="LES 8294"/>
        <s v="C 1605"/>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7.001444212961"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7.001444444446" createdVersion="8" refreshedVersion="8" minRefreshableVersion="3" recordCount="184" xr:uid="{46CBB50D-3613-4E5B-8212-DD0313DCD05A}">
  <cacheSource type="worksheet">
    <worksheetSource name="Table1"/>
  </cacheSource>
  <cacheFields count="14">
    <cacheField name="Date" numFmtId="0">
      <sharedItems containsSemiMixedTypes="0" containsNonDate="0" containsDate="1" containsString="0" minDate="2025-11-18T00:00:00" maxDate="2025-12-06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s v="YING" u="1"/>
        <s v="Meow" u="1"/>
        <s v="Umer Sb" u="1"/>
        <s v="-" u="1"/>
        <s v="Sajjad" u="1"/>
        <s v="Haji Ejaz" u="1"/>
      </sharedItems>
    </cacheField>
    <cacheField name="Bill Number" numFmtId="0">
      <sharedItems containsBlank="1" containsMixedTypes="1" containsNumber="1" containsInteger="1" minValue="1091" maxValue="1192"/>
    </cacheField>
    <cacheField name="Quality" numFmtId="0">
      <sharedItems containsBlank="1"/>
    </cacheField>
    <cacheField name="Shipment Number" numFmtId="164">
      <sharedItems containsBlank="1" containsMixedTypes="1" containsNumber="1" containsInteger="1" minValue="1558" maxValue="17000" count="30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
  <r>
    <d v="2025-10-17T00:00:00"/>
    <x v="0"/>
    <m/>
    <n v="-65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m/>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97699.34162399417"/>
    <n v="10"/>
    <n v="2177324.4330651062"/>
  </r>
  <r>
    <x v="1"/>
    <n v="55855.888807607902"/>
    <n v="10"/>
    <n v="670270.66569129482"/>
  </r>
  <r>
    <x v="2"/>
    <n v="154048.09802487199"/>
    <n v="10"/>
    <n v="1667117.7761521582"/>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48665.874177029997"/>
    <m/>
    <n v="486658.74177029997"/>
  </r>
  <r>
    <x v="11"/>
    <n v="64923.189465983909"/>
    <m/>
    <n v="750839.42940746166"/>
  </r>
  <r>
    <x v="12"/>
    <n v="0"/>
    <m/>
    <n v="0"/>
  </r>
  <r>
    <x v="13"/>
    <n v="0"/>
    <m/>
    <n v="0"/>
  </r>
  <r>
    <x v="14"/>
    <n v="0"/>
    <m/>
    <n v="0"/>
  </r>
  <r>
    <x v="15"/>
    <n v="0"/>
    <m/>
    <n v="0"/>
  </r>
  <r>
    <x v="16"/>
    <n v="113423.55523043161"/>
    <m/>
    <n v="1361082.66276517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s v="Dyes"/>
    <m/>
    <m/>
    <n v="242450"/>
    <x v="1"/>
    <n v="242450"/>
    <n v="0"/>
    <m/>
  </r>
  <r>
    <x v="9"/>
    <s v="Dyes"/>
    <m/>
    <m/>
    <n v="56000"/>
    <x v="1"/>
    <n v="56000"/>
    <n v="0"/>
    <m/>
  </r>
  <r>
    <x v="10"/>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
    <m/>
    <m/>
    <m/>
    <n v="0"/>
    <n v="170000"/>
    <n v="-170000"/>
  </r>
  <r>
    <x v="15"/>
    <x v="0"/>
    <x v="12"/>
    <n v="471"/>
    <n v="810"/>
    <n v="118000"/>
    <n v="381510"/>
    <n v="418188"/>
    <n v="-3667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41.375000977540111"/>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10.836046818881343"/>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10.032275739292146"/>
    <n v="35198.427212874914"/>
    <n v="351984.27212874917"/>
    <m/>
  </r>
  <r>
    <d v="2025-11-25T00:00:00"/>
    <x v="0"/>
    <n v="1133"/>
    <s v="Chamki"/>
    <x v="28"/>
    <n v="38741"/>
    <n v="9822"/>
    <n v="50.874684120890848"/>
    <n v="8981.3460131675201"/>
    <n v="89813.460131675209"/>
    <m/>
  </r>
  <r>
    <d v="2025-11-25T00:00:00"/>
    <x v="10"/>
    <n v="1134"/>
    <s v="Chamki"/>
    <x v="29"/>
    <n v="21089"/>
    <n v="22527"/>
    <n v="2.3237740855342395"/>
    <n v="20598.939283101685"/>
    <n v="205989.39283101686"/>
    <m/>
  </r>
  <r>
    <d v="2025-11-25T00:00:00"/>
    <x v="0"/>
    <n v="1135"/>
    <s v="Chamki"/>
    <x v="28"/>
    <n v="38741"/>
    <n v="8240"/>
    <n v="50.874684120890848"/>
    <n v="7534.7476225310902"/>
    <n v="75347.476225310907"/>
    <m/>
  </r>
  <r>
    <d v="2025-11-25T00:00:00"/>
    <x v="18"/>
    <n v="1136"/>
    <s v="Chamki"/>
    <x v="26"/>
    <n v="79388"/>
    <n v="8891"/>
    <n v="10.836046818881343"/>
    <n v="8130.0292611558161"/>
    <n v="81300.292611558165"/>
    <m/>
  </r>
  <r>
    <d v="2025-11-26T00:00:00"/>
    <x v="18"/>
    <n v="1137"/>
    <s v="Chamki"/>
    <x v="26"/>
    <n v="79388"/>
    <n v="35579"/>
    <n v="10.836046818881343"/>
    <n v="32533.833211411853"/>
    <n v="325338.3321141185"/>
    <m/>
  </r>
  <r>
    <d v="2025-11-26T00:00:00"/>
    <x v="2"/>
    <n v="1138"/>
    <s v="Chamki"/>
    <x v="27"/>
    <n v="62248"/>
    <n v="6313"/>
    <n v="10.032275739292146"/>
    <n v="5772.6773957571331"/>
    <n v="57726.773957571335"/>
    <m/>
  </r>
  <r>
    <d v="2025-11-26T00:00:00"/>
    <x v="18"/>
    <n v="1139"/>
    <s v="Chamki"/>
    <x v="26"/>
    <n v="79388"/>
    <n v="11064"/>
    <n v="10.836046818881343"/>
    <n v="10117.04462326262"/>
    <n v="101170.4462326262"/>
    <m/>
  </r>
  <r>
    <d v="2025-11-27T00:00:00"/>
    <x v="21"/>
    <n v="1140"/>
    <s v="Chamki"/>
    <x v="30"/>
    <n v="9377"/>
    <n v="10015"/>
    <n v="2.3373428689272799"/>
    <n v="9157.8273591806883"/>
    <n v="91578.273591806879"/>
    <m/>
  </r>
  <r>
    <d v="2025-11-27T00:00:00"/>
    <x v="2"/>
    <n v="1141"/>
    <s v="Chamki"/>
    <x v="27"/>
    <n v="62248"/>
    <n v="16439"/>
    <n v="10.032275739292146"/>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14.606391470011204"/>
    <n v="4508.9612289685447"/>
    <n v="58616.495976591083"/>
    <m/>
  </r>
  <r>
    <d v="2025-11-29T00:00:00"/>
    <x v="1"/>
    <n v="1156"/>
    <s v="Silky"/>
    <x v="41"/>
    <n v="12051"/>
    <n v="6942"/>
    <n v="2.3823827980048407"/>
    <n v="6347.8419897585964"/>
    <n v="82521.945866861759"/>
    <m/>
  </r>
  <r>
    <d v="2025-11-29T00:00:00"/>
    <x v="0"/>
    <n v="1157"/>
    <s v="Chamki"/>
    <x v="28"/>
    <n v="38741"/>
    <n v="2751"/>
    <n v="50.874684120890848"/>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14.60639147001120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10964"/>
    <n v="41.375000977540111"/>
    <n v="10025.603511338699"/>
    <n v="130332.84564740308"/>
    <m/>
  </r>
  <r>
    <d v="2025-12-02T00:00:00"/>
    <x v="16"/>
    <n v="1169"/>
    <m/>
    <x v="0"/>
    <m/>
    <m/>
    <e v="#DIV/0!"/>
    <n v="0"/>
    <m/>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14.606391470011204"/>
    <n v="2929.7732260424291"/>
    <n v="38087.05193855158"/>
    <m/>
  </r>
  <r>
    <d v="2025-12-02T00:00:00"/>
    <x v="11"/>
    <n v="1173"/>
    <s v="Silky"/>
    <x v="34"/>
    <n v="8049"/>
    <n v="3546"/>
    <n v="3.9465025075472653"/>
    <n v="3242.5018288222386"/>
    <n v="42152.5237746891"/>
    <m/>
  </r>
  <r>
    <d v="2025-12-02T00:00:00"/>
    <x v="18"/>
    <n v="1174"/>
    <s v="Chamki"/>
    <x v="50"/>
    <n v="6327"/>
    <n v="6375"/>
    <n v="7.865166980402023"/>
    <n v="5829.3708851499641"/>
    <n v="58293.708851499643"/>
    <m/>
  </r>
  <r>
    <d v="2025-12-02T00:00:00"/>
    <x v="0"/>
    <n v="1175"/>
    <s v="Chamki"/>
    <x v="51"/>
    <n v="54197"/>
    <n v="6304"/>
    <n v="85.657123227018985"/>
    <n v="5764.4476956839799"/>
    <n v="57644.476956839797"/>
    <m/>
  </r>
  <r>
    <d v="2025-12-02T00:00:00"/>
    <x v="20"/>
    <n v="1176"/>
    <s v="Chamki"/>
    <x v="52"/>
    <n v="28367"/>
    <n v="3396"/>
    <n v="89.052983533907863"/>
    <n v="3105.3401609363573"/>
    <n v="31053.401609363573"/>
    <m/>
  </r>
  <r>
    <d v="2025-12-02T00:00:00"/>
    <x v="0"/>
    <n v="1177"/>
    <s v="Chamki"/>
    <x v="51"/>
    <n v="54197"/>
    <n v="2197"/>
    <n v="85.657123227018985"/>
    <n v="2008.9612289685444"/>
    <n v="20089.612289685443"/>
    <m/>
  </r>
  <r>
    <d v="2025-12-03T00:00:00"/>
    <x v="0"/>
    <n v="1178"/>
    <s v="Chamki"/>
    <x v="51"/>
    <n v="54197"/>
    <n v="30179"/>
    <n v="85.657123227018985"/>
    <m/>
    <m/>
    <m/>
  </r>
  <r>
    <d v="2025-12-03T00:00:00"/>
    <x v="21"/>
    <n v="1179"/>
    <s v="Chamki"/>
    <x v="49"/>
    <n v="34339"/>
    <n v="4689"/>
    <n v="3.0999556830553843"/>
    <m/>
    <m/>
    <m/>
  </r>
  <r>
    <d v="2025-12-03T00:00:00"/>
    <x v="18"/>
    <n v="1180"/>
    <s v="Chamki"/>
    <x v="26"/>
    <m/>
    <n v="6934"/>
    <n v="10.836046818881343"/>
    <m/>
    <m/>
    <m/>
  </r>
  <r>
    <d v="2025-12-03T00:00:00"/>
    <x v="18"/>
    <n v="1181"/>
    <s v="Chamki"/>
    <x v="50"/>
    <m/>
    <n v="330"/>
    <n v="7.865166980402023"/>
    <m/>
    <m/>
    <m/>
  </r>
  <r>
    <d v="2025-12-03T00:00:00"/>
    <x v="0"/>
    <n v="1182"/>
    <s v="Chamki"/>
    <x v="53"/>
    <n v="15040"/>
    <n v="13217"/>
    <s v="NF"/>
    <m/>
    <m/>
    <m/>
  </r>
  <r>
    <d v="2025-12-03T00:00:00"/>
    <x v="20"/>
    <n v="1183"/>
    <s v="Chamki"/>
    <x v="54"/>
    <n v="26497"/>
    <n v="10929"/>
    <s v="NF"/>
    <m/>
    <m/>
    <m/>
  </r>
  <r>
    <d v="2025-12-03T00:00:00"/>
    <x v="0"/>
    <n v="1184"/>
    <s v="Chamki"/>
    <x v="51"/>
    <n v="54197"/>
    <n v="8094"/>
    <n v="85.657123227018985"/>
    <m/>
    <m/>
    <m/>
  </r>
  <r>
    <d v="2025-12-03T00:00:00"/>
    <x v="0"/>
    <n v="1185"/>
    <s v="Chamki"/>
    <x v="28"/>
    <n v="38741"/>
    <n v="2146"/>
    <n v="50.874684120890848"/>
    <m/>
    <m/>
    <m/>
  </r>
  <r>
    <d v="2025-12-03T00:00:00"/>
    <x v="20"/>
    <n v="1186"/>
    <s v="Chamki"/>
    <x v="52"/>
    <m/>
    <n v="4854"/>
    <n v="89.052983533907863"/>
    <m/>
    <m/>
    <m/>
  </r>
  <r>
    <d v="2025-12-03T00:00:00"/>
    <x v="10"/>
    <n v="1187"/>
    <s v="Chamki"/>
    <x v="55"/>
    <n v="44990"/>
    <n v="30694"/>
    <s v="NF"/>
    <m/>
    <m/>
    <m/>
  </r>
  <r>
    <d v="2025-12-04T00:00:00"/>
    <x v="2"/>
    <n v="1188"/>
    <s v="Chamki"/>
    <x v="56"/>
    <n v="33679"/>
    <n v="9005"/>
    <s v="NF"/>
    <m/>
    <m/>
    <m/>
  </r>
  <r>
    <d v="2025-12-04T00:00:00"/>
    <x v="2"/>
    <n v="1189"/>
    <s v="Chamki"/>
    <x v="27"/>
    <m/>
    <n v="2108"/>
    <n v="10.032275739292146"/>
    <m/>
    <m/>
    <m/>
  </r>
  <r>
    <d v="2025-12-04T00:00:00"/>
    <x v="0"/>
    <n v="1190"/>
    <s v="Chamki"/>
    <x v="51"/>
    <m/>
    <n v="2260"/>
    <n v="85.657123227018985"/>
    <m/>
    <m/>
    <m/>
  </r>
  <r>
    <d v="2025-12-05T00:00:00"/>
    <x v="2"/>
    <n v="1191"/>
    <s v="Chamki"/>
    <x v="56"/>
    <n v="33679"/>
    <n v="26864"/>
    <s v="NF"/>
    <m/>
    <m/>
    <m/>
  </r>
  <r>
    <d v="2025-12-05T00:00:00"/>
    <x v="23"/>
    <n v="1192"/>
    <s v="Chamki"/>
    <x v="57"/>
    <n v="12985"/>
    <n v="13622"/>
    <s v="NF"/>
    <m/>
    <m/>
    <m/>
  </r>
  <r>
    <d v="2025-12-04T00:00:00"/>
    <x v="24"/>
    <m/>
    <m/>
    <x v="0"/>
    <m/>
    <m/>
    <e v="#DIV/0!"/>
    <m/>
    <m/>
    <m/>
  </r>
  <r>
    <d v="2025-12-04T00:00:00"/>
    <x v="2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9" firstHeaderRow="0" firstDataRow="1" firstDataCol="1" rowPageCount="1" colPageCount="1"/>
  <pivotFields count="9">
    <pivotField axis="axisRow" numFmtId="14" showAll="0">
      <items count="123">
        <item m="1" x="106"/>
        <item m="1" x="107"/>
        <item m="1" x="108"/>
        <item m="1" x="109"/>
        <item m="1" x="110"/>
        <item m="1" x="111"/>
        <item m="1" x="112"/>
        <item m="1" x="121"/>
        <item m="1" x="102"/>
        <item m="1" x="113"/>
        <item m="1" x="114"/>
        <item m="1" x="115"/>
        <item m="1" x="116"/>
        <item m="1" x="117"/>
        <item m="1" x="118"/>
        <item m="1" x="119"/>
        <item m="1" x="73"/>
        <item m="1" x="74"/>
        <item m="1" x="120"/>
        <item m="1" x="75"/>
        <item m="1" x="72"/>
        <item m="1" x="76"/>
        <item m="1" x="78"/>
        <item m="1" x="79"/>
        <item m="1" x="80"/>
        <item m="1" x="82"/>
        <item m="1" x="83"/>
        <item m="1" x="84"/>
        <item m="1" x="77"/>
        <item m="1" x="81"/>
        <item m="1" x="85"/>
        <item m="1" x="86"/>
        <item m="1" x="87"/>
        <item m="1" x="88"/>
        <item m="1" x="71"/>
        <item m="1" x="89"/>
        <item m="1" x="103"/>
        <item m="1" x="104"/>
        <item m="1" x="105"/>
        <item m="1" x="90"/>
        <item m="1" x="91"/>
        <item m="1" x="92"/>
        <item m="1" x="93"/>
        <item m="1" x="94"/>
        <item m="1" x="95"/>
        <item m="1" x="96"/>
        <item m="1" x="97"/>
        <item m="1" x="98"/>
        <item m="1" x="99"/>
        <item m="1" x="100"/>
        <item m="1" x="101"/>
        <item m="1" x="42"/>
        <item m="1" x="43"/>
        <item m="1" x="44"/>
        <item m="1" x="45"/>
        <item m="1" x="46"/>
        <item m="1" x="47"/>
        <item m="1" x="48"/>
        <item m="1" x="49"/>
        <item m="1" x="51"/>
        <item m="1" x="52"/>
        <item m="1" x="53"/>
        <item m="1" x="50"/>
        <item m="1" x="54"/>
        <item m="1" x="55"/>
        <item m="1" x="56"/>
        <item m="1" x="57"/>
        <item m="1" x="58"/>
        <item m="1" x="59"/>
        <item m="1" x="60"/>
        <item m="1" x="61"/>
        <item m="1" x="62"/>
        <item m="1" x="63"/>
        <item m="1" x="64"/>
        <item m="1" x="65"/>
        <item m="1" x="66"/>
        <item m="1" x="67"/>
        <item m="1" x="68"/>
        <item m="1" x="69"/>
        <item m="1" x="70"/>
        <item x="0"/>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x="1"/>
        <item x="4"/>
        <item x="2"/>
        <item x="3"/>
        <item x="5"/>
        <item x="6"/>
        <item x="7"/>
        <item x="8"/>
        <item x="9"/>
        <item x="10"/>
        <item x="11"/>
        <item x="12"/>
        <item x="13"/>
        <item x="14"/>
        <item x="15"/>
        <item t="default"/>
      </items>
    </pivotField>
    <pivotField axis="axisPage" showAll="0">
      <items count="11">
        <item x="1"/>
        <item x="0"/>
        <item m="1" x="7"/>
        <item m="1" x="9"/>
        <item x="2"/>
        <item x="3"/>
        <item x="4"/>
        <item m="1" x="8"/>
        <item x="5"/>
        <item x="6"/>
        <item t="default"/>
      </items>
    </pivotField>
    <pivotField axis="axisRow" showAll="0">
      <items count="67">
        <item m="1" x="56"/>
        <item m="1" x="40"/>
        <item m="1" x="52"/>
        <item m="1" x="22"/>
        <item m="1" x="57"/>
        <item m="1" x="58"/>
        <item m="1" x="53"/>
        <item m="1" x="54"/>
        <item m="1" x="55"/>
        <item m="1" x="33"/>
        <item m="1" x="59"/>
        <item m="1" x="60"/>
        <item m="1" x="61"/>
        <item m="1" x="62"/>
        <item m="1" x="63"/>
        <item m="1" x="64"/>
        <item m="1" x="29"/>
        <item m="1" x="30"/>
        <item m="1" x="65"/>
        <item m="1" x="31"/>
        <item x="0"/>
        <item m="1" x="32"/>
        <item m="1" x="34"/>
        <item m="1" x="35"/>
        <item m="1" x="36"/>
        <item m="1" x="37"/>
        <item m="1" x="38"/>
        <item m="1" x="39"/>
        <item m="1" x="41"/>
        <item m="1" x="42"/>
        <item m="1" x="24"/>
        <item m="1" x="43"/>
        <item m="1" x="44"/>
        <item m="1" x="45"/>
        <item m="1" x="28"/>
        <item m="1" x="46"/>
        <item m="1" x="47"/>
        <item m="1" x="26"/>
        <item m="1" x="48"/>
        <item m="1" x="49"/>
        <item m="1" x="50"/>
        <item m="1" x="51"/>
        <item m="1" x="14"/>
        <item m="1" x="15"/>
        <item m="1" x="16"/>
        <item m="1" x="17"/>
        <item m="1" x="18"/>
        <item m="1" x="19"/>
        <item m="1" x="20"/>
        <item m="1" x="21"/>
        <item m="1" x="23"/>
        <item m="1" x="25"/>
        <item m="1" x="27"/>
        <item m="1" x="13"/>
        <item x="1"/>
        <item x="2"/>
        <item x="3"/>
        <item x="4"/>
        <item x="5"/>
        <item x="6"/>
        <item x="7"/>
        <item x="8"/>
        <item x="9"/>
        <item x="10"/>
        <item x="11"/>
        <item x="1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1">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54"/>
    </i>
    <i r="1">
      <x v="6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2">
      <pivotArea dataOnly="0" labelOnly="1" outline="0" fieldPosition="0">
        <references count="1">
          <reference field="1" count="1">
            <x v="1"/>
          </reference>
        </references>
      </pivotArea>
    </format>
    <format dxfId="12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73">
        <item x="13"/>
        <item x="9"/>
        <item x="7"/>
        <item m="1" x="58"/>
        <item m="1" x="62"/>
        <item x="12"/>
        <item x="5"/>
        <item x="25"/>
        <item x="6"/>
        <item x="10"/>
        <item x="8"/>
        <item m="1" x="70"/>
        <item m="1" x="57"/>
        <item x="11"/>
        <item m="1" x="53"/>
        <item m="1" x="68"/>
        <item x="2"/>
        <item m="1" x="43"/>
        <item x="1"/>
        <item x="15"/>
        <item x="36"/>
        <item x="27"/>
        <item m="1" x="71"/>
        <item m="1" x="52"/>
        <item x="29"/>
        <item m="1" x="69"/>
        <item m="1" x="61"/>
        <item x="32"/>
        <item m="1" x="63"/>
        <item m="1" x="64"/>
        <item m="1" x="65"/>
        <item m="1" x="66"/>
        <item x="37"/>
        <item m="1" x="67"/>
        <item m="1" x="54"/>
        <item x="26"/>
        <item m="1" x="46"/>
        <item x="17"/>
        <item m="1" x="56"/>
        <item m="1" x="49"/>
        <item x="18"/>
        <item x="3"/>
        <item x="31"/>
        <item m="1" x="59"/>
        <item x="22"/>
        <item m="1" x="60"/>
        <item m="1" x="42"/>
        <item x="24"/>
        <item x="14"/>
        <item m="1" x="44"/>
        <item m="1" x="45"/>
        <item m="1" x="47"/>
        <item m="1" x="48"/>
        <item m="1" x="50"/>
        <item x="19"/>
        <item x="20"/>
        <item m="1" x="51"/>
        <item m="1" x="55"/>
        <item x="4"/>
        <item x="23"/>
        <item x="0"/>
        <item x="16"/>
        <item x="21"/>
        <item x="28"/>
        <item m="1" x="41"/>
        <item x="33"/>
        <item x="34"/>
        <item x="35"/>
        <item x="38"/>
        <item x="30"/>
        <item x="39"/>
        <item x="40"/>
        <item t="default"/>
      </items>
    </pivotField>
    <pivotField dataField="1" showAll="0"/>
    <pivotField dataField="1" showAll="0"/>
    <pivotField showAll="0"/>
    <pivotField showAll="0"/>
    <pivotField showAll="0"/>
  </pivotFields>
  <rowFields count="1">
    <field x="1"/>
  </rowFields>
  <rowItems count="42">
    <i>
      <x/>
    </i>
    <i>
      <x v="1"/>
    </i>
    <i>
      <x v="2"/>
    </i>
    <i>
      <x v="5"/>
    </i>
    <i>
      <x v="6"/>
    </i>
    <i>
      <x v="7"/>
    </i>
    <i>
      <x v="8"/>
    </i>
    <i>
      <x v="9"/>
    </i>
    <i>
      <x v="10"/>
    </i>
    <i>
      <x v="13"/>
    </i>
    <i>
      <x v="16"/>
    </i>
    <i>
      <x v="18"/>
    </i>
    <i>
      <x v="19"/>
    </i>
    <i>
      <x v="20"/>
    </i>
    <i>
      <x v="21"/>
    </i>
    <i>
      <x v="24"/>
    </i>
    <i>
      <x v="27"/>
    </i>
    <i>
      <x v="32"/>
    </i>
    <i>
      <x v="35"/>
    </i>
    <i>
      <x v="37"/>
    </i>
    <i>
      <x v="40"/>
    </i>
    <i>
      <x v="41"/>
    </i>
    <i>
      <x v="42"/>
    </i>
    <i>
      <x v="44"/>
    </i>
    <i>
      <x v="47"/>
    </i>
    <i>
      <x v="48"/>
    </i>
    <i>
      <x v="54"/>
    </i>
    <i>
      <x v="55"/>
    </i>
    <i>
      <x v="58"/>
    </i>
    <i>
      <x v="59"/>
    </i>
    <i>
      <x v="60"/>
    </i>
    <i>
      <x v="61"/>
    </i>
    <i>
      <x v="62"/>
    </i>
    <i>
      <x v="63"/>
    </i>
    <i>
      <x v="65"/>
    </i>
    <i>
      <x v="66"/>
    </i>
    <i>
      <x v="67"/>
    </i>
    <i>
      <x v="68"/>
    </i>
    <i>
      <x v="69"/>
    </i>
    <i>
      <x v="70"/>
    </i>
    <i>
      <x v="71"/>
    </i>
    <i t="grand">
      <x/>
    </i>
  </rowItems>
  <colFields count="1">
    <field x="-2"/>
  </colFields>
  <colItems count="2">
    <i>
      <x/>
    </i>
    <i i="1">
      <x v="1"/>
    </i>
  </colItems>
  <dataFields count="2">
    <dataField name="Sum of Credit" fld="3" baseField="0" baseItem="0"/>
    <dataField name="Sum of Debit" fld="2" baseField="0" baseItem="0"/>
  </dataFields>
  <formats count="1">
    <format dxfId="1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46">
        <item m="1" x="40"/>
        <item m="1" x="41"/>
        <item m="1" x="42"/>
        <item m="1" x="43"/>
        <item m="1" x="44"/>
        <item m="1" x="39"/>
        <item m="1" x="27"/>
        <item m="1" x="28"/>
        <item m="1" x="32"/>
        <item m="1" x="33"/>
        <item m="1" x="29"/>
        <item m="1" x="34"/>
        <item m="1" x="35"/>
        <item m="1" x="36"/>
        <item m="1" x="37"/>
        <item m="1" x="38"/>
        <item m="1" x="26"/>
        <item m="1" x="30"/>
        <item m="1" x="31"/>
        <item m="1" x="19"/>
        <item m="1" x="20"/>
        <item m="1" x="21"/>
        <item m="1" x="22"/>
        <item m="1" x="23"/>
        <item m="1" x="24"/>
        <item m="1" x="25"/>
        <item x="0"/>
        <item m="1" x="11"/>
        <item m="1" x="12"/>
        <item m="1" x="13"/>
        <item m="1" x="14"/>
        <item m="1" x="15"/>
        <item m="1" x="16"/>
        <item m="1" x="17"/>
        <item m="1" x="18"/>
        <item x="1"/>
        <item x="2"/>
        <item x="3"/>
        <item x="4"/>
        <item x="5"/>
        <item x="10"/>
        <item x="6"/>
        <item x="7"/>
        <item x="8"/>
        <item x="9"/>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2">
    <i>
      <x v="26"/>
    </i>
    <i>
      <x v="35"/>
    </i>
    <i>
      <x v="36"/>
    </i>
    <i>
      <x v="37"/>
    </i>
    <i>
      <x v="38"/>
    </i>
    <i>
      <x v="39"/>
    </i>
    <i>
      <x v="40"/>
    </i>
    <i>
      <x v="41"/>
    </i>
    <i>
      <x v="42"/>
    </i>
    <i>
      <x v="43"/>
    </i>
    <i>
      <x v="4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2"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x="24"/>
        <item x="5"/>
        <item x="10"/>
        <item x="8"/>
        <item x="9"/>
        <item x="7"/>
        <item x="11"/>
        <item x="12"/>
        <item x="13"/>
        <item x="14"/>
        <item x="15"/>
        <item x="16"/>
        <item x="17"/>
        <item x="18"/>
        <item x="19"/>
        <item x="20"/>
        <item x="21"/>
        <item x="22"/>
        <item x="23"/>
        <item t="default"/>
      </items>
    </pivotField>
    <pivotField showAll="0"/>
    <pivotField showAll="0"/>
    <pivotField axis="axisRow" showAll="0">
      <items count="303">
        <item m="1" x="285"/>
        <item m="1" x="286"/>
        <item m="1" x="284"/>
        <item m="1" x="283"/>
        <item m="1" x="287"/>
        <item m="1" x="289"/>
        <item m="1" x="288"/>
        <item m="1" x="290"/>
        <item m="1" x="291"/>
        <item m="1" x="292"/>
        <item m="1" x="293"/>
        <item m="1" x="294"/>
        <item m="1" x="295"/>
        <item m="1" x="296"/>
        <item m="1" x="221"/>
        <item m="1" x="243"/>
        <item m="1" x="297"/>
        <item m="1" x="298"/>
        <item m="1" x="299"/>
        <item m="1" x="251"/>
        <item m="1" x="250"/>
        <item m="1" x="300"/>
        <item m="1" x="301"/>
        <item m="1" x="260"/>
        <item m="1" x="252"/>
        <item m="1" x="253"/>
        <item m="1" x="254"/>
        <item m="1" x="255"/>
        <item m="1" x="256"/>
        <item m="1" x="257"/>
        <item m="1" x="258"/>
        <item m="1" x="259"/>
        <item m="1" x="261"/>
        <item m="1" x="281"/>
        <item m="1" x="262"/>
        <item m="1" x="282"/>
        <item m="1" x="263"/>
        <item m="1" x="264"/>
        <item m="1" x="265"/>
        <item m="1" x="266"/>
        <item m="1" x="267"/>
        <item m="1" x="197"/>
        <item m="1" x="268"/>
        <item m="1" x="269"/>
        <item m="1" x="270"/>
        <item m="1" x="271"/>
        <item m="1" x="272"/>
        <item m="1" x="273"/>
        <item m="1" x="274"/>
        <item m="1" x="275"/>
        <item m="1" x="276"/>
        <item m="1" x="277"/>
        <item m="1" x="278"/>
        <item m="1" x="279"/>
        <item m="1" x="280"/>
        <item x="0"/>
        <item m="1" x="196"/>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4"/>
        <item m="1" x="245"/>
        <item m="1" x="246"/>
        <item m="1" x="247"/>
        <item m="1" x="248"/>
        <item m="1" x="249"/>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95"/>
        <item m="1" x="176"/>
        <item m="1" x="177"/>
        <item m="1" x="178"/>
        <item m="1" x="179"/>
        <item m="1" x="180"/>
        <item m="1" x="181"/>
        <item m="1" x="182"/>
        <item m="1" x="183"/>
        <item m="1" x="184"/>
        <item m="1" x="185"/>
        <item m="1" x="186"/>
        <item m="1" x="187"/>
        <item m="1" x="188"/>
        <item m="1" x="189"/>
        <item m="1" x="190"/>
        <item m="1" x="191"/>
        <item m="1" x="192"/>
        <item m="1" x="193"/>
        <item m="1" x="194"/>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x="11"/>
        <item m="1" x="11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6">
      <pivotArea type="all" dataOnly="0" outline="0" fieldPosition="0"/>
    </format>
    <format dxfId="65">
      <pivotArea outline="0" collapsedLevelsAreSubtotals="1" fieldPosition="0"/>
    </format>
    <format dxfId="64">
      <pivotArea field="4" type="button" dataOnly="0" labelOnly="1" outline="0" axis="axisRow" fieldPosition="0"/>
    </format>
    <format dxfId="63">
      <pivotArea dataOnly="0" labelOnly="1" fieldPosition="0">
        <references count="1">
          <reference field="4" count="0"/>
        </references>
      </pivotArea>
    </format>
    <format dxfId="62">
      <pivotArea dataOnly="0" labelOnly="1" grandRow="1" outline="0" fieldPosition="0"/>
    </format>
    <format dxfId="61">
      <pivotArea dataOnly="0" labelOnly="1" outline="0" fieldPosition="0">
        <references count="1">
          <reference field="4294967294" count="2">
            <x v="0"/>
            <x v="1"/>
          </reference>
        </references>
      </pivotArea>
    </format>
    <format dxfId="60">
      <pivotArea grandRow="1" outline="0" collapsedLevelsAreSubtotals="1" fieldPosition="0"/>
    </format>
    <format dxfId="59">
      <pivotArea field="4" type="button" dataOnly="0" labelOnly="1" outline="0" axis="axisRow" fieldPosition="0"/>
    </format>
    <format dxfId="5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02">
        <i x="50" s="1"/>
        <i x="29" s="1"/>
        <i x="22" s="1"/>
        <i x="2" s="1"/>
        <i x="46" s="1"/>
        <i x="11" s="1"/>
        <i x="8" s="1"/>
        <i x="21" s="1"/>
        <i x="4" s="1"/>
        <i x="1" s="1"/>
        <i x="19" s="1"/>
        <i x="12" s="1"/>
        <i x="25" s="1"/>
        <i x="43" s="1"/>
        <i x="17" s="1"/>
        <i x="31" s="1"/>
        <i x="23" s="1"/>
        <i x="20" s="1"/>
        <i x="33" s="1"/>
        <i x="34" s="1"/>
        <i x="5" s="1"/>
        <i x="7" s="1"/>
        <i x="41" s="1"/>
        <i x="14" s="1"/>
        <i x="55" s="1"/>
        <i x="27" s="1"/>
        <i x="10" s="1"/>
        <i x="44" s="1"/>
        <i x="56" s="1"/>
        <i x="52" s="1"/>
        <i x="16" s="1"/>
        <i x="39" s="1"/>
        <i x="38" s="1"/>
        <i x="54" s="1"/>
        <i x="40" s="1"/>
        <i x="13" s="1"/>
        <i x="9" s="1"/>
        <i x="42" s="1"/>
        <i x="6" s="1"/>
        <i x="47" s="1"/>
        <i x="48" s="1"/>
        <i x="53" s="1"/>
        <i x="32" s="1"/>
        <i x="26" s="1"/>
        <i x="15" s="1"/>
        <i x="49" s="1"/>
        <i x="28" s="1"/>
        <i x="30" s="1"/>
        <i x="35" s="1"/>
        <i x="36" s="1"/>
        <i x="45" s="1"/>
        <i x="37" s="1"/>
        <i x="57" s="1"/>
        <i x="51" s="1"/>
        <i x="18" s="1"/>
        <i x="24" s="1"/>
        <i x="3" s="1"/>
        <i x="256" s="1" nd="1"/>
        <i x="285" s="1" nd="1"/>
        <i x="286" s="1" nd="1"/>
        <i x="294" s="1" nd="1"/>
        <i x="284" s="1" nd="1"/>
        <i x="283" s="1" nd="1"/>
        <i x="287" s="1" nd="1"/>
        <i x="298" s="1" nd="1"/>
        <i x="290" s="1" nd="1"/>
        <i x="291" s="1" nd="1"/>
        <i x="288" s="1" nd="1"/>
        <i x="289" s="1" nd="1"/>
        <i x="299" s="1" nd="1"/>
        <i x="292" s="1" nd="1"/>
        <i x="293" s="1" nd="1"/>
        <i x="296" s="1" nd="1"/>
        <i x="297" s="1" nd="1"/>
        <i x="295" s="1" nd="1"/>
        <i x="251" s="1" nd="1"/>
        <i x="301" s="1" nd="1"/>
        <i x="250" s="1" nd="1"/>
        <i x="300" s="1" nd="1"/>
        <i x="253" s="1" nd="1"/>
        <i x="214" s="1" nd="1"/>
        <i x="252" s="1" nd="1"/>
        <i x="254" s="1" nd="1"/>
        <i x="260" s="1" nd="1"/>
        <i x="255" s="1" nd="1"/>
        <i x="257" s="1" nd="1"/>
        <i x="273" s="1" nd="1"/>
        <i x="196" s="1" nd="1"/>
        <i x="261" s="1" nd="1"/>
        <i x="201" s="1" nd="1"/>
        <i x="267" s="1" nd="1"/>
        <i x="262" s="1" nd="1"/>
        <i x="265" s="1" nd="1"/>
        <i x="270" s="1" nd="1"/>
        <i x="281" s="1" nd="1"/>
        <i x="263" s="1" nd="1"/>
        <i x="275" s="1" nd="1"/>
        <i x="278" s="1" nd="1"/>
        <i x="269" s="1" nd="1"/>
        <i x="258" s="1" nd="1"/>
        <i x="266" s="1" nd="1"/>
        <i x="259" s="1" nd="1"/>
        <i x="264" s="1" nd="1"/>
        <i x="197" s="1" nd="1"/>
        <i x="268" s="1" nd="1"/>
        <i x="274" s="1" nd="1"/>
        <i x="211" s="1" nd="1"/>
        <i x="271" s="1" nd="1"/>
        <i x="276" s="1" nd="1"/>
        <i x="272" s="1" nd="1"/>
        <i x="238" s="1" nd="1"/>
        <i x="277" s="1" nd="1"/>
        <i x="279" s="1" nd="1"/>
        <i x="199" s="1" nd="1"/>
        <i x="206" s="1" nd="1"/>
        <i x="280" s="1" nd="1"/>
        <i x="203" s="1" nd="1"/>
        <i x="204" s="1" nd="1"/>
        <i x="198" s="1" nd="1"/>
        <i x="202" s="1" nd="1"/>
        <i x="89" s="1" nd="1"/>
        <i x="200" s="1" nd="1"/>
        <i x="209" s="1" nd="1"/>
        <i x="205" s="1" nd="1"/>
        <i x="207" s="1" nd="1"/>
        <i x="210" s="1" nd="1"/>
        <i x="218" s="1" nd="1"/>
        <i x="208" s="1" nd="1"/>
        <i x="217" s="1" nd="1"/>
        <i x="222" s="1" nd="1"/>
        <i x="216" s="1" nd="1"/>
        <i x="219" s="1" nd="1"/>
        <i x="229" s="1" nd="1"/>
        <i x="215" s="1" nd="1"/>
        <i x="212" s="1" nd="1"/>
        <i x="213" s="1" nd="1"/>
        <i x="228" s="1" nd="1"/>
        <i x="85" s="1" nd="1"/>
        <i x="221" s="1" nd="1"/>
        <i x="232" s="1" nd="1"/>
        <i x="227" s="1" nd="1"/>
        <i x="220" s="1" nd="1"/>
        <i x="244" s="1" nd="1"/>
        <i x="225" s="1" nd="1"/>
        <i x="235" s="1" nd="1"/>
        <i x="233" s="1" nd="1"/>
        <i x="223" s="1" nd="1"/>
        <i x="231" s="1" nd="1"/>
        <i x="230" s="1" nd="1"/>
        <i x="226" s="1" nd="1"/>
        <i x="236" s="1" nd="1"/>
        <i x="234" s="1" nd="1"/>
        <i x="237" s="1" nd="1"/>
        <i x="224" s="1" nd="1"/>
        <i x="165" s="1" nd="1"/>
        <i x="239" s="1" nd="1"/>
        <i x="240" s="1" nd="1"/>
        <i x="123" s="1" nd="1"/>
        <i x="125" s="1" nd="1"/>
        <i x="247" s="1" nd="1"/>
        <i x="119" s="1" nd="1"/>
        <i x="166" s="1" nd="1"/>
        <i x="241" s="1" nd="1"/>
        <i x="242" s="1" nd="1"/>
        <i x="122" s="1" nd="1"/>
        <i x="249" s="1" nd="1"/>
        <i x="121" s="1" nd="1"/>
        <i x="136" s="1" nd="1"/>
        <i x="248" s="1" nd="1"/>
        <i x="243" s="1" nd="1"/>
        <i x="140" s="1" nd="1"/>
        <i x="246" s="1" nd="1"/>
        <i x="245" s="1" nd="1"/>
        <i x="161" s="1" nd="1"/>
        <i x="114" s="1" nd="1"/>
        <i x="126" s="1" nd="1"/>
        <i x="162" s="1" nd="1"/>
        <i x="160" s="1" nd="1"/>
        <i x="118" s="1" nd="1"/>
        <i x="120" s="1" nd="1"/>
        <i x="124" s="1" nd="1"/>
        <i x="115" s="1" nd="1"/>
        <i x="150" s="1" nd="1"/>
        <i x="155" s="1" nd="1"/>
        <i x="116" s="1" nd="1"/>
        <i x="117" s="1" nd="1"/>
        <i x="127" s="1" nd="1"/>
        <i x="130" s="1" nd="1"/>
        <i x="137" s="1" nd="1"/>
        <i x="129" s="1" nd="1"/>
        <i x="132" s="1" nd="1"/>
        <i x="131" s="1" nd="1"/>
        <i x="174" s="1" nd="1"/>
        <i x="128" s="1" nd="1"/>
        <i x="153" s="1" nd="1"/>
        <i x="169" s="1" nd="1"/>
        <i x="133" s="1" nd="1"/>
        <i x="158" s="1" nd="1"/>
        <i x="171" s="1" nd="1"/>
        <i x="142" s="1" nd="1"/>
        <i x="183" s="1" nd="1"/>
        <i x="141" s="1" nd="1"/>
        <i x="138" s="1" nd="1"/>
        <i x="134" s="1" nd="1"/>
        <i x="135" s="1" nd="1"/>
        <i x="154" s="1" nd="1"/>
        <i x="143" s="1" nd="1"/>
        <i x="66" s="1" nd="1"/>
        <i x="144" s="1" nd="1"/>
        <i x="139" s="1" nd="1"/>
        <i x="146" s="1" nd="1"/>
        <i x="147" s="1" nd="1"/>
        <i x="176" s="1" nd="1"/>
        <i x="145" s="1" nd="1"/>
        <i x="163" s="1" nd="1"/>
        <i x="151" s="1" nd="1"/>
        <i x="148" s="1" nd="1"/>
        <i x="152" s="1" nd="1"/>
        <i x="149" s="1" nd="1"/>
        <i x="156" s="1" nd="1"/>
        <i x="175" s="1" nd="1"/>
        <i x="170" s="1" nd="1"/>
        <i x="189" s="1" nd="1"/>
        <i x="157" s="1" nd="1"/>
        <i x="59" s="1" nd="1"/>
        <i x="168" s="1" nd="1"/>
        <i x="159" s="1" nd="1"/>
        <i x="184" s="1" nd="1"/>
        <i x="167" s="1" nd="1"/>
        <i x="182" s="1" nd="1"/>
        <i x="67" s="1" nd="1"/>
        <i x="173" s="1" nd="1"/>
        <i x="172" s="1" nd="1"/>
        <i x="188" s="1" nd="1"/>
        <i x="185" s="1" nd="1"/>
        <i x="78" s="1" nd="1"/>
        <i x="193" s="1" nd="1"/>
        <i x="177" s="1" nd="1"/>
        <i x="186" s="1" nd="1"/>
        <i x="191" s="1" nd="1"/>
        <i x="69" s="1" nd="1"/>
        <i x="95" s="1" nd="1"/>
        <i x="195" s="1" nd="1"/>
        <i x="192" s="1" nd="1"/>
        <i x="60" s="1" nd="1"/>
        <i x="80" s="1" nd="1"/>
        <i x="187" s="1" nd="1"/>
        <i x="62" s="1" nd="1"/>
        <i x="178" s="1" nd="1"/>
        <i x="181" s="1" nd="1"/>
        <i x="77" s="1" nd="1"/>
        <i x="190" s="1" nd="1"/>
        <i x="179" s="1" nd="1"/>
        <i x="180" s="1" nd="1"/>
        <i x="64" s="1" nd="1"/>
        <i x="82" s="1" nd="1"/>
        <i x="83" s="1" nd="1"/>
        <i x="96" s="1" nd="1"/>
        <i x="194" s="1" nd="1"/>
        <i x="58" s="1" nd="1"/>
        <i x="81" s="1" nd="1"/>
        <i x="74" s="1" nd="1"/>
        <i x="61" s="1" nd="1"/>
        <i x="65" s="1" nd="1"/>
        <i x="71" s="1" nd="1"/>
        <i x="63" s="1" nd="1"/>
        <i x="87" s="1" nd="1"/>
        <i x="91" s="1" nd="1"/>
        <i x="92" s="1" nd="1"/>
        <i x="84" s="1" nd="1"/>
        <i x="68" s="1" nd="1"/>
        <i x="70" s="1" nd="1"/>
        <i x="72" s="1" nd="1"/>
        <i x="75" s="1" nd="1"/>
        <i x="88" s="1" nd="1"/>
        <i x="73" s="1" nd="1"/>
        <i x="94" s="1" nd="1"/>
        <i x="109" s="1" nd="1"/>
        <i x="76" s="1" nd="1"/>
        <i x="97" s="1" nd="1"/>
        <i x="93" s="1" nd="1"/>
        <i x="79" s="1" nd="1"/>
        <i x="101" s="1" nd="1"/>
        <i x="86" s="1" nd="1"/>
        <i x="110" s="1" nd="1"/>
        <i x="90" s="1" nd="1"/>
        <i x="113" s="1" nd="1"/>
        <i x="100" s="1" nd="1"/>
        <i x="105" s="1" nd="1"/>
        <i x="102" s="1" nd="1"/>
        <i x="104" s="1" nd="1"/>
        <i x="99" s="1" nd="1"/>
        <i x="98" s="1" nd="1"/>
        <i x="103" s="1" nd="1"/>
        <i x="111" s="1" nd="1"/>
        <i x="107" s="1" nd="1"/>
        <i x="106" s="1" nd="1"/>
        <i x="112" s="1" nd="1"/>
        <i x="108" s="1" nd="1"/>
        <i x="164" s="1" nd="1"/>
        <i x="28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4" totalsRowCount="1" headerRowDxfId="124" dataDxfId="123" headerRowCellStyle="Comma" dataCellStyle="Comma">
  <autoFilter ref="A1:K183" xr:uid="{11DACEC6-751B-4B1D-817F-5C5BCD38EF6D}"/>
  <tableColumns count="11">
    <tableColumn id="1" xr3:uid="{2FCE3FA8-A48C-4685-8919-AE44C6C71FD9}" name="Date" dataDxfId="33" dataCellStyle="Comma"/>
    <tableColumn id="2" xr3:uid="{5780FD5F-0890-44E6-B59C-8E37A559FE36}" name="Party Name" dataDxfId="32" dataCellStyle="Comma"/>
    <tableColumn id="3" xr3:uid="{5B3ECD85-9174-40AC-BFBD-49CAC97A83D3}" name="Bill Number" dataDxfId="31" dataCellStyle="Comma"/>
    <tableColumn id="4" xr3:uid="{11B50761-04B6-4262-AD4D-7182450037D1}" name="Quality" dataDxfId="30" dataCellStyle="Comma"/>
    <tableColumn id="5" xr3:uid="{2C556969-B713-4967-BD24-466AACCBE5F5}" name="Shipment Number" dataDxfId="29" totalsRowDxfId="22" dataCellStyle="Comma"/>
    <tableColumn id="6" xr3:uid="{F4E1FD2B-9017-4DEB-B772-BF447ECE56F7}" name="Kora/metre" dataDxfId="28" totalsRowDxfId="21" dataCellStyle="Comma"/>
    <tableColumn id="7" xr3:uid="{52ACC1DA-7A76-4A90-B809-3A1AE728E7EA}" name="Tiyaar/gaz" dataDxfId="27" totalsRowDxfId="20" dataCellStyle="Comma"/>
    <tableColumn id="8" xr3:uid="{31A0FF5E-56F0-44D1-9865-73256B964660}" name="shortage %" dataDxfId="26" totalsRowDxfId="19" dataCellStyle="Comma">
      <calculatedColumnFormula>_xlfn.XLOOKUP(Table1[[#This Row],[Shipment Number]], 'pivot '!A:A,'pivot '!G:G, "NF")</calculatedColumnFormula>
    </tableColumn>
    <tableColumn id="9" xr3:uid="{F99075E0-AC8E-094D-BB85-272AD2C6C568}" name="tiyar/meters" totalsRowFunction="custom" dataDxfId="25" totalsRowDxfId="18"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24" totalsRowDxfId="17"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23" totalsRowDxfId="16"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33" totalsRowCount="1" headerRowDxfId="120" headerRowBorderDxfId="119" tableBorderDxfId="118">
  <autoFilter ref="A1:I32" xr:uid="{F8E8C957-ABE7-4E4F-8D4E-7D44E26B334F}"/>
  <tableColumns count="9">
    <tableColumn id="1" xr3:uid="{C2E817D6-AB98-4DDD-8890-736B27F261CD}" name="Date" dataDxfId="117" totalsRowDxfId="6"/>
    <tableColumn id="2" xr3:uid="{CFB51890-CCDC-463C-81C9-3F8BD7469CB9}" name="Party Name"/>
    <tableColumn id="3" xr3:uid="{A113D971-1C9D-4733-99C4-BD0CC4333209}" name="Vehicle Number"/>
    <tableColumn id="4" xr3:uid="{49780304-3DD1-4AE9-98EE-2BC7EB8F3B57}" name="Weight" dataDxfId="116" totalsRowDxfId="5" dataCellStyle="Comma"/>
    <tableColumn id="5" xr3:uid="{FCAF1BC6-1D8C-42AD-8BBC-F924BF2DC7FE}" name="Rate" dataDxfId="115" totalsRowDxfId="4" dataCellStyle="Comma"/>
    <tableColumn id="6" xr3:uid="{8C70A624-4134-410C-9C45-9FDEB51D51BF}" name="Rent" dataDxfId="114" totalsRowDxfId="3" dataCellStyle="Comma"/>
    <tableColumn id="7" xr3:uid="{EBCE10AE-9634-4982-9C95-37ABC8A7078C}" name="Total" totalsRowFunction="sum" dataDxfId="113" totalsRowDxfId="2" dataCellStyle="Comma">
      <calculatedColumnFormula>D2*E2</calculatedColumnFormula>
    </tableColumn>
    <tableColumn id="9" xr3:uid="{D4788559-C94A-44D9-B9AE-E72B214355AC}" name="Paid" totalsRowFunction="sum" dataDxfId="112" totalsRowDxfId="1" dataCellStyle="Comma"/>
    <tableColumn id="8" xr3:uid="{E26F5BF0-1875-4FC6-994D-49F202ED562B}" name="balance" totalsRowFunction="sum" dataDxfId="111"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87" totalsRowCount="1">
  <autoFilter ref="A1:G286" xr:uid="{CB032221-B416-47A8-9A76-693DE76CFD04}"/>
  <tableColumns count="7">
    <tableColumn id="1" xr3:uid="{554B1EED-65B6-4E9A-B646-82727FAC40DE}" name="Date" dataDxfId="109" totalsRowDxfId="15"/>
    <tableColumn id="2" xr3:uid="{32259059-42CF-4947-83DE-115AA430BE2B}" name="Party"/>
    <tableColumn id="3" xr3:uid="{A1320223-D55D-483C-91C3-AB19B95CC9D8}" name="Debit" totalsRowFunction="sum" dataDxfId="108" totalsRowDxfId="14" dataCellStyle="Comma"/>
    <tableColumn id="4" xr3:uid="{E9745767-9FF0-4B1C-9052-FF335D1D7588}" name="Credit" totalsRowFunction="sum" dataDxfId="107" totalsRowDxfId="13" dataCellStyle="Comma"/>
    <tableColumn id="5" xr3:uid="{5C88A48E-2467-4E6D-B626-2442B7FD0BE4}" name="Description"/>
    <tableColumn id="6" xr3:uid="{63CA4666-144E-4BE6-8B7C-7CB992BD3041}" name="Mode" totalsRowFunction="custom" dataDxfId="106" totalsRowDxfId="1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5" tableBorderDxfId="104" totalsRowBorderDxfId="103">
  <autoFilter ref="J3:K6" xr:uid="{DCE01694-23ED-48BF-8B92-4186B9ED10A8}"/>
  <tableColumns count="2">
    <tableColumn id="1" xr3:uid="{C8484DAF-2989-4C2F-9AEC-A6917E1C57F6}" name="Type" dataDxfId="102"/>
    <tableColumn id="2" xr3:uid="{B07B7A2A-4D4E-4654-BED6-FE2F0A7BEC34}" name="Amount" dataDxfId="10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0" headerRowBorderDxfId="99" tableBorderDxfId="98" totalsRowBorderDxfId="97">
  <autoFilter ref="M3:O6" xr:uid="{D166BDD1-ACD7-45D7-8AE9-7350373F8CEB}"/>
  <tableColumns count="3">
    <tableColumn id="1" xr3:uid="{64F0205E-DEA7-4571-BA86-E4374A5FEE28}" name="Type" totalsRowLabel="Total" dataDxfId="96" totalsRowDxfId="95"/>
    <tableColumn id="2" xr3:uid="{15FA05F9-789C-4459-9BE0-5C1EC84D3365}" name="amount" totalsRowFunction="custom" dataDxfId="94" totalsRowDxfId="93">
      <totalsRowFormula>SUM(N5:N6)</totalsRowFormula>
    </tableColumn>
    <tableColumn id="3" xr3:uid="{3681D409-90C6-44D0-BDE2-4B5943A516F0}" name="Actual" totalsRowFunction="custom" totalsRowDxfId="9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1" totalsRowDxfId="90"/>
    <tableColumn id="2" xr3:uid="{5B9D0FEE-4304-4C5C-A05C-5B27CF7841D3}" name="Type"/>
    <tableColumn id="3" xr3:uid="{6A91CA0D-C802-4C6F-9F39-CA53687E8EDE}" name="Description"/>
    <tableColumn id="4" xr3:uid="{A251D40C-AB87-4BB4-85F8-444B20E32FDF}" name="Total" totalsRowFunction="custom" dataDxfId="89" totalsRowDxfId="8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5" totalsRowCount="1" headerRowDxfId="87" headerRowBorderDxfId="86">
  <autoFilter ref="A1:I14"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5"/>
    <tableColumn id="4" xr3:uid="{1889A312-9B41-4EC4-BD8F-05252F27084A}" name="Price" totalsRowFunction="sum"/>
    <tableColumn id="6" xr3:uid="{8B974B20-F003-4E67-8660-024FA4F324A9}" name="Party"/>
    <tableColumn id="7" xr3:uid="{0A5A5C21-FD61-47DA-9F54-66A6479FA557}" name="Paid" dataDxfId="84">
      <calculatedColumnFormula>SUMIFS(Table14[Debit], Table14[Date], Table8[[#This Row],[Date]], Table14[Party], Table8[[#This Row],[Party]])</calculatedColumnFormula>
    </tableColumn>
    <tableColumn id="8" xr3:uid="{8DCB3B43-2161-4081-82EC-CDB0F4DE4E6F}" name="Balance" totalsRowFunction="sum" dataDxfId="8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82" headerRowBorderDxfId="81">
  <autoFilter ref="A4:H19" xr:uid="{A4C80688-A8BA-4BA7-90B4-791CD99446B4}"/>
  <sortState xmlns:xlrd2="http://schemas.microsoft.com/office/spreadsheetml/2017/richdata2" ref="A5:H6">
    <sortCondition ref="A4:A6"/>
  </sortState>
  <tableColumns count="8">
    <tableColumn id="1" xr3:uid="{4A818912-918E-4111-ACFC-BC93FEF7C1AD}" name="Date" dataDxfId="80" totalsRowDxfId="79"/>
    <tableColumn id="8" xr3:uid="{477ACFD5-62AF-4F69-974B-E9B974C11D7D}" name="Party Name" dataDxfId="7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7">
      <calculatedColumnFormula>Table2[[#This Row],[Quantity]]*200*Table2[[#This Row],[Boxes]]</calculatedColumnFormula>
    </tableColumn>
    <tableColumn id="6" xr3:uid="{30432929-CBD4-4BA8-B63F-CD0F6CF6405F}" name="Paid" totalsRowFunction="sum" dataDxfId="76">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7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4" totalsRowDxfId="7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2" totalsRowDxfId="71"/>
    <tableColumn id="2" xr3:uid="{053BFC14-4828-417C-9F9F-95B6E232A945}" name="Amount" totalsRowFunction="custom" dataDxfId="70" totalsRowDxfId="6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8" totalsRowDxfId="6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57" totalsRowDxfId="5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5" totalsRowDxfId="5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3">
      <calculatedColumnFormula>Billing!Q5</calculatedColumnFormula>
    </tableColumn>
    <tableColumn id="2" xr3:uid="{7093A59E-B58F-487D-888A-9AA8156B5F9A}" name="Amount Paid" dataDxfId="52">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51"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7"/>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197699.34162399417</v>
      </c>
      <c r="D2">
        <v>10</v>
      </c>
      <c r="E2" s="14">
        <f>(SUMIFS(ledger!G:G, ledger!B:B, B2, ledger!E:E, "&lt;&gt;*RD*",ledger!D:D, "Silky") / 1.0936)*12 + (SUMIFS(ledger!G:G, ledger!B:B, B2, ledger!E:E, "&lt;&gt;*RD*",ledger!D:D, "Chamki") / 1.0936)*10</f>
        <v>2177324.4330651062</v>
      </c>
      <c r="Q2" t="s">
        <v>1</v>
      </c>
    </row>
    <row r="3" spans="2:30" x14ac:dyDescent="0.3">
      <c r="B3" t="str">
        <f t="shared" si="0"/>
        <v>Ejaz Sahab</v>
      </c>
      <c r="C3" s="18">
        <f>SUMIFS(ledger!G:G, ledger!B:B, B3, ledger!E:E, "&lt;&gt;*RD*") / 1.0936</f>
        <v>55855.888807607902</v>
      </c>
      <c r="D3">
        <v>10</v>
      </c>
      <c r="E3" s="14">
        <f>(SUMIFS(ledger!G:G, ledger!B:B, B3, ledger!E:E, "&lt;&gt;*RD*",ledger!D:D, "Silky") / 1.0936)*12 + (SUMIFS(ledger!G:G, ledger!B:B, B3, ledger!E:E, "&lt;&gt;*RD*",ledger!D:D, "Chamki") / 1.0936)*10</f>
        <v>670270.66569129482</v>
      </c>
    </row>
    <row r="4" spans="2:30" x14ac:dyDescent="0.3">
      <c r="B4" t="str">
        <f t="shared" si="0"/>
        <v>Arshad</v>
      </c>
      <c r="C4" s="18">
        <f>SUMIFS(ledger!G:G, ledger!B:B, B4, ledger!E:E, "&lt;&gt;*RD*") / 1.0936</f>
        <v>154048.09802487199</v>
      </c>
      <c r="D4">
        <v>10</v>
      </c>
      <c r="E4" s="14">
        <f>(SUMIFS(ledger!G:G, ledger!B:B, B4, ledger!E:E, "&lt;&gt;*RD*",ledger!D:D, "Silky") / 1.0936)*12 + (SUMIFS(ledger!G:G, ledger!B:B, B4, ledger!E:E, "&lt;&gt;*RD*",ledger!D:D, "Chamki") / 1.0936)*10</f>
        <v>1667117.7761521582</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8">_xlfn.UNIQUE(Table1[Party Name])</f>
        <v>BSC</v>
      </c>
      <c r="R5" s="22" cm="1">
        <f t="array" ref="R5">_xlfn.BYROW(B49,_xlfn.LAMBDA(_xlpm.party,SUMIFS(ledger!G:G,ledger!B:B,_xlpm.party,ledger!E:E,"&lt;&gt;*RD*")))+_xlfn.IFNA(C84,0)</f>
        <v>2421612</v>
      </c>
      <c r="S5" s="22" cm="1">
        <f t="array" ref="S5">_xlfn.BYROW(B49, _xlfn.LAMBDA(_xlpm.party, SUMIFS(ledger!G:G, ledger!B:B, _xlpm.party, ledger!E:E, "&lt;&gt;*RD*") / 1.0936 ))+_xlfn.IFNA(D84,0)</f>
        <v>2214348.9392831018</v>
      </c>
      <c r="T5" s="22" cm="1">
        <f t="array" ref="T5">(_xlfn.BYROW(B49,_xlfn.LAMBDA(_xlpm.party,SUMIFS(ledger!G:G,ledger!B:B,_xlpm.party,ledger!E:E,"&lt;&gt;*RD*",ledger!D:D,"Chamki")+SUMIFS(ledger!G:G, ledger!B:B, _xlpm.party, ledger!E:E, "&lt;&gt;*RD*", ledger!D:D, "Crinkle")))/1.0936)+_xlfn.IFNA(E84,0)</f>
        <v>1992936.1741038773</v>
      </c>
      <c r="U5" s="70" cm="1">
        <f t="array" ref="U5">(_xlfn.BYROW(B49,_xlfn.LAMBDA(_xlpm.party,SUMIFS(ledger!G:G,ledger!B:B,_xlpm.party,ledger!E:E,"&lt;&gt;*RD*",ledger!D:D,"Silky")))/1.0936)+_xlfn.IFNA(F84,0)</f>
        <v>221412.7651792246</v>
      </c>
      <c r="V5" s="22" cm="1">
        <f t="array" ref="V5">(_xlfn.BYROW(B49,_xlfn.LAMBDA(_xlpm.party,
(SUMIFS(ledger!J:J,ledger!B:B,_xlpm.party,ledger!E:E,"&lt;&gt;*RD*",ledger!D:D,"Chamki",ledger!C:C,"&lt;&gt;October Closing CF")+
SUMIFS(ledger!J:J,ledger!B:B,_xlpm.party,ledger!E:E,"&lt;&gt;*RD*",ledger!D:D,"Crinkle",ledger!C:C,"&lt;&gt;October Closing CF")
)+_xlfn.IFNA(G84,0))))</f>
        <v>19929361.741038777</v>
      </c>
      <c r="W5" s="70" cm="1">
        <f t="array" ref="W5">_xlfn.BYROW(B49, _xlfn.LAMBDA(_xlpm.party,
   SUMIFS(ledger!J:J, ledger!B:B, _xlpm.party, ledger!E:E, "&lt;&gt;*RD*", ledger!D:D, "Silky", ledger!C:C, "&lt;&gt;October Closing CF")
)) + _xlfn.IFNA(H84, 0)</f>
        <v>2790010.058522312</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22719371.799561091</v>
      </c>
      <c r="AA5" s="22">
        <f>(SUMIF(Table14[Party],Q5,Table14[Credit]))+_xlfn.IFNA(L84,0)</f>
        <v>19744734</v>
      </c>
      <c r="AB5" s="33">
        <f>Z5-AA5</f>
        <v>2974637.7995610908</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338925</v>
      </c>
      <c r="S6" s="22" cm="1">
        <f t="array" ref="S6">_xlfn.BYROW(B50, _xlfn.LAMBDA(_xlpm.party, SUMIFS(ledger!G:G, ledger!B:B, _xlpm.party, ledger!E:E, "&lt;&gt;*RD*") / 1.0936 ))+_xlfn.IFNA(D85,0)</f>
        <v>309916.78858814924</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161771.21433796635</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2043881.6752011706</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3525337.4177029994</v>
      </c>
      <c r="AA6" s="22">
        <f>(SUMIF(Table14[Party],Q6,Table14[Credit]))+_xlfn.IFNA(L85,0)</f>
        <v>3663904</v>
      </c>
      <c r="AB6" s="33">
        <f>Z6-AA6</f>
        <v>-138566.58229700057</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613973</v>
      </c>
      <c r="S7" s="22" cm="1">
        <f t="array" ref="S7">_xlfn.BYROW(B51, _xlfn.LAMBDA(_xlpm.party, SUMIFS(ledger!G:G, ledger!B:B, _xlpm.party, ledger!E:E, "&lt;&gt;*RD*") / 1.0936 ))+_xlfn.IFNA(D86,0)</f>
        <v>561423.73811265547</v>
      </c>
      <c r="T7" s="22" cm="1">
        <f t="array" ref="T7">(_xlfn.BYROW(B51,_xlfn.LAMBDA(_xlpm.party,SUMIFS(ledger!G:G,ledger!B:B,_xlpm.party,ledger!E:E,"&lt;&gt;*RD*",ledger!D:D,"Chamki")+SUMIFS(ledger!G:G, ledger!B:B, _xlpm.party, ledger!E:E, "&lt;&gt;*RD*", ledger!D:D, "Crinkle")))/1.0936)+_xlfn.IFNA(E86,0)</f>
        <v>483311.08266276523</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4833110.8266276531</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5833781.089978056</v>
      </c>
      <c r="AA7" s="22">
        <f>(SUMIF(Table14[Party],Q7,Table14[Credit]))+_xlfn.IFNA(L86,0)</f>
        <v>5702935</v>
      </c>
      <c r="AB7" s="33">
        <f>Z7-AA7</f>
        <v>130846.08997805603</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48665.874177029997</v>
      </c>
      <c r="E12" s="14">
        <f>(SUMIFS(ledger!G:G, ledger!B:B, B12, ledger!E:E, "&lt;&gt;*RD*",ledger!D:D, "Silky") / 1.0936)*12 + (SUMIFS(ledger!G:G, ledger!B:B, B12, ledger!E:E, "&lt;&gt;*RD*",ledger!D:D, "Chamki") / 1.0936)*10</f>
        <v>486658.74177029997</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2572620</v>
      </c>
      <c r="AB12" s="33">
        <f t="shared" si="2"/>
        <v>18983.877103146166</v>
      </c>
      <c r="AC12" s="21">
        <v>10</v>
      </c>
      <c r="AD12" s="21">
        <v>13</v>
      </c>
    </row>
    <row r="13" spans="2:30" x14ac:dyDescent="0.3">
      <c r="B13" t="str">
        <f t="shared" si="0"/>
        <v>Badshah Fabrics</v>
      </c>
      <c r="C13" s="18">
        <f>SUMIFS(ledger!G:G, ledger!B:B, B13, ledger!E:E, "&lt;&gt;*RD*") / 1.0936</f>
        <v>64923.189465983909</v>
      </c>
      <c r="E13" s="14">
        <f>(SUMIFS(ledger!G:G, ledger!B:B, B13, ledger!E:E, "&lt;&gt;*RD*",ledger!D:D, "Silky") / 1.0936)*12 + (SUMIFS(ledger!G:G, ledger!B:B, B13, ledger!E:E, "&lt;&gt;*RD*",ledger!D:D, "Chamki") / 1.0936)*10</f>
        <v>750839.42940746166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640190</v>
      </c>
      <c r="AB13" s="33">
        <f t="shared" si="2"/>
        <v>1084.6891002196353</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185712</v>
      </c>
      <c r="S15" s="22" cm="1">
        <f t="array" ref="S15">_xlfn.BYROW(B59, _xlfn.LAMBDA(_xlpm.party, SUMIFS(ledger!G:G, ledger!B:B, _xlpm.party, ledger!E:E, "&lt;&gt;*RD*") / 1.0936 ))+_xlfn.IFNA(D94,0)</f>
        <v>169817.11777615215</v>
      </c>
      <c r="T15" s="22" cm="1">
        <f t="array" ref="T15">(_xlfn.BYROW(B59,_xlfn.LAMBDA(_xlpm.party,SUMIFS(ledger!G:G,ledger!B:B,_xlpm.party,ledger!E:E,"&lt;&gt;*RD*",ledger!D:D,"Chamki")+SUMIFS(ledger!G:G, ledger!B:B, _xlpm.party, ledger!E:E, "&lt;&gt;*RD*", ledger!D:D, "Crinkle")))/1.0936)+_xlfn.IFNA(E94,0)</f>
        <v>169817.11777615215</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1698171.1777615217</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1698171.1777615217</v>
      </c>
      <c r="AA15" s="22">
        <f>(SUMIF(Table14[Party],Q15,Table14[Credit]))+_xlfn.IFNA(L94,0)</f>
        <v>1405980</v>
      </c>
      <c r="AB15" s="33">
        <f t="shared" si="2"/>
        <v>292191.17776152166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513848</v>
      </c>
      <c r="S16" s="22" cm="1">
        <f t="array" ref="S16">_xlfn.BYROW(B60, _xlfn.LAMBDA(_xlpm.party, SUMIFS(ledger!G:G, ledger!B:B, _xlpm.party, ledger!E:E, "&lt;&gt;*RD*") / 1.0936 ))+_xlfn.IFNA(D95,0)</f>
        <v>469868.32479882956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113958.48573518655</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1418305.5961960498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4977403.9868324809</v>
      </c>
      <c r="AA16" s="22">
        <f>(SUMIF(Table14[Party],Q16,Table14[Credit]))+_xlfn.IFNA(L95,0)</f>
        <v>4925761</v>
      </c>
      <c r="AB16" s="33">
        <f t="shared" si="2"/>
        <v>51642.986832480878</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12776439.283101687</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4915571</v>
      </c>
      <c r="AB21" s="33">
        <f t="shared" ref="AB21:AB35" si="4">Z21-AA21</f>
        <v>-793935.11850768048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12651878.200438922</v>
      </c>
      <c r="D23" t="s">
        <v>32</v>
      </c>
      <c r="Q23" s="21" t="str">
        <v>Amjad sohail</v>
      </c>
      <c r="R23" s="22" cm="1">
        <f t="array" ref="R23">_xlfn.BYROW(B67,_xlfn.LAMBDA(_xlpm.party,SUMIFS(ledger!G:G,ledger!B:B,_xlpm.party,ledger!E:E,"&lt;&gt;*RD*")))+_xlfn.IFNA(C102,0)</f>
        <v>236739</v>
      </c>
      <c r="S23" s="22" cm="1">
        <f t="array" ref="S23">_xlfn.BYROW(B67, _xlfn.LAMBDA(_xlpm.party, SUMIFS(ledger!G:G, ledger!B:B, _xlpm.party, ledger!E:E, "&lt;&gt;*RD*") / 1.0936 ))+_xlfn.IFNA(D102,0)</f>
        <v>216476.77395757133</v>
      </c>
      <c r="T23" s="22" cm="1">
        <f t="array" ref="T23">(_xlfn.BYROW(B67,_xlfn.LAMBDA(_xlpm.party,SUMIFS(ledger!G:G,ledger!B:B,_xlpm.party,ledger!E:E,"&lt;&gt;*RD*",ledger!D:D,"Chamki")+SUMIFS(ledger!G:G, ledger!B:B, _xlpm.party, ledger!E:E, "&lt;&gt;*RD*", ledger!D:D, "Crinkle")))/1.0936)+_xlfn.IFNA(E102,0)</f>
        <v>172642.64813460133</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1726426.4813460135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2296270.1170446239</v>
      </c>
      <c r="AA23" s="22">
        <f>(SUMIF(Table14[Party],Q23,Table14[Credit]))+_xlfn.IFNA(L102,0)</f>
        <v>2300000</v>
      </c>
      <c r="AB23" s="33">
        <f t="shared" si="4"/>
        <v>-3729.8829553760588</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62740</v>
      </c>
      <c r="S25" s="22" cm="1">
        <f t="array" ref="S25">_xlfn.BYROW(B69, _xlfn.LAMBDA(_xlpm.party, SUMIFS(ledger!G:G, ledger!B:B, _xlpm.party, ledger!E:E, "&lt;&gt;*RD*") / 1.0936 ))+_xlfn.IFNA(D104,0)</f>
        <v>57370.153621068035</v>
      </c>
      <c r="T25" s="22" cm="1">
        <f t="array" ref="T25">(_xlfn.BYROW(B69,_xlfn.LAMBDA(_xlpm.party,SUMIFS(ledger!G:G,ledger!B:B,_xlpm.party,ledger!E:E,"&lt;&gt;*RD*",ledger!D:D,"Chamki")+SUMIFS(ledger!G:G, ledger!B:B, _xlpm.party, ledger!E:E, "&lt;&gt;*RD*", ledger!D:D, "Crinkle")))/1.0936)+_xlfn.IFNA(E104,0)</f>
        <v>57370.153621068035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573701.53621068026</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573701.53621068026</v>
      </c>
      <c r="AA25" s="22">
        <f>(SUMIF(Table14[Party],Q25,Table14[Credit]))+_xlfn.IFNA(L104,0)</f>
        <v>553325</v>
      </c>
      <c r="AB25" s="33">
        <f t="shared" si="4"/>
        <v>20376.536210680264</v>
      </c>
      <c r="AC25" s="21">
        <v>10</v>
      </c>
      <c r="AD25" s="21">
        <v>13</v>
      </c>
    </row>
    <row r="26" spans="2:30"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424323.335771763</v>
      </c>
      <c r="AA26" s="22">
        <f>(SUMIF(Table14[Party],Q26,Table14[Credit]))+_xlfn.IFNA(L105,0)</f>
        <v>424323</v>
      </c>
      <c r="AB26" s="33">
        <f t="shared" si="4"/>
        <v>0.33577176299877465</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337000</v>
      </c>
      <c r="AB27" s="33">
        <f t="shared" si="4"/>
        <v>2383.6869056327851</v>
      </c>
      <c r="AC27" s="21">
        <v>10</v>
      </c>
      <c r="AD27" s="21">
        <v>13</v>
      </c>
    </row>
    <row r="28" spans="2:30"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124561.08266276518</v>
      </c>
      <c r="AA28" s="22">
        <f>(SUMIF(Table14[Party],Q28,Table14[Credit]))+_xlfn.IFNA(L107,0)</f>
        <v>100000</v>
      </c>
      <c r="AB28" s="33">
        <f t="shared" si="4"/>
        <v>24561.082662765184</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2">_xlfn.UNIQUE(Table1[Party Name])</f>
        <v>BSC</v>
      </c>
      <c r="C49" s="22" cm="1">
        <f t="array" ref="C49:C72">_xlfn.BYROW(_xlfn.ANCHORARRAY(B49),_xlfn.LAMBDA(_xlpm.party,SUMIFS(ledger!G:G,ledger!B:B,_xlpm.party,ledger!E:E,"&lt;&gt;*RD*")))</f>
        <v>216204</v>
      </c>
      <c r="D49" s="22" cm="1">
        <f t="array" ref="D49:D72">_xlfn.BYROW(_xlfn.ANCHORARRAY(B49), _xlfn.LAMBDA(_xlpm.party, SUMIFS(ledger!G:G, ledger!B:B, _xlpm.party, ledger!E:E, "&lt;&gt;*RD*") / 1.0936 ))</f>
        <v>197699.34162399417</v>
      </c>
      <c r="E49" s="63" cm="1">
        <f t="array" ref="E49:E72">(_xlfn.BYROW(_xlfn.ANCHORARRAY(B49),_xlfn.LAMBDA(_xlpm.party,SUMIFS(ledger!G:G,ledger!B:B,_xlpm.party,ledger!E:E,"&lt;&gt;*RD*",ledger!D:D,"Chamki")+SUMIFS(ledger!G:G, ledger!B:B, _xlpm.party, ledger!E:E, "&lt;&gt;*RD*", ledger!D:D, "Crinkle")))/1.0936)</f>
        <v>97533.833211411853</v>
      </c>
      <c r="F49" s="63" cm="1">
        <f t="array" ref="F49:F72">(_xlfn.BYROW(_xlfn.ANCHORARRAY(B49),_xlfn.LAMBDA(_xlpm.party,SUMIFS(ledger!G:G,ledger!B:B,_xlpm.party,ledger!E:E,"&lt;&gt;*RD*",ledger!D:D,"Silky")))/1.0936)</f>
        <v>100165.50841258231</v>
      </c>
      <c r="G49" s="22" cm="1">
        <f t="array" ref="G49">(_xlfn.BYROW(B49,_xlfn.LAMBDA(_xlpm.party,
(SUMIFS(ledger!J:J,ledger!B:B,_xlpm.party,ledger!E:E,"&lt;&gt;*RD*",ledger!D:D,"Chamki",ledger!C:C,"&lt;&gt;October Closing CF")+
SUMIFS(ledger!J:J,ledger!B:B,_xlpm.party,ledger!E:E,"&lt;&gt;*RD*",ledger!D:D,"Crinkle",ledger!C:C,"&lt;&gt;October Closing CF")
))))</f>
        <v>975338.33211411885</v>
      </c>
      <c r="H49" s="22" cm="1">
        <f t="array" ref="H49">_xlfn.BYROW(B49, _xlfn.LAMBDA(_xlpm.party,
   SUMIFS(ledger!J:J, ledger!B:B, _xlpm.party, ledger!E:E, "&lt;&gt;*RD*", ledger!D:D, "Silky", ledger!C:C, "&lt;&gt;October Closing CF")
))</f>
        <v>1302151.6093635699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2277489.941477689</v>
      </c>
      <c r="L49" s="22">
        <f>(SUMIF(Table14[Party],B49,Table14[Credit]))</f>
        <v>1333058</v>
      </c>
      <c r="M49" s="37">
        <f>K49-L49</f>
        <v>944431.94147768896</v>
      </c>
      <c r="N49" s="21">
        <v>10</v>
      </c>
      <c r="O49" s="21">
        <v>12</v>
      </c>
    </row>
    <row r="50" spans="1:26" x14ac:dyDescent="0.3">
      <c r="B50" s="24" t="str">
        <v>Ejaz Sahab</v>
      </c>
      <c r="C50" s="22">
        <v>61084</v>
      </c>
      <c r="D50" s="22">
        <v>55855.888807607902</v>
      </c>
      <c r="E50" s="63">
        <v>0</v>
      </c>
      <c r="F50" s="63">
        <v>55855.888807607902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726126.55449890287</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726126.55449890287</v>
      </c>
      <c r="L50" s="22">
        <f>(SUMIF(Table14[Party],B50,Table14[Credit]))</f>
        <v>500000</v>
      </c>
      <c r="M50" s="37">
        <f>K50-L50</f>
        <v>226126.55449890287</v>
      </c>
      <c r="N50" s="21">
        <v>10</v>
      </c>
      <c r="O50" s="21">
        <v>12</v>
      </c>
    </row>
    <row r="51" spans="1:26" x14ac:dyDescent="0.3">
      <c r="B51" s="24" t="str">
        <v>Arshad</v>
      </c>
      <c r="C51" s="22">
        <v>168467</v>
      </c>
      <c r="D51" s="22">
        <v>154048.09802487199</v>
      </c>
      <c r="E51" s="63">
        <v>90729.700073152897</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907297.0007315292</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1730436.1741038775</v>
      </c>
      <c r="L51" s="22">
        <f>(SUMIF(Table14[Party],B51,Table14[Credit]))</f>
        <v>1600000</v>
      </c>
      <c r="M51" s="37">
        <f>K51-L51</f>
        <v>130436.17410387751</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955000</v>
      </c>
      <c r="M56" s="37">
        <f t="shared" ref="M56:M78" si="8">K56-L56</f>
        <v>-308931.9678127286</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10040</v>
      </c>
      <c r="M57" s="37">
        <f t="shared" si="8"/>
        <v>-10040</v>
      </c>
      <c r="N57" s="21">
        <v>10</v>
      </c>
      <c r="O57" s="21">
        <v>12</v>
      </c>
      <c r="X57" s="4" t="s">
        <v>21</v>
      </c>
      <c r="Y57" s="5">
        <v>197699.34162399417</v>
      </c>
      <c r="Z57" s="18">
        <v>2177324.4330651062</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55855.888807607902</v>
      </c>
      <c r="Z58" s="18">
        <v>670270.66569129482</v>
      </c>
    </row>
    <row r="59" spans="1:26" x14ac:dyDescent="0.3">
      <c r="B59" s="24" t="str">
        <v>Hafiz Qureshi</v>
      </c>
      <c r="C59" s="22">
        <v>53221</v>
      </c>
      <c r="D59" s="22">
        <v>48665.874177029997</v>
      </c>
      <c r="E59" s="63">
        <v>48665.874177029997</v>
      </c>
      <c r="F59" s="63">
        <v>0</v>
      </c>
      <c r="G59" s="22" cm="1">
        <f t="array" ref="G59">(_xlfn.BYROW(B59,_xlfn.LAMBDA(_xlpm.party,
(SUMIFS(ledger!J:J,ledger!B:B,_xlpm.party,ledger!E:E,"&lt;&gt;*RD*",ledger!D:D,"Chamki",ledger!C:C,"&lt;&gt;October Closing CF")+
SUMIFS(ledger!J:J,ledger!B:B,_xlpm.party,ledger!E:E,"&lt;&gt;*RD*",ledger!D:D,"Crinkle",ledger!C:C,"&lt;&gt;October Closing CF")
))))</f>
        <v>486658.74177029997</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486658.74177029997</v>
      </c>
      <c r="L59" s="22">
        <f>SUMIF(Table14[Party], B59, Table14[Credit])</f>
        <v>205980</v>
      </c>
      <c r="M59" s="37">
        <f t="shared" si="8"/>
        <v>280678.74177029997</v>
      </c>
      <c r="N59" s="21">
        <v>10</v>
      </c>
      <c r="O59" s="21">
        <v>12</v>
      </c>
      <c r="X59" s="4" t="s">
        <v>9</v>
      </c>
      <c r="Y59" s="5">
        <v>154048.09802487199</v>
      </c>
      <c r="Z59" s="18">
        <v>1667117.7761521582</v>
      </c>
    </row>
    <row r="60" spans="1:26" x14ac:dyDescent="0.3">
      <c r="B60" s="24" t="str">
        <v>Badshah Fabrics</v>
      </c>
      <c r="C60" s="22">
        <v>71000</v>
      </c>
      <c r="D60" s="22">
        <v>64923.189465983909</v>
      </c>
      <c r="E60" s="63">
        <v>14119.422092172643</v>
      </c>
      <c r="F60" s="63">
        <v>50803.767373811272</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660448.97585954645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801643.19678127288</v>
      </c>
      <c r="L60" s="22">
        <f>SUMIF(Table14[Party], B60, Table14[Credit])</f>
        <v>925217</v>
      </c>
      <c r="M60" s="37">
        <f t="shared" si="8"/>
        <v>-123573.80321872712</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64606.803218727146</v>
      </c>
      <c r="Z64" s="18">
        <v>646068.0321872714</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2000000</v>
      </c>
      <c r="M65" s="37">
        <f t="shared" si="8"/>
        <v>-525493.78200438898</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128390</v>
      </c>
      <c r="D67" s="22">
        <v>117401.24359912217</v>
      </c>
      <c r="E67" s="63">
        <v>117401.24359912217</v>
      </c>
      <c r="F67" s="63">
        <v>0</v>
      </c>
      <c r="G67" s="22" cm="1">
        <f t="array" ref="G67">(_xlfn.BYROW(B67,_xlfn.LAMBDA(_xlpm.party,
(SUMIFS(ledger!J:J,ledger!B:B,_xlpm.party,ledger!E:E,"&lt;&gt;*RD*",ledger!D:D,"Chamki",ledger!C:C,"&lt;&gt;October Closing CF")+
SUMIFS(ledger!J:J,ledger!B:B,_xlpm.party,ledger!E:E,"&lt;&gt;*RD*",ledger!D:D,"Crinkle",ledger!C:C,"&lt;&gt;October Closing CF")
))))</f>
        <v>1174012.4359912218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1174012.4359912218</v>
      </c>
      <c r="L67" s="22">
        <f>SUMIF(Table14[Party], B67, Table14[Credit])</f>
        <v>1500000</v>
      </c>
      <c r="M67" s="37">
        <f t="shared" si="8"/>
        <v>-325987.56400877819</v>
      </c>
      <c r="N67" s="21">
        <v>10</v>
      </c>
      <c r="O67" s="21">
        <v>12</v>
      </c>
      <c r="X67" s="4" t="s">
        <v>27</v>
      </c>
      <c r="Y67" s="5">
        <v>48665.874177029997</v>
      </c>
      <c r="Z67" s="18">
        <v>486658.74177029997</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167</v>
      </c>
      <c r="Y68" s="5">
        <v>64923.189465983909</v>
      </c>
      <c r="Z68" s="18">
        <v>750839.42940746166</v>
      </c>
    </row>
    <row r="69" spans="2:26" x14ac:dyDescent="0.3">
      <c r="B69" t="str">
        <v>Shahid Qasayi</v>
      </c>
      <c r="C69" s="22">
        <v>62740</v>
      </c>
      <c r="D69" s="22">
        <v>57370.153621068035</v>
      </c>
      <c r="E69" s="63">
        <v>57370.153621068035</v>
      </c>
      <c r="F69" s="21">
        <v>0</v>
      </c>
      <c r="G69" s="22" cm="1">
        <f t="array" ref="G69">(_xlfn.BYROW(B69,_xlfn.LAMBDA(_xlpm.party,
(SUMIFS(ledger!J:J,ledger!B:B,_xlpm.party,ledger!E:E,"&lt;&gt;*RD*",ledger!D:D,"Chamki",ledger!C:C,"&lt;&gt;October Closing CF")+
SUMIFS(ledger!J:J,ledger!B:B,_xlpm.party,ledger!E:E,"&lt;&gt;*RD*",ledger!D:D,"Crinkle",ledger!C:C,"&lt;&gt;October Closing CF")
))))</f>
        <v>573701.53621068026</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573701.53621068026</v>
      </c>
      <c r="L69" s="22">
        <f>SUMIF(Table14[Party], B69, Table14[Credit])</f>
        <v>553325</v>
      </c>
      <c r="M69" s="37">
        <f t="shared" si="8"/>
        <v>20376.536210680264</v>
      </c>
      <c r="N69" s="21">
        <v>10</v>
      </c>
      <c r="O69" s="21">
        <v>12</v>
      </c>
      <c r="X69" s="4" t="s">
        <v>169</v>
      </c>
      <c r="Y69" s="5">
        <v>0</v>
      </c>
      <c r="Z69" s="18">
        <v>0</v>
      </c>
    </row>
    <row r="70" spans="2:26"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424323.335771763</v>
      </c>
      <c r="L70" s="22">
        <f>SUMIF(Table14[Party], B70, Table14[Credit])</f>
        <v>424323</v>
      </c>
      <c r="M70" s="37">
        <f t="shared" si="8"/>
        <v>0.33577176299877465</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337000</v>
      </c>
      <c r="M71" s="37">
        <f t="shared" si="8"/>
        <v>2383.6869056327851</v>
      </c>
      <c r="X71" s="4" t="s">
        <v>177</v>
      </c>
      <c r="Y71" s="5">
        <v>0</v>
      </c>
      <c r="Z71" s="18">
        <v>0</v>
      </c>
    </row>
    <row r="72" spans="2:26"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124561.08266276518</v>
      </c>
      <c r="L72" s="22">
        <f>SUMIF(Table14[Party], B72, Table14[Credit])</f>
        <v>100000</v>
      </c>
      <c r="M72" s="37">
        <f t="shared" si="8"/>
        <v>24561.082662765184</v>
      </c>
      <c r="X72" s="4" t="s">
        <v>179</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858143.74542794446</v>
      </c>
      <c r="Z74" s="14">
        <v>9348571.6898317486</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7">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7"/>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7">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2421612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2214348.9392831018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1992936.1741038773</v>
      </c>
      <c r="E12" s="92">
        <f ca="1">Table21[[#This Row],[gazana]]*Table21[[#This Row],[Rate]]</f>
        <v>19929361.741038773</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221412.7651792246</v>
      </c>
      <c r="E14" s="66">
        <f ca="1">Table21[[#This Row],[gazana]]*Table21[[#This Row],[Rate]]</f>
        <v>2656953.1821506955</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22586314.923189469</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19744734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2974637.7995610908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4097500</v>
      </c>
      <c r="D4" t="s">
        <v>219</v>
      </c>
    </row>
    <row r="5" spans="1:4" x14ac:dyDescent="0.3">
      <c r="B5" t="s">
        <v>48</v>
      </c>
      <c r="C5" s="11">
        <f>SUM(Table8[Price])+Table2325[[#Totals],[total]]</f>
        <v>1241770</v>
      </c>
    </row>
    <row r="6" spans="1:4" x14ac:dyDescent="0.3">
      <c r="B6" t="s">
        <v>49</v>
      </c>
      <c r="C6" s="11">
        <f>SUM(Table2[Price])+Finish!J30</f>
        <v>852000</v>
      </c>
      <c r="D6" t="s">
        <v>218</v>
      </c>
    </row>
    <row r="7" spans="1:4" x14ac:dyDescent="0.3">
      <c r="B7" t="s">
        <v>50</v>
      </c>
      <c r="C7" s="11">
        <f>SUMIFS(Table14[Debit], Table14[Party],Table12[[#This Row],[Type]])</f>
        <v>12320</v>
      </c>
    </row>
    <row r="8" spans="1:4" x14ac:dyDescent="0.3">
      <c r="B8" t="s">
        <v>51</v>
      </c>
      <c r="C8" s="11">
        <f>Electricity!E3</f>
        <v>0</v>
      </c>
    </row>
    <row r="9" spans="1:4" x14ac:dyDescent="0.3">
      <c r="B9" t="s">
        <v>52</v>
      </c>
      <c r="C9" s="11">
        <f>SUMIFS(Table14[Debit], Table14[Party],Table12[[#This Row],[Type]])+SUMIFS(Table14[Debit], Table14[Party],"Advance Salary")</f>
        <v>266250</v>
      </c>
    </row>
    <row r="10" spans="1:4" x14ac:dyDescent="0.3">
      <c r="B10" t="s">
        <v>53</v>
      </c>
      <c r="C10" s="11">
        <f>Table5[[#Totals],[Amount]]</f>
        <v>85660</v>
      </c>
    </row>
    <row r="11" spans="1:4" x14ac:dyDescent="0.3">
      <c r="B11" t="s">
        <v>54</v>
      </c>
      <c r="C11" s="11">
        <f>Table13[[#Totals],[Debit]]</f>
        <v>119750</v>
      </c>
    </row>
    <row r="12" spans="1:4" x14ac:dyDescent="0.3">
      <c r="B12" t="s">
        <v>55</v>
      </c>
      <c r="C12" s="11">
        <f>Table15[[#Totals],[Amount]]</f>
        <v>266820</v>
      </c>
    </row>
    <row r="13" spans="1:4" x14ac:dyDescent="0.3">
      <c r="C13" s="11"/>
    </row>
    <row r="14" spans="1:4" x14ac:dyDescent="0.3">
      <c r="C14" s="14">
        <f>SUM(Table12[Amount])</f>
        <v>6942070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12651878.200438922</v>
      </c>
    </row>
    <row r="4" spans="1:3" x14ac:dyDescent="0.3">
      <c r="B4" s="11" t="s">
        <v>44</v>
      </c>
      <c r="C4" s="11">
        <f>Table12[[#Totals],[Amount]]</f>
        <v>6942070</v>
      </c>
    </row>
    <row r="5" spans="1:3" x14ac:dyDescent="0.3">
      <c r="A5" s="6"/>
      <c r="B5" s="15" t="s">
        <v>68</v>
      </c>
      <c r="C5" s="15">
        <f>C3-C4</f>
        <v>5709808.2004389223</v>
      </c>
    </row>
    <row r="10" spans="1:3" ht="15" thickBot="1" x14ac:dyDescent="0.35">
      <c r="B10" t="s">
        <v>66</v>
      </c>
      <c r="C10" s="14" t="s">
        <v>67</v>
      </c>
    </row>
    <row r="11" spans="1:3" x14ac:dyDescent="0.3">
      <c r="B11" s="56" t="s">
        <v>0</v>
      </c>
      <c r="C11" s="57">
        <f>C3</f>
        <v>12651878.200438922</v>
      </c>
    </row>
    <row r="12" spans="1:3" x14ac:dyDescent="0.3">
      <c r="B12" s="58" t="s">
        <v>69</v>
      </c>
      <c r="C12" s="59">
        <f>SUM(Table14[Credit])</f>
        <v>12665070</v>
      </c>
    </row>
    <row r="13" spans="1:3" ht="15" thickBot="1" x14ac:dyDescent="0.35">
      <c r="B13" s="74" t="s">
        <v>94</v>
      </c>
      <c r="C13" s="73">
        <f>(C11-C12)</f>
        <v>-13191.799561077729</v>
      </c>
    </row>
    <row r="14" spans="1:3" ht="15" thickBot="1" x14ac:dyDescent="0.35">
      <c r="B14" s="58"/>
      <c r="C14" s="59"/>
    </row>
    <row r="15" spans="1:3" x14ac:dyDescent="0.3">
      <c r="B15" s="56" t="s">
        <v>44</v>
      </c>
      <c r="C15" s="57">
        <f>C4</f>
        <v>6942070</v>
      </c>
    </row>
    <row r="16" spans="1:3" x14ac:dyDescent="0.3">
      <c r="B16" s="58" t="s">
        <v>70</v>
      </c>
      <c r="C16" s="59">
        <f>SUM(Table14[Debit])</f>
        <v>12599619</v>
      </c>
    </row>
    <row r="17" spans="2:6" ht="15" thickBot="1" x14ac:dyDescent="0.35">
      <c r="B17" s="74" t="s">
        <v>71</v>
      </c>
      <c r="C17" s="73">
        <f>C15-C16</f>
        <v>-5657549</v>
      </c>
    </row>
    <row r="18" spans="2:6" ht="15" thickBot="1" x14ac:dyDescent="0.35">
      <c r="B18" s="58"/>
      <c r="C18" s="59"/>
    </row>
    <row r="19" spans="2:6" ht="15" thickBot="1" x14ac:dyDescent="0.35">
      <c r="B19" s="75" t="s">
        <v>72</v>
      </c>
      <c r="C19" s="76">
        <f>Table18[[#Totals],[amount]]</f>
        <v>65451</v>
      </c>
    </row>
    <row r="20" spans="2:6" ht="15" thickBot="1" x14ac:dyDescent="0.35">
      <c r="B20" s="71"/>
      <c r="C20" s="72"/>
    </row>
    <row r="21" spans="2:6" ht="15" thickBot="1" x14ac:dyDescent="0.35">
      <c r="B21" s="60" t="s">
        <v>73</v>
      </c>
      <c r="C21" s="61">
        <f>(C13-C17)+C19</f>
        <v>5709808.2004389223</v>
      </c>
      <c r="E21" s="79" t="s">
        <v>74</v>
      </c>
      <c r="F21" s="80">
        <f>C5*0.05</f>
        <v>285490.41002194613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119750</v>
      </c>
      <c r="E38">
        <f>SUBTOTAL(109,Table13[Credit])</f>
        <v>0</v>
      </c>
      <c r="F38">
        <f>Table13[[#Totals],[Debit]]-Table13[[#Totals],[Credit]]</f>
        <v>119750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26"/>
  <sheetViews>
    <sheetView topLeftCell="A159" zoomScale="91" zoomScaleNormal="82" workbookViewId="0">
      <selection activeCell="I186" sqref="I18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-16.665301155806887</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6.9356643793187231</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45.809439904460334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45.809439904460334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6.9356643793187231</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6.9356643793187231</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14.606391470011204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45.809439904460334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14.606391470011204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v>10964</v>
      </c>
      <c r="H159" s="133">
        <f>_xlfn.XLOOKUP(Table1[[#This Row],[Shipment Number]], 'pivot '!A:A,'pivot '!G:G, "NF")</f>
        <v>-16.665301155806887</v>
      </c>
      <c r="I159" s="111">
        <f>Table1[[#This Row],[Tiyaar/gaz]]/1.0936</f>
        <v>10025.603511338699</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130332.84564740308</v>
      </c>
      <c r="K159" s="126"/>
    </row>
    <row r="160" spans="1:11" x14ac:dyDescent="0.3">
      <c r="A160" s="127">
        <v>45993</v>
      </c>
      <c r="B160" s="126" t="s">
        <v>184</v>
      </c>
      <c r="C160" s="126">
        <v>1169</v>
      </c>
      <c r="D160" s="126"/>
      <c r="E160" s="11"/>
      <c r="F160" s="11"/>
      <c r="G160" s="11"/>
      <c r="H160" s="133" t="e">
        <f>_xlfn.XLOOKUP(Table1[[#This Row],[Shipment Number]], 'pivot '!A:A,'pivot '!G:G, "NF")</f>
        <v>#DIV/0!</v>
      </c>
      <c r="I160" s="111">
        <f>Table1[[#This Row],[Tiyaar/gaz]]/1.0936</f>
        <v>0</v>
      </c>
      <c r="J160" s="99"/>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14.606391470011204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17.269895343330035</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73.406099574422811</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17.269895343330035</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17.269895343330035</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19.642474980155328</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62.284035467542267</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17.269895343330035</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v>38741</v>
      </c>
      <c r="G176" s="11">
        <v>2146</v>
      </c>
      <c r="H176" s="133">
        <f>_xlfn.XLOOKUP(Table1[[#This Row],[Shipment Number]], 'pivot '!A:A,'pivot '!G:G, "NF")</f>
        <v>45.809439904460334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73.406099574422811</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37.615170273553431</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6.9356643793187231</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17.269895343330035</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c r="B184"/>
      <c r="C184"/>
      <c r="D184"/>
      <c r="E184" s="14"/>
      <c r="F184" s="14"/>
      <c r="G184" s="14"/>
      <c r="H184" s="43"/>
      <c r="I184" s="94" cm="1">
        <f t="array" aca="1" ref="I184" ca="1">SUMPRODUCT( SUBTOTAL(109, OFFSET(Table1[tiyar/meters], ROW(Table1[tiyar/meters])-MIN(ROW(Table1[tiyar/meters])), 0, 1)), --(Table1[Bill Number]&lt;&gt;"October Closing CF") )</f>
        <v>1145319.1294806148</v>
      </c>
      <c r="J184" s="43" cm="1">
        <f t="array" aca="1" ref="J184" ca="1">SUMPRODUCT( SUBTOTAL(109, OFFSET(Table1[billing], ROW(Table1[billing])-MIN(ROW(Table1[billing])), 0, 1)), --(Table1[Bill Number]&lt;&gt;"October Closing CF") )</f>
        <v>12776439.283101683</v>
      </c>
      <c r="K184" s="14">
        <f>SUMIFS(Table1[billing], Table1[Bill Number], "&lt;&gt;October Closing CF")</f>
        <v>12776439.283101683</v>
      </c>
    </row>
    <row r="185" spans="1:11" x14ac:dyDescent="0.3">
      <c r="D185"/>
      <c r="E185"/>
      <c r="F185"/>
      <c r="G185"/>
      <c r="I185"/>
      <c r="J185"/>
      <c r="K185"/>
    </row>
    <row r="186" spans="1:11" x14ac:dyDescent="0.3">
      <c r="D186"/>
      <c r="E186"/>
      <c r="F186"/>
      <c r="G186"/>
      <c r="I186"/>
      <c r="J186"/>
      <c r="K186"/>
    </row>
    <row r="187" spans="1:11" x14ac:dyDescent="0.3">
      <c r="D187"/>
      <c r="E187"/>
      <c r="F187"/>
      <c r="G187"/>
      <c r="I187"/>
      <c r="J187"/>
      <c r="K187"/>
    </row>
    <row r="188" spans="1:11" x14ac:dyDescent="0.3">
      <c r="D188"/>
      <c r="E188"/>
      <c r="F188"/>
      <c r="G188"/>
    </row>
    <row r="189" spans="1:11" x14ac:dyDescent="0.3">
      <c r="D189"/>
      <c r="E189"/>
      <c r="F189"/>
      <c r="G189"/>
    </row>
    <row r="190" spans="1:11" x14ac:dyDescent="0.3">
      <c r="D190"/>
      <c r="E190"/>
      <c r="F190"/>
      <c r="G190"/>
    </row>
    <row r="191" spans="1:11" x14ac:dyDescent="0.3">
      <c r="D191"/>
      <c r="E191"/>
      <c r="F191"/>
      <c r="G191"/>
    </row>
    <row r="192" spans="1:11"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sheetData>
  <phoneticPr fontId="7" alignment="center"/>
  <conditionalFormatting sqref="H2:H183">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9"/>
  <sheetViews>
    <sheetView tabSelected="1" topLeftCell="A19" zoomScale="145" zoomScaleNormal="90" workbookViewId="0">
      <selection activeCell="H35" sqref="H3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3530500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D30" s="11"/>
      <c r="E30" s="11"/>
      <c r="F30" s="11"/>
      <c r="G30" s="11">
        <f>D30*E30</f>
        <v>0</v>
      </c>
      <c r="H30" s="11">
        <f>SUMIFS(Table14[Debit], Table14[Date], Table3[[#This Row],[Date]], Table14[Party], Table3[[#This Row],[Party Name]])</f>
        <v>170000</v>
      </c>
      <c r="I30" s="11">
        <f>(D30*E30)-Table3[[#This Row],[Paid]]</f>
        <v>-170000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D32" s="11"/>
      <c r="E32" s="11"/>
      <c r="F32" s="11"/>
      <c r="G32" s="11">
        <f>D32*E32</f>
        <v>0</v>
      </c>
      <c r="H32" s="11">
        <f>SUMIFS(Table14[Debit], Table14[Date], Table3[[#This Row],[Date]], Table14[Party], Table3[[#This Row],[Party Name]])</f>
        <v>40450</v>
      </c>
      <c r="I32" s="11">
        <f>(D32*E32)-Table3[[#This Row],[Paid]]</f>
        <v>-40450</v>
      </c>
      <c r="L32" s="26">
        <v>45988</v>
      </c>
      <c r="M32" s="14">
        <v>496</v>
      </c>
      <c r="N32" s="14">
        <v>401760</v>
      </c>
      <c r="O32" s="14">
        <v>281000</v>
      </c>
      <c r="P32" s="14">
        <v>120760</v>
      </c>
    </row>
    <row r="33" spans="1:16" x14ac:dyDescent="0.3">
      <c r="A33" s="1"/>
      <c r="D33" s="14"/>
      <c r="E33" s="14"/>
      <c r="F33" s="14"/>
      <c r="G33" s="14">
        <f>SUBTOTAL(109,Table3[Total])</f>
        <v>3530500</v>
      </c>
      <c r="H33" s="14">
        <f>SUBTOTAL(109,Table3[Paid])</f>
        <v>3889303</v>
      </c>
      <c r="I33" s="14">
        <f>SUBTOTAL(109,Table3[balance])</f>
        <v>2965650</v>
      </c>
      <c r="L33" s="42" t="s">
        <v>104</v>
      </c>
      <c r="M33" s="14"/>
      <c r="N33" s="14">
        <v>0</v>
      </c>
      <c r="O33" s="14">
        <v>175000</v>
      </c>
      <c r="P33" s="14">
        <v>-175000</v>
      </c>
    </row>
    <row r="34" spans="1:16" x14ac:dyDescent="0.3">
      <c r="L34" s="42" t="s">
        <v>292</v>
      </c>
      <c r="M34" s="14">
        <v>496</v>
      </c>
      <c r="N34" s="14">
        <v>401760</v>
      </c>
      <c r="O34" s="14">
        <v>106000</v>
      </c>
      <c r="P34" s="14">
        <v>295760</v>
      </c>
    </row>
    <row r="35" spans="1:16" x14ac:dyDescent="0.3">
      <c r="L35" s="26">
        <v>45989</v>
      </c>
      <c r="M35" s="14">
        <v>287</v>
      </c>
      <c r="N35" s="14">
        <v>232470</v>
      </c>
      <c r="O35" s="14">
        <v>46100</v>
      </c>
      <c r="P35" s="14">
        <v>186370</v>
      </c>
    </row>
    <row r="36" spans="1:16" x14ac:dyDescent="0.3">
      <c r="L36" s="42" t="s">
        <v>310</v>
      </c>
      <c r="M36" s="14">
        <v>287</v>
      </c>
      <c r="N36" s="14">
        <v>232470</v>
      </c>
      <c r="O36" s="14">
        <v>46100</v>
      </c>
      <c r="P36" s="14">
        <v>186370</v>
      </c>
    </row>
    <row r="37" spans="1:16" x14ac:dyDescent="0.3">
      <c r="L37" s="26">
        <v>45990</v>
      </c>
      <c r="M37" s="14"/>
      <c r="N37" s="14">
        <v>0</v>
      </c>
      <c r="O37" s="14">
        <v>400338</v>
      </c>
      <c r="P37" s="14">
        <v>-400338</v>
      </c>
    </row>
    <row r="38" spans="1:16" x14ac:dyDescent="0.3">
      <c r="L38" s="42" t="s">
        <v>104</v>
      </c>
      <c r="M38" s="14"/>
      <c r="N38" s="14">
        <v>0</v>
      </c>
      <c r="O38" s="14">
        <v>400338</v>
      </c>
      <c r="P38" s="14">
        <v>-400338</v>
      </c>
    </row>
    <row r="39" spans="1:16" x14ac:dyDescent="0.3">
      <c r="L39" s="26">
        <v>45992</v>
      </c>
      <c r="M39" s="14">
        <v>433</v>
      </c>
      <c r="N39" s="14">
        <v>350730</v>
      </c>
      <c r="O39" s="14">
        <v>300204</v>
      </c>
      <c r="P39" s="14">
        <v>50526</v>
      </c>
    </row>
    <row r="40" spans="1:16" x14ac:dyDescent="0.3">
      <c r="L40" s="42" t="s">
        <v>224</v>
      </c>
      <c r="M40" s="14">
        <v>433</v>
      </c>
      <c r="N40" s="14">
        <v>350730</v>
      </c>
      <c r="O40" s="14">
        <v>300204</v>
      </c>
      <c r="P40" s="14">
        <v>50526</v>
      </c>
    </row>
    <row r="41" spans="1:16" x14ac:dyDescent="0.3">
      <c r="L41" s="26">
        <v>45993</v>
      </c>
      <c r="M41" s="14"/>
      <c r="N41" s="14">
        <v>0</v>
      </c>
      <c r="O41" s="14">
        <v>274600</v>
      </c>
      <c r="P41" s="14">
        <v>-274600</v>
      </c>
    </row>
    <row r="42" spans="1:16" x14ac:dyDescent="0.3">
      <c r="L42" s="42" t="s">
        <v>104</v>
      </c>
      <c r="M42" s="14"/>
      <c r="N42" s="14">
        <v>0</v>
      </c>
      <c r="O42" s="14">
        <v>274600</v>
      </c>
      <c r="P42" s="14">
        <v>-274600</v>
      </c>
    </row>
    <row r="43" spans="1:16" x14ac:dyDescent="0.3">
      <c r="L43" s="26">
        <v>45994</v>
      </c>
      <c r="M43" s="14">
        <v>225</v>
      </c>
      <c r="N43" s="14">
        <v>186750</v>
      </c>
      <c r="O43" s="14">
        <v>300768</v>
      </c>
      <c r="P43" s="14">
        <v>-114018</v>
      </c>
    </row>
    <row r="44" spans="1:16" x14ac:dyDescent="0.3">
      <c r="L44" s="42" t="s">
        <v>104</v>
      </c>
      <c r="M44" s="14"/>
      <c r="N44" s="14">
        <v>0</v>
      </c>
      <c r="O44" s="14">
        <v>250768</v>
      </c>
      <c r="P44" s="14">
        <v>-250768</v>
      </c>
    </row>
    <row r="45" spans="1:16" x14ac:dyDescent="0.3">
      <c r="L45" s="42" t="s">
        <v>342</v>
      </c>
      <c r="M45" s="14">
        <v>225</v>
      </c>
      <c r="N45" s="14">
        <v>186750</v>
      </c>
      <c r="O45" s="14">
        <v>50000</v>
      </c>
      <c r="P45" s="14">
        <v>136750</v>
      </c>
    </row>
    <row r="46" spans="1:16" x14ac:dyDescent="0.3">
      <c r="L46" s="26">
        <v>45995</v>
      </c>
      <c r="M46" s="14">
        <v>471</v>
      </c>
      <c r="N46" s="14">
        <v>381510</v>
      </c>
      <c r="O46" s="14">
        <v>588188</v>
      </c>
      <c r="P46" s="14">
        <v>-206678</v>
      </c>
    </row>
    <row r="47" spans="1:16" x14ac:dyDescent="0.3">
      <c r="L47" s="42" t="s">
        <v>104</v>
      </c>
      <c r="M47" s="14"/>
      <c r="N47" s="14">
        <v>0</v>
      </c>
      <c r="O47" s="14">
        <v>170000</v>
      </c>
      <c r="P47" s="14">
        <v>-170000</v>
      </c>
    </row>
    <row r="48" spans="1:16" x14ac:dyDescent="0.3">
      <c r="L48" s="42" t="s">
        <v>355</v>
      </c>
      <c r="M48" s="14">
        <v>471</v>
      </c>
      <c r="N48" s="14">
        <v>381510</v>
      </c>
      <c r="O48" s="14">
        <v>418188</v>
      </c>
      <c r="P48" s="14">
        <v>-36678</v>
      </c>
    </row>
    <row r="49" spans="12:16" x14ac:dyDescent="0.3">
      <c r="L49" s="26" t="s">
        <v>28</v>
      </c>
      <c r="M49" s="14">
        <v>4437</v>
      </c>
      <c r="N49" s="14">
        <v>3530500</v>
      </c>
      <c r="O49" s="14">
        <v>3848853</v>
      </c>
      <c r="P49" s="14">
        <v>3006100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87"/>
  <sheetViews>
    <sheetView topLeftCell="A271" zoomScale="104" workbookViewId="0">
      <selection activeCell="B283" sqref="B28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-672015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12599619</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12665070</v>
      </c>
      <c r="M5" s="45" t="s">
        <v>109</v>
      </c>
      <c r="N5" s="46">
        <f>(SUMIFS(Table14[Credit],Table14[Mode],"Bank")-SUMIFS(Table14[Debit],Table14[Mode],"Bank")-SUMIFS(Table14[Withdrawal],Table14[Mode],"Transfer"))</f>
        <v>671367</v>
      </c>
      <c r="O5">
        <v>360000</v>
      </c>
    </row>
    <row r="6" spans="1:16" x14ac:dyDescent="0.3">
      <c r="A6" s="38">
        <v>45980</v>
      </c>
      <c r="B6" t="s">
        <v>206</v>
      </c>
      <c r="C6" s="97">
        <v>2000</v>
      </c>
      <c r="D6" s="97"/>
      <c r="E6" t="s">
        <v>207</v>
      </c>
      <c r="F6" s="124" t="s">
        <v>110</v>
      </c>
      <c r="J6" s="52" t="s">
        <v>43</v>
      </c>
      <c r="K6" s="53">
        <f>(K5-K4)</f>
        <v>65451</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65451</v>
      </c>
      <c r="O7" s="90">
        <f>SUM(O5,O6)</f>
        <v>410000</v>
      </c>
      <c r="P7" s="14">
        <f>Table18[[#Totals],[amount]]-Table18[[#Totals],[Actual]]</f>
        <v>-344549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161000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1325158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3307853</v>
      </c>
    </row>
    <row r="169" spans="1:12" x14ac:dyDescent="0.3">
      <c r="A169" s="125">
        <v>45988</v>
      </c>
      <c r="B169" t="s">
        <v>183</v>
      </c>
      <c r="C169" s="11">
        <v>1000</v>
      </c>
      <c r="D169" s="11"/>
      <c r="F169" s="124" t="s">
        <v>109</v>
      </c>
      <c r="J169" s="4" t="s">
        <v>247</v>
      </c>
      <c r="K169" s="14"/>
      <c r="L169" s="14">
        <v>9320</v>
      </c>
    </row>
    <row r="170" spans="1:12" x14ac:dyDescent="0.3">
      <c r="A170" s="125">
        <v>45989</v>
      </c>
      <c r="B170" t="s">
        <v>247</v>
      </c>
      <c r="C170" s="11">
        <v>500</v>
      </c>
      <c r="D170" s="11"/>
      <c r="E170" t="s">
        <v>309</v>
      </c>
      <c r="F170" s="124" t="s">
        <v>109</v>
      </c>
      <c r="J170" s="4" t="s">
        <v>55</v>
      </c>
      <c r="K170" s="14"/>
      <c r="L170" s="14">
        <v>258920</v>
      </c>
    </row>
    <row r="171" spans="1:12" x14ac:dyDescent="0.3">
      <c r="A171" s="125">
        <v>45990</v>
      </c>
      <c r="B171" t="s">
        <v>183</v>
      </c>
      <c r="C171" s="11"/>
      <c r="D171" s="11">
        <v>10310</v>
      </c>
      <c r="E171" t="s">
        <v>114</v>
      </c>
      <c r="F171" s="124" t="s">
        <v>109</v>
      </c>
      <c r="J171" s="4" t="s">
        <v>114</v>
      </c>
      <c r="K171" s="14"/>
      <c r="L171" s="14">
        <v>75990</v>
      </c>
    </row>
    <row r="172" spans="1:12" x14ac:dyDescent="0.3">
      <c r="A172" s="125">
        <v>45990</v>
      </c>
      <c r="B172" t="s">
        <v>114</v>
      </c>
      <c r="C172" s="11">
        <v>10310</v>
      </c>
      <c r="D172" s="11"/>
      <c r="E172" t="s">
        <v>311</v>
      </c>
      <c r="F172" s="124" t="s">
        <v>109</v>
      </c>
      <c r="J172" s="4" t="s">
        <v>212</v>
      </c>
      <c r="K172" s="14"/>
      <c r="L172" s="14">
        <v>73200</v>
      </c>
    </row>
    <row r="173" spans="1:12" x14ac:dyDescent="0.3">
      <c r="A173" s="125">
        <v>45990</v>
      </c>
      <c r="B173" t="s">
        <v>54</v>
      </c>
      <c r="C173" s="11">
        <v>16100</v>
      </c>
      <c r="D173" s="11"/>
      <c r="E173" t="s">
        <v>232</v>
      </c>
      <c r="F173" s="124" t="s">
        <v>109</v>
      </c>
      <c r="J173" s="4" t="s">
        <v>54</v>
      </c>
      <c r="K173" s="14"/>
      <c r="L173" s="14">
        <v>119750</v>
      </c>
    </row>
    <row r="174" spans="1:12" x14ac:dyDescent="0.3">
      <c r="A174" s="125">
        <v>45990</v>
      </c>
      <c r="B174" t="s">
        <v>54</v>
      </c>
      <c r="C174" s="11">
        <v>3000</v>
      </c>
      <c r="D174" s="11"/>
      <c r="E174" t="s">
        <v>232</v>
      </c>
      <c r="F174" s="124" t="s">
        <v>109</v>
      </c>
      <c r="J174" s="4" t="s">
        <v>186</v>
      </c>
      <c r="K174" s="14"/>
      <c r="L174" s="14">
        <v>83620</v>
      </c>
    </row>
    <row r="175" spans="1:12" x14ac:dyDescent="0.3">
      <c r="A175" s="125">
        <v>45990</v>
      </c>
      <c r="B175" t="s">
        <v>21</v>
      </c>
      <c r="C175" s="11"/>
      <c r="D175" s="11">
        <v>13500</v>
      </c>
      <c r="E175" t="s">
        <v>232</v>
      </c>
      <c r="F175" s="124" t="s">
        <v>109</v>
      </c>
      <c r="J175" s="4" t="s">
        <v>183</v>
      </c>
      <c r="K175" s="14">
        <v>127092</v>
      </c>
      <c r="L175" s="14">
        <v>12970</v>
      </c>
    </row>
    <row r="176" spans="1:12" x14ac:dyDescent="0.3">
      <c r="A176" s="125">
        <v>45990</v>
      </c>
      <c r="B176" t="s">
        <v>21</v>
      </c>
      <c r="C176" s="11"/>
      <c r="D176" s="11">
        <v>19000</v>
      </c>
      <c r="E176" t="s">
        <v>290</v>
      </c>
      <c r="F176" s="124" t="s">
        <v>109</v>
      </c>
      <c r="J176" s="4" t="s">
        <v>227</v>
      </c>
      <c r="K176" s="14">
        <v>500000</v>
      </c>
      <c r="L176" s="14"/>
    </row>
    <row r="177" spans="1:12" x14ac:dyDescent="0.3">
      <c r="A177" s="125">
        <v>45990</v>
      </c>
      <c r="B177" t="s">
        <v>220</v>
      </c>
      <c r="C177" s="97">
        <v>20000</v>
      </c>
      <c r="D177" s="97"/>
      <c r="E177" t="s">
        <v>290</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312</v>
      </c>
      <c r="F179" s="124" t="s">
        <v>109</v>
      </c>
      <c r="J179" s="4" t="s">
        <v>27</v>
      </c>
      <c r="K179" s="14">
        <v>205980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313</v>
      </c>
      <c r="F181" s="124" t="s">
        <v>109</v>
      </c>
      <c r="J181" s="4" t="s">
        <v>35</v>
      </c>
      <c r="K181" s="14">
        <v>10040</v>
      </c>
      <c r="L181" s="14"/>
    </row>
    <row r="182" spans="1:12" x14ac:dyDescent="0.3">
      <c r="A182" s="125">
        <v>45990</v>
      </c>
      <c r="B182" t="s">
        <v>237</v>
      </c>
      <c r="C182" s="11">
        <v>50000</v>
      </c>
      <c r="D182" s="11"/>
      <c r="E182" t="s">
        <v>167</v>
      </c>
      <c r="F182" s="124" t="s">
        <v>109</v>
      </c>
      <c r="J182" s="4" t="s">
        <v>150</v>
      </c>
      <c r="K182" s="14"/>
      <c r="L182" s="14">
        <v>40000</v>
      </c>
    </row>
    <row r="183" spans="1:12" x14ac:dyDescent="0.3">
      <c r="A183" s="125">
        <v>45990</v>
      </c>
      <c r="B183" t="s">
        <v>167</v>
      </c>
      <c r="C183" s="11"/>
      <c r="D183" s="11">
        <v>50000</v>
      </c>
      <c r="F183" s="124" t="s">
        <v>109</v>
      </c>
      <c r="J183" s="4" t="s">
        <v>153</v>
      </c>
      <c r="K183" s="14">
        <v>955000</v>
      </c>
      <c r="L183" s="14"/>
    </row>
    <row r="184" spans="1:12" x14ac:dyDescent="0.3">
      <c r="A184" s="125">
        <v>45990</v>
      </c>
      <c r="B184" t="s">
        <v>297</v>
      </c>
      <c r="C184" s="11"/>
      <c r="D184" s="11">
        <v>200000</v>
      </c>
      <c r="F184" s="124" t="s">
        <v>109</v>
      </c>
      <c r="J184" s="4" t="s">
        <v>167</v>
      </c>
      <c r="K184" s="14">
        <v>925217</v>
      </c>
      <c r="L184" s="14"/>
    </row>
    <row r="185" spans="1:12" x14ac:dyDescent="0.3">
      <c r="A185" s="125">
        <v>45990</v>
      </c>
      <c r="B185" t="s">
        <v>95</v>
      </c>
      <c r="C185" s="11">
        <v>200338</v>
      </c>
      <c r="D185" s="11"/>
      <c r="E185" t="s">
        <v>314</v>
      </c>
      <c r="F185" s="124" t="s">
        <v>109</v>
      </c>
      <c r="J185" s="4" t="s">
        <v>206</v>
      </c>
      <c r="K185" s="14"/>
      <c r="L185" s="14">
        <v>177000</v>
      </c>
    </row>
    <row r="186" spans="1:12" x14ac:dyDescent="0.3">
      <c r="A186" s="125">
        <v>45990</v>
      </c>
      <c r="B186" t="s">
        <v>21</v>
      </c>
      <c r="C186" s="11"/>
      <c r="D186" s="11">
        <v>10000</v>
      </c>
      <c r="E186" t="s">
        <v>315</v>
      </c>
      <c r="F186" s="124" t="s">
        <v>109</v>
      </c>
      <c r="J186" s="4" t="s">
        <v>178</v>
      </c>
      <c r="K186" s="14"/>
      <c r="L186" s="14">
        <v>100000</v>
      </c>
    </row>
    <row r="187" spans="1:12" x14ac:dyDescent="0.3">
      <c r="A187" s="125">
        <v>45990</v>
      </c>
      <c r="B187" t="s">
        <v>220</v>
      </c>
      <c r="C187" s="11">
        <v>10000</v>
      </c>
      <c r="D187" s="11"/>
      <c r="E187" t="s">
        <v>221</v>
      </c>
      <c r="F187" s="124" t="s">
        <v>109</v>
      </c>
      <c r="J187" s="4" t="s">
        <v>237</v>
      </c>
      <c r="K187" s="14">
        <v>1747500</v>
      </c>
      <c r="L187" s="14">
        <v>4126426</v>
      </c>
    </row>
    <row r="188" spans="1:12" x14ac:dyDescent="0.3">
      <c r="A188" s="125">
        <v>45990</v>
      </c>
      <c r="B188" t="s">
        <v>212</v>
      </c>
      <c r="C188" s="11">
        <v>1000</v>
      </c>
      <c r="D188" s="11"/>
      <c r="E188" t="s">
        <v>316</v>
      </c>
      <c r="F188" s="124" t="s">
        <v>109</v>
      </c>
      <c r="J188" s="4" t="s">
        <v>184</v>
      </c>
      <c r="K188" s="14">
        <v>2000000</v>
      </c>
      <c r="L188" s="14"/>
    </row>
    <row r="189" spans="1:12" x14ac:dyDescent="0.3">
      <c r="A189" s="125">
        <v>45990</v>
      </c>
      <c r="B189" t="s">
        <v>183</v>
      </c>
      <c r="C189" s="11"/>
      <c r="D189" s="11">
        <v>1000</v>
      </c>
      <c r="E189" t="s">
        <v>317</v>
      </c>
      <c r="F189" s="124" t="s">
        <v>109</v>
      </c>
      <c r="J189" s="4" t="s">
        <v>185</v>
      </c>
      <c r="K189" s="14"/>
      <c r="L189" s="14">
        <v>867900</v>
      </c>
    </row>
    <row r="190" spans="1:12" x14ac:dyDescent="0.3">
      <c r="A190" s="125">
        <v>45990</v>
      </c>
      <c r="B190" t="s">
        <v>183</v>
      </c>
      <c r="C190" s="11"/>
      <c r="D190" s="11">
        <v>1000</v>
      </c>
      <c r="E190" t="s">
        <v>318</v>
      </c>
      <c r="F190" s="124" t="s">
        <v>109</v>
      </c>
      <c r="J190" s="4" t="s">
        <v>236</v>
      </c>
      <c r="K190" s="14">
        <v>1500000</v>
      </c>
      <c r="L190" s="14"/>
    </row>
    <row r="191" spans="1:12" x14ac:dyDescent="0.3">
      <c r="A191" s="125">
        <v>45990</v>
      </c>
      <c r="B191" t="s">
        <v>21</v>
      </c>
      <c r="C191" s="11"/>
      <c r="D191" s="11">
        <v>11150</v>
      </c>
      <c r="E191" t="s">
        <v>319</v>
      </c>
      <c r="F191" s="124" t="s">
        <v>109</v>
      </c>
      <c r="J191" s="4" t="s">
        <v>179</v>
      </c>
      <c r="K191" s="14">
        <v>120205</v>
      </c>
      <c r="L191" s="14"/>
    </row>
    <row r="192" spans="1:12" x14ac:dyDescent="0.3">
      <c r="A192" s="125">
        <v>45990</v>
      </c>
      <c r="B192" t="s">
        <v>55</v>
      </c>
      <c r="C192" s="11">
        <v>11150</v>
      </c>
      <c r="D192" s="11"/>
      <c r="E192" t="s">
        <v>319</v>
      </c>
      <c r="F192" s="124" t="s">
        <v>109</v>
      </c>
      <c r="J192" s="4" t="s">
        <v>193</v>
      </c>
      <c r="K192" s="14"/>
      <c r="L192" s="14">
        <v>4000</v>
      </c>
    </row>
    <row r="193" spans="1:12" x14ac:dyDescent="0.3">
      <c r="A193" s="125">
        <v>45990</v>
      </c>
      <c r="B193" t="s">
        <v>21</v>
      </c>
      <c r="C193" s="11"/>
      <c r="D193" s="11">
        <v>52000</v>
      </c>
      <c r="E193" t="s">
        <v>320</v>
      </c>
      <c r="F193" s="124" t="s">
        <v>109</v>
      </c>
      <c r="J193" s="4" t="s">
        <v>195</v>
      </c>
      <c r="K193" s="14"/>
      <c r="L193" s="14">
        <v>60000</v>
      </c>
    </row>
    <row r="194" spans="1:12" x14ac:dyDescent="0.3">
      <c r="A194" s="38">
        <v>45990</v>
      </c>
      <c r="C194" s="97"/>
      <c r="D194" s="97"/>
      <c r="F194" s="124"/>
      <c r="J194" s="4" t="s">
        <v>203</v>
      </c>
      <c r="K194" s="14">
        <v>-1237831</v>
      </c>
      <c r="L194" s="14"/>
    </row>
    <row r="195" spans="1:12" x14ac:dyDescent="0.3">
      <c r="A195" s="125">
        <v>45991</v>
      </c>
      <c r="B195" t="s">
        <v>21</v>
      </c>
      <c r="C195" s="97"/>
      <c r="D195" s="97">
        <v>10000</v>
      </c>
      <c r="E195" t="s">
        <v>189</v>
      </c>
      <c r="F195" s="124" t="s">
        <v>109</v>
      </c>
      <c r="J195" s="4" t="s">
        <v>51</v>
      </c>
      <c r="K195" s="14"/>
      <c r="L195" s="14">
        <v>1803475</v>
      </c>
    </row>
    <row r="196" spans="1:12" x14ac:dyDescent="0.3">
      <c r="A196" s="125">
        <v>45991</v>
      </c>
      <c r="B196" t="s">
        <v>212</v>
      </c>
      <c r="C196" s="97"/>
      <c r="D196" s="97"/>
      <c r="E196" t="s">
        <v>189</v>
      </c>
      <c r="F196" s="124" t="s">
        <v>109</v>
      </c>
      <c r="J196" s="4" t="s">
        <v>149</v>
      </c>
      <c r="K196" s="14">
        <v>130000</v>
      </c>
      <c r="L196" s="14"/>
    </row>
    <row r="197" spans="1:12" x14ac:dyDescent="0.3">
      <c r="A197" s="38">
        <v>45991</v>
      </c>
      <c r="B197" t="s">
        <v>186</v>
      </c>
      <c r="C197" s="11">
        <v>3000</v>
      </c>
      <c r="D197" s="11"/>
      <c r="E197" t="s">
        <v>321</v>
      </c>
      <c r="F197" s="124" t="s">
        <v>109</v>
      </c>
      <c r="J197" s="4" t="s">
        <v>275</v>
      </c>
      <c r="K197" s="14"/>
      <c r="L197" s="14">
        <v>624000</v>
      </c>
    </row>
    <row r="198" spans="1:12" x14ac:dyDescent="0.3">
      <c r="A198" s="38">
        <v>45991</v>
      </c>
      <c r="B198" t="s">
        <v>186</v>
      </c>
      <c r="C198" s="11">
        <v>5000</v>
      </c>
      <c r="D198" s="11"/>
      <c r="E198" t="s">
        <v>322</v>
      </c>
      <c r="F198" s="124" t="s">
        <v>109</v>
      </c>
      <c r="J198" s="4" t="s">
        <v>286</v>
      </c>
      <c r="K198" s="14"/>
      <c r="L198" s="14">
        <v>25000</v>
      </c>
    </row>
    <row r="199" spans="1:12" x14ac:dyDescent="0.3">
      <c r="A199" s="38">
        <v>45991</v>
      </c>
      <c r="B199" t="s">
        <v>186</v>
      </c>
      <c r="C199" s="11">
        <v>3520</v>
      </c>
      <c r="D199" s="11"/>
      <c r="E199" t="s">
        <v>323</v>
      </c>
      <c r="F199" s="124" t="s">
        <v>109</v>
      </c>
      <c r="J199" s="4" t="s">
        <v>297</v>
      </c>
      <c r="K199" s="14">
        <v>337000</v>
      </c>
      <c r="L199" s="14"/>
    </row>
    <row r="200" spans="1:12" x14ac:dyDescent="0.3">
      <c r="A200" s="38">
        <v>45991</v>
      </c>
      <c r="B200" t="s">
        <v>186</v>
      </c>
      <c r="C200" s="11">
        <v>1000</v>
      </c>
      <c r="D200" s="11"/>
      <c r="E200" t="s">
        <v>324</v>
      </c>
      <c r="F200" s="124" t="s">
        <v>109</v>
      </c>
      <c r="J200" s="4" t="s">
        <v>303</v>
      </c>
      <c r="K200" s="14"/>
      <c r="L200" s="14">
        <v>85000</v>
      </c>
    </row>
    <row r="201" spans="1:12" x14ac:dyDescent="0.3">
      <c r="A201" s="38">
        <v>45992</v>
      </c>
      <c r="B201" t="s">
        <v>186</v>
      </c>
      <c r="C201" s="11">
        <v>3000</v>
      </c>
      <c r="D201" s="11"/>
      <c r="E201" t="s">
        <v>209</v>
      </c>
      <c r="F201" s="124" t="s">
        <v>109</v>
      </c>
      <c r="J201" s="4" t="s">
        <v>332</v>
      </c>
      <c r="K201" s="14">
        <v>398325</v>
      </c>
      <c r="L201" s="14"/>
    </row>
    <row r="202" spans="1:12" x14ac:dyDescent="0.3">
      <c r="A202" s="38">
        <v>45992</v>
      </c>
      <c r="B202" t="s">
        <v>186</v>
      </c>
      <c r="C202" s="11">
        <v>500</v>
      </c>
      <c r="D202" s="11"/>
      <c r="E202" t="s">
        <v>325</v>
      </c>
      <c r="F202" s="124" t="s">
        <v>109</v>
      </c>
      <c r="J202" s="4" t="s">
        <v>356</v>
      </c>
      <c r="K202" s="14">
        <v>100000</v>
      </c>
      <c r="L202" s="14"/>
    </row>
    <row r="203" spans="1:12" x14ac:dyDescent="0.3">
      <c r="A203" s="38">
        <v>45992</v>
      </c>
      <c r="B203" t="s">
        <v>114</v>
      </c>
      <c r="C203" s="97">
        <v>20000</v>
      </c>
      <c r="D203" s="97"/>
      <c r="E203" t="s">
        <v>249</v>
      </c>
      <c r="F203" s="124" t="s">
        <v>109</v>
      </c>
      <c r="J203" s="4" t="s">
        <v>341</v>
      </c>
      <c r="K203" s="14"/>
      <c r="L203" s="14">
        <v>220000</v>
      </c>
    </row>
    <row r="204" spans="1:12" x14ac:dyDescent="0.3">
      <c r="A204" s="38">
        <v>45992</v>
      </c>
      <c r="B204" t="s">
        <v>297</v>
      </c>
      <c r="C204" s="11"/>
      <c r="D204" s="11">
        <v>30000</v>
      </c>
      <c r="F204" s="124" t="s">
        <v>109</v>
      </c>
      <c r="J204" s="4" t="s">
        <v>299</v>
      </c>
      <c r="K204" s="14">
        <v>424323</v>
      </c>
      <c r="L204" s="14"/>
    </row>
    <row r="205" spans="1:12" x14ac:dyDescent="0.3">
      <c r="A205" s="38">
        <v>45992</v>
      </c>
      <c r="B205" t="s">
        <v>21</v>
      </c>
      <c r="C205" s="11"/>
      <c r="D205" s="11">
        <v>7750</v>
      </c>
      <c r="E205" t="s">
        <v>240</v>
      </c>
      <c r="F205" s="124" t="s">
        <v>109</v>
      </c>
      <c r="J205" s="4" t="s">
        <v>28</v>
      </c>
      <c r="K205" s="14">
        <v>12521070</v>
      </c>
      <c r="L205" s="14">
        <v>12499549</v>
      </c>
    </row>
    <row r="206" spans="1:12" x14ac:dyDescent="0.3">
      <c r="A206" s="38">
        <v>45992</v>
      </c>
      <c r="B206" t="s">
        <v>185</v>
      </c>
      <c r="C206" s="11">
        <v>52000</v>
      </c>
      <c r="D206" s="11"/>
      <c r="E206" t="s">
        <v>326</v>
      </c>
      <c r="F206" s="124" t="s">
        <v>109</v>
      </c>
    </row>
    <row r="207" spans="1:12" x14ac:dyDescent="0.3">
      <c r="A207" s="38">
        <v>45992</v>
      </c>
      <c r="B207" t="s">
        <v>21</v>
      </c>
      <c r="C207" s="11"/>
      <c r="D207" s="11">
        <v>52000</v>
      </c>
      <c r="E207" t="s">
        <v>223</v>
      </c>
      <c r="F207" s="124" t="s">
        <v>109</v>
      </c>
    </row>
    <row r="208" spans="1:12" x14ac:dyDescent="0.3">
      <c r="A208" s="38">
        <v>45992</v>
      </c>
      <c r="B208" t="s">
        <v>55</v>
      </c>
      <c r="C208" s="11">
        <v>7750</v>
      </c>
      <c r="D208" s="11"/>
      <c r="E208" t="s">
        <v>240</v>
      </c>
      <c r="F208" s="124" t="s">
        <v>109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36">
        <v>45996</v>
      </c>
      <c r="B272" t="s">
        <v>247</v>
      </c>
      <c r="C272" s="11">
        <v>3000</v>
      </c>
      <c r="D272" s="11"/>
      <c r="E272" t="s">
        <v>357</v>
      </c>
      <c r="F272" s="124" t="s">
        <v>109</v>
      </c>
    </row>
    <row r="273" spans="1:7" x14ac:dyDescent="0.3">
      <c r="A273" s="38">
        <v>45996</v>
      </c>
      <c r="B273" t="s">
        <v>212</v>
      </c>
      <c r="C273" s="11">
        <v>2050</v>
      </c>
      <c r="D273" s="11"/>
      <c r="E273" t="s">
        <v>305</v>
      </c>
      <c r="F273" s="124" t="s">
        <v>109</v>
      </c>
    </row>
    <row r="274" spans="1:7" x14ac:dyDescent="0.3">
      <c r="A274" s="136">
        <v>45996</v>
      </c>
      <c r="B274" t="s">
        <v>220</v>
      </c>
      <c r="C274" s="11">
        <v>20000</v>
      </c>
      <c r="D274" s="11"/>
      <c r="E274" t="s">
        <v>358</v>
      </c>
      <c r="F274" s="124" t="s">
        <v>109</v>
      </c>
    </row>
    <row r="275" spans="1:7" x14ac:dyDescent="0.3">
      <c r="A275" s="38">
        <v>45996</v>
      </c>
      <c r="B275" t="s">
        <v>341</v>
      </c>
      <c r="C275" s="11">
        <v>40450</v>
      </c>
      <c r="D275" s="11"/>
      <c r="E275" t="s">
        <v>346</v>
      </c>
      <c r="F275" s="124" t="s">
        <v>109</v>
      </c>
    </row>
    <row r="276" spans="1:7" x14ac:dyDescent="0.3">
      <c r="A276" s="136">
        <v>45996</v>
      </c>
      <c r="B276" t="s">
        <v>114</v>
      </c>
      <c r="C276" s="11">
        <v>9000</v>
      </c>
      <c r="D276" s="11"/>
      <c r="E276" t="s">
        <v>359</v>
      </c>
      <c r="F276" s="124" t="s">
        <v>109</v>
      </c>
    </row>
    <row r="277" spans="1:7" x14ac:dyDescent="0.3">
      <c r="A277" s="38">
        <v>45996</v>
      </c>
      <c r="B277" t="s">
        <v>220</v>
      </c>
      <c r="C277" s="11">
        <v>10000</v>
      </c>
      <c r="D277" s="11"/>
      <c r="E277" t="s">
        <v>360</v>
      </c>
      <c r="F277" s="124" t="s">
        <v>109</v>
      </c>
    </row>
    <row r="278" spans="1:7" x14ac:dyDescent="0.3">
      <c r="A278" s="136">
        <v>45996</v>
      </c>
      <c r="B278" t="s">
        <v>114</v>
      </c>
      <c r="C278" s="11">
        <v>670</v>
      </c>
      <c r="D278" s="11"/>
      <c r="F278" s="124" t="s">
        <v>109</v>
      </c>
    </row>
    <row r="279" spans="1:7" x14ac:dyDescent="0.3">
      <c r="A279" s="38">
        <v>45996</v>
      </c>
      <c r="B279" t="s">
        <v>212</v>
      </c>
      <c r="C279" s="11"/>
      <c r="D279" s="11"/>
      <c r="E279" t="s">
        <v>361</v>
      </c>
      <c r="F279" s="124" t="s">
        <v>109</v>
      </c>
    </row>
    <row r="280" spans="1:7" x14ac:dyDescent="0.3">
      <c r="A280" s="136">
        <v>45996</v>
      </c>
      <c r="B280" t="s">
        <v>332</v>
      </c>
      <c r="C280" s="11"/>
      <c r="D280" s="11">
        <v>155000</v>
      </c>
      <c r="F280" s="124" t="s">
        <v>109</v>
      </c>
    </row>
    <row r="281" spans="1:7" x14ac:dyDescent="0.3">
      <c r="A281" s="38">
        <v>45996</v>
      </c>
      <c r="B281" t="s">
        <v>21</v>
      </c>
      <c r="C281" s="11"/>
      <c r="D281" s="11">
        <v>7900</v>
      </c>
      <c r="E281" t="s">
        <v>343</v>
      </c>
      <c r="F281" s="124" t="s">
        <v>109</v>
      </c>
    </row>
    <row r="282" spans="1:7" x14ac:dyDescent="0.3">
      <c r="A282" s="136">
        <v>45996</v>
      </c>
      <c r="B282" t="s">
        <v>55</v>
      </c>
      <c r="C282" s="11">
        <v>7900</v>
      </c>
      <c r="D282" s="11"/>
      <c r="E282" t="s">
        <v>343</v>
      </c>
      <c r="F282" s="124" t="s">
        <v>109</v>
      </c>
    </row>
    <row r="283" spans="1:7" x14ac:dyDescent="0.3">
      <c r="A283" s="38">
        <v>45996</v>
      </c>
      <c r="C283" s="11"/>
      <c r="D283" s="11"/>
      <c r="F283" s="124"/>
    </row>
    <row r="284" spans="1:7" x14ac:dyDescent="0.3">
      <c r="A284" s="136">
        <v>45996</v>
      </c>
      <c r="C284" s="11"/>
      <c r="D284" s="11"/>
      <c r="F284" s="124"/>
    </row>
    <row r="285" spans="1:7" x14ac:dyDescent="0.3">
      <c r="A285" s="38">
        <v>45996</v>
      </c>
      <c r="B285" s="134"/>
      <c r="C285" s="97"/>
      <c r="D285" s="97"/>
      <c r="E285" s="134"/>
      <c r="F285" s="137"/>
      <c r="G285" s="134"/>
    </row>
    <row r="286" spans="1:7" x14ac:dyDescent="0.3">
      <c r="A286" s="136">
        <v>45996</v>
      </c>
      <c r="C286" s="11"/>
      <c r="D286" s="11"/>
      <c r="F286" s="124"/>
    </row>
    <row r="287" spans="1:7" x14ac:dyDescent="0.3">
      <c r="A287" s="38"/>
      <c r="C287" s="14">
        <f>SUBTOTAL(109,Table14[Debit])</f>
        <v>12599619</v>
      </c>
      <c r="D287" s="14">
        <f>SUBTOTAL(109,Table14[Credit])</f>
        <v>12665070</v>
      </c>
      <c r="F287" s="54">
        <f>(Table14[[#Totals],[Credit]]-Table14[[#Totals],[Debit]])</f>
        <v>65451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5"/>
      <c r="M10" s="135">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5"/>
      <c r="M11" s="135">
        <v>0</v>
      </c>
    </row>
    <row r="12" spans="1:14" x14ac:dyDescent="0.3">
      <c r="A12" s="1">
        <v>45993</v>
      </c>
      <c r="B12" t="s">
        <v>336</v>
      </c>
      <c r="E12">
        <v>242450</v>
      </c>
      <c r="F12" t="s">
        <v>185</v>
      </c>
      <c r="G12">
        <f>SUMIFS(Table14[Debit], Table14[Date], Table8[[#This Row],[Date]], Table14[Party], Table8[[#This Row],[Party]])</f>
        <v>242450</v>
      </c>
      <c r="H12">
        <f>Table8[[#This Row],[Price]]-Table8[[#This Row],[Paid]]</f>
        <v>0</v>
      </c>
      <c r="K12" s="26">
        <v>45981</v>
      </c>
      <c r="L12" s="135">
        <v>141950</v>
      </c>
      <c r="M12" s="135">
        <v>0</v>
      </c>
    </row>
    <row r="13" spans="1:14" x14ac:dyDescent="0.3">
      <c r="A13" s="1">
        <v>45995</v>
      </c>
      <c r="B13" t="s">
        <v>64</v>
      </c>
      <c r="E13">
        <v>56000</v>
      </c>
      <c r="F13" t="s">
        <v>185</v>
      </c>
      <c r="G13">
        <f>SUMIFS(Table14[Debit], Table14[Date], Table8[[#This Row],[Date]], Table14[Party], Table8[[#This Row],[Party]])</f>
        <v>56000</v>
      </c>
      <c r="H13">
        <f>Table8[[#This Row],[Price]]-Table8[[#This Row],[Paid]]</f>
        <v>0</v>
      </c>
      <c r="K13" s="26">
        <v>45983</v>
      </c>
      <c r="L13" s="135">
        <v>158000</v>
      </c>
      <c r="M13" s="135">
        <v>0</v>
      </c>
    </row>
    <row r="14" spans="1:14" x14ac:dyDescent="0.3">
      <c r="G14">
        <f>SUMIFS(Table14[Debit], Table14[Date], Table8[[#This Row],[Date]], Table14[Party], Table8[[#This Row],[Party]])</f>
        <v>0</v>
      </c>
      <c r="H14">
        <f>Table8[[#This Row],[Price]]-Table8[[#This Row],[Paid]]</f>
        <v>0</v>
      </c>
      <c r="K14" s="26">
        <v>45986</v>
      </c>
      <c r="L14" s="135">
        <v>231500</v>
      </c>
      <c r="M14" s="135">
        <v>0</v>
      </c>
    </row>
    <row r="15" spans="1:14" x14ac:dyDescent="0.3">
      <c r="E15">
        <f>SUBTOTAL(109,Table8[Price])</f>
        <v>960900</v>
      </c>
      <c r="H15">
        <f>SUBTOTAL(109,Table8[Balance])</f>
        <v>0</v>
      </c>
      <c r="K15" s="26">
        <v>45987</v>
      </c>
      <c r="L15" s="135"/>
      <c r="M15" s="135">
        <v>-240125</v>
      </c>
    </row>
    <row r="16" spans="1:14" x14ac:dyDescent="0.3">
      <c r="K16" s="4" t="s">
        <v>104</v>
      </c>
      <c r="L16" s="135"/>
      <c r="M16" s="135">
        <v>0</v>
      </c>
    </row>
    <row r="17" spans="1:13" x14ac:dyDescent="0.3">
      <c r="K17" s="26">
        <v>45988</v>
      </c>
      <c r="L17" s="135">
        <v>85000</v>
      </c>
      <c r="M17" s="135">
        <v>0</v>
      </c>
    </row>
    <row r="18" spans="1:13" x14ac:dyDescent="0.3">
      <c r="K18" s="26">
        <v>45990</v>
      </c>
      <c r="L18" s="135">
        <v>46000</v>
      </c>
      <c r="M18" s="135">
        <v>0</v>
      </c>
    </row>
    <row r="19" spans="1:13" x14ac:dyDescent="0.3">
      <c r="A19" t="s">
        <v>57</v>
      </c>
      <c r="B19" t="s">
        <v>157</v>
      </c>
      <c r="C19" t="s">
        <v>158</v>
      </c>
      <c r="D19" t="s">
        <v>4</v>
      </c>
      <c r="E19" t="s">
        <v>159</v>
      </c>
      <c r="K19" s="26">
        <v>45993</v>
      </c>
      <c r="L19" s="135">
        <v>242450</v>
      </c>
      <c r="M19" s="135">
        <v>0</v>
      </c>
    </row>
    <row r="20" spans="1:13" x14ac:dyDescent="0.3">
      <c r="A20" t="s">
        <v>132</v>
      </c>
      <c r="B20">
        <v>1</v>
      </c>
      <c r="C20">
        <v>25</v>
      </c>
      <c r="D20">
        <v>1400</v>
      </c>
      <c r="E20">
        <f>Table2325[[#This Row],[boxes]]*Table2325[[#This Row],[kgs]]*Table2325[[#This Row],[Rate]]</f>
        <v>35000</v>
      </c>
      <c r="K20" s="26">
        <v>45995</v>
      </c>
      <c r="L20" s="135">
        <v>56000</v>
      </c>
      <c r="M20" s="135">
        <v>0</v>
      </c>
    </row>
    <row r="21" spans="1:13" x14ac:dyDescent="0.3">
      <c r="A21" t="s">
        <v>130</v>
      </c>
      <c r="B21">
        <v>1</v>
      </c>
      <c r="C21">
        <v>3</v>
      </c>
      <c r="D21">
        <v>1340</v>
      </c>
      <c r="E21">
        <f>Table2325[[#This Row],[boxes]]*Table2325[[#This Row],[kgs]]*Table2325[[#This Row],[Rate]]</f>
        <v>4020</v>
      </c>
      <c r="K21" s="4" t="s">
        <v>28</v>
      </c>
      <c r="L21" s="135">
        <v>960900</v>
      </c>
      <c r="M21" s="135">
        <v>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5">
        <v>0</v>
      </c>
      <c r="L5" s="135">
        <v>0</v>
      </c>
      <c r="M5" s="135">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5">
        <v>269000</v>
      </c>
      <c r="L6" s="135">
        <v>0</v>
      </c>
      <c r="M6" s="135">
        <v>268000</v>
      </c>
    </row>
    <row r="7" spans="1:13" x14ac:dyDescent="0.3">
      <c r="A7" s="85">
        <v>45979</v>
      </c>
      <c r="B7" s="85" t="s">
        <v>166</v>
      </c>
      <c r="C7" s="82" t="s">
        <v>180</v>
      </c>
      <c r="F7">
        <v>0</v>
      </c>
      <c r="G7">
        <v>0</v>
      </c>
      <c r="H7" s="81">
        <v>0</v>
      </c>
      <c r="J7" s="4" t="s">
        <v>118</v>
      </c>
      <c r="K7" s="135">
        <v>24000</v>
      </c>
      <c r="L7" s="135">
        <v>24000</v>
      </c>
      <c r="M7" s="135">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5">
        <v>0</v>
      </c>
      <c r="L8" s="135">
        <v>0</v>
      </c>
      <c r="M8" s="135">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5">
        <v>0</v>
      </c>
      <c r="L9" s="135">
        <v>400000</v>
      </c>
      <c r="M9" s="135">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5">
        <v>52000</v>
      </c>
      <c r="L10" s="135">
        <v>52000</v>
      </c>
      <c r="M10" s="135">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5">
        <v>345000</v>
      </c>
      <c r="L11" s="135">
        <v>476000</v>
      </c>
      <c r="M11" s="135">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5" zoomScale="118" workbookViewId="0">
      <selection activeCell="H21" sqref="H2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10"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10"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10"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10"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10"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10"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10"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10"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145000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52000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1365015</v>
      </c>
      <c r="C2" s="32">
        <f>GETPIVOTDATA("Sum of Tiyaar/gaz",$A$3)</f>
        <v>1252521</v>
      </c>
      <c r="D2" s="31">
        <f>((B2*48)+((C2/1.0936)*10))/C2</f>
        <v>61.45518621628392</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12770</v>
      </c>
      <c r="D17" s="28">
        <f t="shared" si="1"/>
        <v>46.766037582368604</v>
      </c>
      <c r="E17" s="11">
        <f t="shared" si="2"/>
        <v>10945.8424</v>
      </c>
      <c r="F17" s="11">
        <f t="shared" si="0"/>
        <v>12770</v>
      </c>
      <c r="G17" s="78">
        <f t="shared" si="4"/>
        <v>-16.665301155806887</v>
      </c>
      <c r="H17" s="28">
        <f t="shared" si="3"/>
        <v>11677.029992684713</v>
      </c>
      <c r="I17" s="28">
        <f>((B17*48)+(H17*10))/C17</f>
        <v>46.766037582368604</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63353</v>
      </c>
      <c r="D31" s="28">
        <f t="shared" si="1"/>
        <v>56.306897485069634</v>
      </c>
      <c r="E31" s="11">
        <f t="shared" si="2"/>
        <v>68074.412799999991</v>
      </c>
      <c r="F31" s="11">
        <f t="shared" si="0"/>
        <v>63353</v>
      </c>
      <c r="G31" s="78">
        <f t="shared" si="6"/>
        <v>6.9356643793187231</v>
      </c>
      <c r="H31" s="28">
        <f t="shared" si="3"/>
        <v>57930.687637161675</v>
      </c>
      <c r="I31" s="28">
        <f t="shared" si="5"/>
        <v>56.306897485069634</v>
      </c>
    </row>
    <row r="32" spans="1:9" x14ac:dyDescent="0.3">
      <c r="A32" s="16">
        <v>1934</v>
      </c>
      <c r="B32" s="14">
        <v>38741</v>
      </c>
      <c r="C32" s="14">
        <v>22959</v>
      </c>
      <c r="D32" s="28">
        <f t="shared" si="1"/>
        <v>90.139276487047795</v>
      </c>
      <c r="E32" s="11">
        <f t="shared" si="2"/>
        <v>42367.157599999999</v>
      </c>
      <c r="F32" s="11">
        <f t="shared" si="0"/>
        <v>22959</v>
      </c>
      <c r="G32" s="78">
        <f t="shared" si="6"/>
        <v>45.809439904460334</v>
      </c>
      <c r="H32" s="28">
        <f t="shared" si="3"/>
        <v>20993.964886613023</v>
      </c>
      <c r="I32" s="28">
        <f t="shared" si="5"/>
        <v>90.139276487047795</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19105</v>
      </c>
      <c r="D44" s="28">
        <f t="shared" si="13"/>
        <v>60.543430742248162</v>
      </c>
      <c r="E44" s="11">
        <f t="shared" si="14"/>
        <v>22372.868799999997</v>
      </c>
      <c r="F44" s="11">
        <f t="shared" si="15"/>
        <v>19105</v>
      </c>
      <c r="G44" s="78">
        <f t="shared" si="16"/>
        <v>14.606391470011204</v>
      </c>
      <c r="H44" s="28">
        <f t="shared" si="17"/>
        <v>17469.824433065107</v>
      </c>
      <c r="I44" s="28">
        <f t="shared" si="18"/>
        <v>60.543430742248162</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49034</v>
      </c>
      <c r="D55" s="28">
        <f t="shared" si="19"/>
        <v>62.198236901084023</v>
      </c>
      <c r="E55" s="11">
        <f t="shared" si="20"/>
        <v>59269.839199999995</v>
      </c>
      <c r="F55" s="11">
        <f t="shared" si="21"/>
        <v>49034</v>
      </c>
      <c r="G55" s="78">
        <f t="shared" si="22"/>
        <v>17.269895343330035</v>
      </c>
      <c r="H55" s="28">
        <f t="shared" si="23"/>
        <v>44837.234820775426</v>
      </c>
      <c r="I55" s="28">
        <f t="shared" si="24"/>
        <v>62.198236901084023</v>
      </c>
    </row>
    <row r="56" spans="1:9" x14ac:dyDescent="0.3">
      <c r="A56" s="16">
        <v>1910</v>
      </c>
      <c r="B56" s="14">
        <v>28367</v>
      </c>
      <c r="C56" s="14">
        <v>8250</v>
      </c>
      <c r="D56" s="28">
        <f t="shared" si="19"/>
        <v>174.18847482875574</v>
      </c>
      <c r="E56" s="11">
        <f t="shared" si="20"/>
        <v>31022.151199999997</v>
      </c>
      <c r="F56" s="11">
        <f t="shared" si="21"/>
        <v>8250</v>
      </c>
      <c r="G56" s="78">
        <f t="shared" si="22"/>
        <v>73.406099574422811</v>
      </c>
      <c r="H56" s="28">
        <f t="shared" si="23"/>
        <v>7543.8917337234825</v>
      </c>
      <c r="I56" s="28">
        <f t="shared" si="24"/>
        <v>174.18847482875574</v>
      </c>
    </row>
    <row r="57" spans="1:9" x14ac:dyDescent="0.3">
      <c r="A57" s="16">
        <v>1923</v>
      </c>
      <c r="B57" s="14">
        <v>15040</v>
      </c>
      <c r="C57" s="14">
        <v>13217</v>
      </c>
      <c r="D57" s="28">
        <f t="shared" si="19"/>
        <v>63.764675616996776</v>
      </c>
      <c r="E57" s="11">
        <f t="shared" si="20"/>
        <v>16447.743999999999</v>
      </c>
      <c r="F57" s="11">
        <f t="shared" si="21"/>
        <v>13217</v>
      </c>
      <c r="G57" s="78">
        <f t="shared" si="22"/>
        <v>19.642474980155328</v>
      </c>
      <c r="H57" s="28">
        <f t="shared" si="23"/>
        <v>12085.771762984639</v>
      </c>
      <c r="I57" s="28">
        <f t="shared" si="24"/>
        <v>63.764675616996776</v>
      </c>
    </row>
    <row r="58" spans="1:9" x14ac:dyDescent="0.3">
      <c r="A58" s="16">
        <v>1914</v>
      </c>
      <c r="B58" s="14">
        <v>26497</v>
      </c>
      <c r="C58" s="14">
        <v>10929</v>
      </c>
      <c r="D58" s="28">
        <f t="shared" si="19"/>
        <v>125.51852788193369</v>
      </c>
      <c r="E58" s="11">
        <f t="shared" si="20"/>
        <v>28977.119199999997</v>
      </c>
      <c r="F58" s="11">
        <f t="shared" si="21"/>
        <v>10929</v>
      </c>
      <c r="G58" s="78">
        <f t="shared" si="22"/>
        <v>62.284035467542267</v>
      </c>
      <c r="H58" s="28">
        <f t="shared" si="23"/>
        <v>9993.5991221653258</v>
      </c>
      <c r="I58" s="28">
        <f t="shared" si="24"/>
        <v>125.51852788193369</v>
      </c>
    </row>
    <row r="59" spans="1:9" x14ac:dyDescent="0.3">
      <c r="A59" s="16">
        <v>1904</v>
      </c>
      <c r="B59" s="14">
        <v>44990</v>
      </c>
      <c r="C59" s="14">
        <v>30694</v>
      </c>
      <c r="D59" s="28">
        <f t="shared" ref="D59:D73" si="25">I59</f>
        <v>79.500532642838451</v>
      </c>
      <c r="E59" s="11">
        <f t="shared" ref="E59:E73" si="26">B59 * 1.0936</f>
        <v>49201.063999999998</v>
      </c>
      <c r="F59" s="11">
        <f t="shared" ref="F59:F73" si="27">C59</f>
        <v>30694</v>
      </c>
      <c r="G59" s="78">
        <f t="shared" ref="G59:G73" si="28">100- (F59/E59 *100)</f>
        <v>37.615170273553431</v>
      </c>
      <c r="H59" s="28">
        <f t="shared" ref="H59:H73" si="29">F59/1.0936</f>
        <v>28066.934893928312</v>
      </c>
      <c r="I59" s="28">
        <f t="shared" ref="I59:I73" si="30">((B59*48)+(H59*10))/C59</f>
        <v>79.500532642838451</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t="s">
        <v>28</v>
      </c>
      <c r="B62" s="30">
        <v>79388</v>
      </c>
      <c r="C62" s="30">
        <v>1252521</v>
      </c>
      <c r="D62" s="28">
        <f t="shared" si="25"/>
        <v>12.18647455396448</v>
      </c>
      <c r="E62" s="11">
        <f t="shared" si="26"/>
        <v>86818.716799999995</v>
      </c>
      <c r="F62" s="11">
        <f t="shared" si="27"/>
        <v>1252521</v>
      </c>
      <c r="G62" s="78">
        <f t="shared" si="28"/>
        <v>-1342.6854555860011</v>
      </c>
      <c r="H62" s="28">
        <f t="shared" si="29"/>
        <v>1145319.1294806146</v>
      </c>
      <c r="I62" s="28">
        <f t="shared" si="30"/>
        <v>12.18647455396448</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0</v>
      </c>
      <c r="H22" s="1">
        <v>45997</v>
      </c>
      <c r="J22">
        <f>SUMIFS(Table14[Debit], Table14[Date], Table15[[#This Row],[Date]], Table14[Party], "Parts")</f>
        <v>0</v>
      </c>
    </row>
    <row r="23" spans="2:10" x14ac:dyDescent="0.3">
      <c r="B23" s="1">
        <v>45998</v>
      </c>
      <c r="C23" t="s">
        <v>114</v>
      </c>
      <c r="D23">
        <f>SUMIFS(Table14[Debit], Table14[Date], Table5[[#This Row],[Date]], Table14[Party], "Rashan")</f>
        <v>0</v>
      </c>
      <c r="H23" s="1">
        <v>45998</v>
      </c>
      <c r="J23">
        <f>SUMIFS(Table14[Debit], Table14[Date], Table15[[#This Row],[Date]], Table14[Party], "Parts")</f>
        <v>0</v>
      </c>
    </row>
    <row r="24" spans="2:10" x14ac:dyDescent="0.3">
      <c r="B24" s="1">
        <v>45999</v>
      </c>
      <c r="C24" t="s">
        <v>114</v>
      </c>
      <c r="D24">
        <f>SUMIFS(Table14[Debit], Table14[Date], Table5[[#This Row],[Date]], Table14[Party], "Rashan")</f>
        <v>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85660</v>
      </c>
      <c r="H37" s="1"/>
      <c r="J37">
        <f>SUM(Table15[Amount])</f>
        <v>266820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8" sqref="C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19744734</v>
      </c>
      <c r="C2" s="105">
        <f>Billing!AB5</f>
        <v>2974637.7995610908</v>
      </c>
    </row>
    <row r="3" spans="1:3" ht="21" x14ac:dyDescent="0.4">
      <c r="A3" s="104" t="str">
        <f>Billing!Q6</f>
        <v>Ejaz Sahab</v>
      </c>
      <c r="B3" s="107">
        <f>Billing!AA6</f>
        <v>3663904</v>
      </c>
      <c r="C3" s="105">
        <f>Billing!AB6</f>
        <v>-138566.58229700057</v>
      </c>
    </row>
    <row r="4" spans="1:3" ht="21" x14ac:dyDescent="0.4">
      <c r="A4" s="104" t="str">
        <f>Billing!Q7</f>
        <v>Arshad</v>
      </c>
      <c r="B4" s="107">
        <f>Billing!AA7</f>
        <v>5702935</v>
      </c>
      <c r="C4" s="106">
        <f>Billing!AB7</f>
        <v>130846.08997805603</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2572620</v>
      </c>
      <c r="C9" s="105">
        <f>Billing!AB12</f>
        <v>18983.877103146166</v>
      </c>
    </row>
    <row r="10" spans="1:3" ht="21" x14ac:dyDescent="0.4">
      <c r="A10" s="104" t="str">
        <f>Billing!Q13</f>
        <v>Ubaidullah</v>
      </c>
      <c r="B10" s="107">
        <f>Billing!AA13</f>
        <v>640190</v>
      </c>
      <c r="C10" s="105">
        <f>Billing!AB13</f>
        <v>1084.6891002196353</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292191.17776152166</v>
      </c>
    </row>
    <row r="13" spans="1:3" ht="21" x14ac:dyDescent="0.4">
      <c r="A13" s="104" t="str">
        <f>Billing!Q16</f>
        <v>Badshah Fabrics</v>
      </c>
      <c r="B13" s="107">
        <f>Billing!AA16</f>
        <v>4925761</v>
      </c>
      <c r="C13" s="105">
        <f>Billing!AB16</f>
        <v>51642.986832480878</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4915571</v>
      </c>
      <c r="C18" s="106">
        <f>Billing!AB21</f>
        <v>-793935.11850768048</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2300000</v>
      </c>
      <c r="C20" s="105">
        <f>Billing!AB23</f>
        <v>-3729.8829553760588</v>
      </c>
    </row>
    <row r="21" spans="1:3" ht="21" x14ac:dyDescent="0.4">
      <c r="A21" s="104" t="str">
        <f>Billing!Q24</f>
        <v>Salman Zaffar</v>
      </c>
      <c r="B21" s="14">
        <f>Billing!AA24</f>
        <v>0</v>
      </c>
      <c r="C21" s="105">
        <f>Billing!AB24</f>
        <v>408318.39795171918</v>
      </c>
    </row>
    <row r="22" spans="1:3" ht="21" x14ac:dyDescent="0.4">
      <c r="A22" s="104" t="str">
        <f>Billing!Q25</f>
        <v>Shahid Qasayi</v>
      </c>
      <c r="B22" s="128">
        <f>Billing!AA25</f>
        <v>553325</v>
      </c>
      <c r="C22" s="105">
        <f>Billing!AB25</f>
        <v>20376.536210680264</v>
      </c>
    </row>
    <row r="23" spans="1:3" ht="21" x14ac:dyDescent="0.4">
      <c r="A23" s="104" t="str">
        <f>Billing!Q26</f>
        <v>Hameed corporation</v>
      </c>
      <c r="B23" s="128">
        <f>Billing!AA26</f>
        <v>424323</v>
      </c>
      <c r="C23" s="105">
        <f>Billing!AB26</f>
        <v>0.33577176299877465</v>
      </c>
    </row>
    <row r="24" spans="1:3" ht="21" x14ac:dyDescent="0.4">
      <c r="A24" s="104" t="str">
        <f>Billing!Q27</f>
        <v>ibraheem behraam</v>
      </c>
      <c r="B24" s="128">
        <f>Billing!AA27</f>
        <v>337000</v>
      </c>
      <c r="C24" s="105">
        <f>Billing!AB27</f>
        <v>2383.6869056327851</v>
      </c>
    </row>
    <row r="25" spans="1:3" ht="21" x14ac:dyDescent="0.4">
      <c r="A25" s="104" t="str">
        <f>Billing!Q28</f>
        <v>Zia-ullah karachi</v>
      </c>
      <c r="B25" s="128">
        <f>Billing!AA28</f>
        <v>100000</v>
      </c>
      <c r="C25" s="105">
        <f>Billing!AB28</f>
        <v>24561.082662765184</v>
      </c>
    </row>
    <row r="26" spans="1:3" ht="21" x14ac:dyDescent="0.4">
      <c r="A26" s="104">
        <f>Billing!Q29</f>
        <v>0</v>
      </c>
      <c r="B26" s="128">
        <f>Billing!AA29</f>
        <v>0</v>
      </c>
      <c r="C26" s="105">
        <f>Billing!AB29</f>
        <v>0</v>
      </c>
    </row>
    <row r="27" spans="1:3" ht="21" x14ac:dyDescent="0.4">
      <c r="A27" s="104">
        <f>Billing!Q30</f>
        <v>0</v>
      </c>
      <c r="B27" s="128">
        <f>Billing!AA30</f>
        <v>0</v>
      </c>
      <c r="C27" s="105">
        <f>Billing!AB30</f>
        <v>0</v>
      </c>
    </row>
    <row r="28" spans="1:3" ht="21" x14ac:dyDescent="0.4">
      <c r="A28" s="104">
        <f>Billing!Q31</f>
        <v>0</v>
      </c>
      <c r="B28" s="128">
        <f>Billing!AA31</f>
        <v>0</v>
      </c>
      <c r="C28" s="105">
        <f>Billing!AB31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2025-12-05T19:23:37Z</dcterms:modified>
  <cp:category/>
  <cp:contentStatus/>
</cp:coreProperties>
</file>