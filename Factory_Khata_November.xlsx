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27" documentId="8_{475843C5-500E-4738-B9D9-47939CD7324F}" xr6:coauthVersionLast="47" xr6:coauthVersionMax="47" xr10:uidLastSave="{2563B11D-F070-44BB-964C-B5BF1CE01FAB}"/>
  <bookViews>
    <workbookView xWindow="-120" yWindow="-120" windowWidth="20640" windowHeight="11040" tabRatio="597" firstSheet="6"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calcCompleted="0"/>
  <pivotCaches>
    <pivotCache cacheId="21" r:id="rId20"/>
    <pivotCache cacheId="25" r:id="rId21"/>
    <pivotCache cacheId="30" r:id="rId22"/>
    <pivotCache cacheId="36" r:id="rId23"/>
    <pivotCache cacheId="40" r:id="rId24"/>
    <pivotCache cacheId="4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21" l="1"/>
  <c r="A21" i="21"/>
  <c r="A22" i="21"/>
  <c r="A19" i="21"/>
  <c r="A20" i="21"/>
  <c r="J27" i="15"/>
  <c r="E36" i="7"/>
  <c r="E35" i="7"/>
  <c r="C4" i="8"/>
  <c r="G5" i="7"/>
  <c r="H5" i="7" s="1"/>
  <c r="G4" i="7"/>
  <c r="H4" i="7" s="1"/>
  <c r="I8" i="6"/>
  <c r="G7" i="6"/>
  <c r="X25" i="9" a="1"/>
  <c r="X25" i="9" s="1"/>
  <c r="Y25" i="9" a="1"/>
  <c r="Y25" i="9" s="1"/>
  <c r="X26" i="9" a="1"/>
  <c r="X26" i="9" s="1"/>
  <c r="Y26" i="9" a="1"/>
  <c r="Y26" i="9" s="1"/>
  <c r="X27" i="9" a="1"/>
  <c r="X27" i="9" s="1"/>
  <c r="Y27" i="9" a="1"/>
  <c r="Y27" i="9" s="1"/>
  <c r="X28" i="9" a="1"/>
  <c r="X28" i="9" s="1"/>
  <c r="Y28" i="9" a="1"/>
  <c r="Y28" i="9" s="1"/>
  <c r="X29" i="9" a="1"/>
  <c r="X29" i="9" s="1"/>
  <c r="Y29" i="9" a="1"/>
  <c r="Y29" i="9" s="1"/>
  <c r="V26" i="9" a="1"/>
  <c r="V26" i="9" s="1"/>
  <c r="W26" i="9" a="1"/>
  <c r="W26"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K89" i="1" s="1"/>
  <c r="D3" i="17" l="1"/>
  <c r="D2" i="17"/>
  <c r="B11" i="21" l="1"/>
  <c r="I41" i="1"/>
  <c r="B14" i="21" l="1"/>
  <c r="B17" i="21"/>
  <c r="B5" i="21"/>
  <c r="B19" i="21"/>
  <c r="B12" i="21"/>
  <c r="B10" i="21"/>
  <c r="B18" i="21"/>
  <c r="B20" i="21"/>
  <c r="B3" i="21"/>
  <c r="B4" i="21"/>
  <c r="B16" i="21"/>
  <c r="B6" i="21"/>
  <c r="B21" i="21"/>
  <c r="B9" i="21"/>
  <c r="B15" i="21"/>
  <c r="B7" i="21"/>
  <c r="B8" i="21"/>
  <c r="B13" i="21"/>
  <c r="J65" i="1"/>
  <c r="J77" i="1"/>
  <c r="J48" i="1"/>
  <c r="J60" i="1"/>
  <c r="J24" i="1"/>
  <c r="J30" i="1"/>
  <c r="J36" i="1"/>
  <c r="J3" i="1"/>
  <c r="J11" i="1"/>
  <c r="J15" i="1"/>
  <c r="J19" i="1"/>
  <c r="I24" i="1"/>
  <c r="I11" i="1"/>
  <c r="J66" i="1"/>
  <c r="J78" i="1"/>
  <c r="J49" i="1"/>
  <c r="I38" i="1"/>
  <c r="I25" i="1"/>
  <c r="I31" i="1"/>
  <c r="I37" i="1"/>
  <c r="J16" i="1"/>
  <c r="J67" i="1"/>
  <c r="J79" i="1"/>
  <c r="J50" i="1"/>
  <c r="J38" i="1"/>
  <c r="J25" i="1"/>
  <c r="J31" i="1"/>
  <c r="J37" i="1"/>
  <c r="I4" i="1"/>
  <c r="I8" i="1"/>
  <c r="I12" i="1"/>
  <c r="I16" i="1"/>
  <c r="I20" i="1"/>
  <c r="J68" i="1"/>
  <c r="J80" i="1"/>
  <c r="J51" i="1"/>
  <c r="I39" i="1"/>
  <c r="I26" i="1"/>
  <c r="I32" i="1"/>
  <c r="J20" i="1"/>
  <c r="J8" i="1"/>
  <c r="J12" i="1"/>
  <c r="J69" i="1"/>
  <c r="J81" i="1"/>
  <c r="J52" i="1"/>
  <c r="J39" i="1"/>
  <c r="J26" i="1"/>
  <c r="J32" i="1"/>
  <c r="J21" i="1"/>
  <c r="I21" i="1"/>
  <c r="J70" i="1"/>
  <c r="J53" i="1"/>
  <c r="I40" i="1"/>
  <c r="I27" i="1"/>
  <c r="I33" i="1"/>
  <c r="I5" i="1"/>
  <c r="I9" i="1"/>
  <c r="I13" i="1"/>
  <c r="I17" i="1"/>
  <c r="J71" i="1"/>
  <c r="J61" i="1"/>
  <c r="J54" i="1"/>
  <c r="J40" i="1"/>
  <c r="J27" i="1"/>
  <c r="J33" i="1"/>
  <c r="J5" i="1"/>
  <c r="J9" i="1"/>
  <c r="J13" i="1"/>
  <c r="J17" i="1"/>
  <c r="I29" i="1"/>
  <c r="J6" i="1"/>
  <c r="J18" i="1"/>
  <c r="J76" i="1"/>
  <c r="I3" i="1"/>
  <c r="I15" i="1"/>
  <c r="J72" i="1"/>
  <c r="J43" i="1"/>
  <c r="J55" i="1"/>
  <c r="I28" i="1"/>
  <c r="I34" i="1"/>
  <c r="J73" i="1"/>
  <c r="J44" i="1"/>
  <c r="J56" i="1"/>
  <c r="J41" i="1"/>
  <c r="J28" i="1"/>
  <c r="J34" i="1"/>
  <c r="I6" i="1"/>
  <c r="I10" i="1"/>
  <c r="I14" i="1"/>
  <c r="I18" i="1"/>
  <c r="J74" i="1"/>
  <c r="J45" i="1"/>
  <c r="J57" i="1"/>
  <c r="I23" i="1"/>
  <c r="I35" i="1"/>
  <c r="J10" i="1"/>
  <c r="J14" i="1"/>
  <c r="J64" i="1"/>
  <c r="J59" i="1"/>
  <c r="I30" i="1"/>
  <c r="I7" i="1"/>
  <c r="J63" i="1"/>
  <c r="J75" i="1"/>
  <c r="J46" i="1"/>
  <c r="J58" i="1"/>
  <c r="J23" i="1"/>
  <c r="J35" i="1"/>
  <c r="J47" i="1"/>
  <c r="I36" i="1"/>
  <c r="I19" i="1"/>
  <c r="J62" i="1"/>
  <c r="J22" i="1"/>
  <c r="B2" i="21" l="1"/>
  <c r="J2" i="1"/>
  <c r="J89" i="1" s="1" a="1"/>
  <c r="J89" i="1" s="1"/>
  <c r="I22" i="1"/>
  <c r="J7" i="1"/>
  <c r="J42" i="1"/>
  <c r="J29" i="1"/>
  <c r="J4" i="1"/>
  <c r="I2" i="1"/>
  <c r="I89" i="1" s="1" a="1"/>
  <c r="I89" i="1" s="1"/>
  <c r="C39" i="12" l="1"/>
  <c r="C40" i="12"/>
  <c r="C41" i="12"/>
  <c r="C42" i="12"/>
  <c r="C38" i="12"/>
  <c r="C37" i="12"/>
  <c r="B49" i="9" a="1"/>
  <c r="N6" i="17"/>
  <c r="C7" i="8"/>
  <c r="R26" i="9" a="1"/>
  <c r="R26" i="9" s="1"/>
  <c r="S26" i="9" a="1"/>
  <c r="S26" i="9" s="1"/>
  <c r="T26" i="9" a="1"/>
  <c r="T26" i="9" s="1"/>
  <c r="U26" i="9" a="1"/>
  <c r="U26" i="9" s="1"/>
  <c r="AA26" i="9"/>
  <c r="B23" i="20" s="1"/>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J26" i="15"/>
  <c r="J30" i="15" s="1"/>
  <c r="J25" i="15"/>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F27" i="2"/>
  <c r="H27" i="2" s="1"/>
  <c r="I27" i="2" s="1"/>
  <c r="D27" i="2" s="1"/>
  <c r="E27" i="2"/>
  <c r="E59" i="2"/>
  <c r="F59" i="2"/>
  <c r="F28" i="2"/>
  <c r="E28" i="2"/>
  <c r="E60" i="2"/>
  <c r="F60" i="2"/>
  <c r="E61" i="2"/>
  <c r="F61" i="2"/>
  <c r="H61" i="2"/>
  <c r="I61" i="2" s="1"/>
  <c r="D61" i="2" s="1"/>
  <c r="E62" i="2"/>
  <c r="F62" i="2"/>
  <c r="H62" i="2" s="1"/>
  <c r="I62" i="2" s="1"/>
  <c r="D62" i="2" s="1"/>
  <c r="E63" i="2"/>
  <c r="F63" i="2"/>
  <c r="H63" i="2" s="1"/>
  <c r="I63" i="2" s="1"/>
  <c r="D63" i="2" s="1"/>
  <c r="E64" i="2"/>
  <c r="F64" i="2"/>
  <c r="H64" i="2"/>
  <c r="I64" i="2" s="1"/>
  <c r="D64" i="2" s="1"/>
  <c r="E65" i="2"/>
  <c r="F65" i="2"/>
  <c r="E66" i="2"/>
  <c r="F66" i="2"/>
  <c r="H66" i="2"/>
  <c r="I66" i="2"/>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E73" i="2"/>
  <c r="F73" i="2"/>
  <c r="H73" i="2"/>
  <c r="I73" i="2"/>
  <c r="D73" i="2"/>
  <c r="E45" i="2"/>
  <c r="F45" i="2"/>
  <c r="G45" i="2" s="1"/>
  <c r="E46" i="2"/>
  <c r="F46" i="2"/>
  <c r="H46" i="2" s="1"/>
  <c r="I46" i="2" s="1"/>
  <c r="D46" i="2" s="1"/>
  <c r="E47" i="2"/>
  <c r="F47" i="2"/>
  <c r="E48" i="2"/>
  <c r="F48" i="2"/>
  <c r="H48" i="2" s="1"/>
  <c r="I48" i="2" s="1"/>
  <c r="D48" i="2" s="1"/>
  <c r="F20" i="2"/>
  <c r="E20" i="2"/>
  <c r="E49" i="2"/>
  <c r="F49" i="2"/>
  <c r="H49" i="2" s="1"/>
  <c r="I49" i="2" s="1"/>
  <c r="D49" i="2" s="1"/>
  <c r="F21" i="2"/>
  <c r="H21" i="2" s="1"/>
  <c r="I21" i="2" s="1"/>
  <c r="D21" i="2" s="1"/>
  <c r="E21" i="2"/>
  <c r="E50" i="2"/>
  <c r="F50" i="2"/>
  <c r="H50" i="2" s="1"/>
  <c r="I50" i="2" s="1"/>
  <c r="D50" i="2" s="1"/>
  <c r="E51" i="2"/>
  <c r="G51" i="2" s="1"/>
  <c r="F51" i="2"/>
  <c r="H51" i="2" s="1"/>
  <c r="I51" i="2" s="1"/>
  <c r="D51" i="2" s="1"/>
  <c r="E52" i="2"/>
  <c r="F52" i="2"/>
  <c r="H52" i="2" s="1"/>
  <c r="I52" i="2" s="1"/>
  <c r="D52" i="2" s="1"/>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H5" i="2" s="1"/>
  <c r="I5" i="2" s="1"/>
  <c r="D5" i="2" s="1"/>
  <c r="E5" i="2"/>
  <c r="E34" i="2"/>
  <c r="F34" i="2"/>
  <c r="F18" i="2"/>
  <c r="H18" i="2" s="1"/>
  <c r="I18" i="2" s="1"/>
  <c r="D18" i="2" s="1"/>
  <c r="E18" i="2"/>
  <c r="E35" i="2"/>
  <c r="F35" i="2"/>
  <c r="E36" i="2"/>
  <c r="F36" i="2"/>
  <c r="G36" i="2" s="1"/>
  <c r="F22" i="2"/>
  <c r="H22" i="2" s="1"/>
  <c r="I22" i="2" s="1"/>
  <c r="D22" i="2" s="1"/>
  <c r="E22" i="2"/>
  <c r="F7" i="2"/>
  <c r="E7" i="2"/>
  <c r="E37" i="2"/>
  <c r="F37" i="2"/>
  <c r="H37" i="2" s="1"/>
  <c r="I37" i="2" s="1"/>
  <c r="D37" i="2" s="1"/>
  <c r="E39" i="2"/>
  <c r="F39" i="2"/>
  <c r="E40" i="2"/>
  <c r="F40" i="2"/>
  <c r="E41" i="2"/>
  <c r="F41" i="2"/>
  <c r="H41" i="2" s="1"/>
  <c r="I41" i="2" s="1"/>
  <c r="D41" i="2" s="1"/>
  <c r="E42" i="2"/>
  <c r="F42" i="2"/>
  <c r="G42" i="2" s="1"/>
  <c r="E43" i="2"/>
  <c r="F43" i="2"/>
  <c r="G43" i="2" s="1"/>
  <c r="E44" i="2"/>
  <c r="F44" i="2"/>
  <c r="G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G15" i="2" s="1"/>
  <c r="F16" i="2"/>
  <c r="E16" i="2"/>
  <c r="F26" i="2"/>
  <c r="E26" i="2"/>
  <c r="F29" i="2"/>
  <c r="E29" i="2"/>
  <c r="F30" i="2"/>
  <c r="H30" i="2" s="1"/>
  <c r="I30" i="2" s="1"/>
  <c r="D30" i="2" s="1"/>
  <c r="F31" i="2"/>
  <c r="H31" i="2" s="1"/>
  <c r="I31" i="2" s="1"/>
  <c r="D31" i="2" s="1"/>
  <c r="E31" i="2"/>
  <c r="G31" i="2" s="1"/>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s="1"/>
  <c r="D65" i="2" s="1"/>
  <c r="D6" i="17"/>
  <c r="K5" i="17" s="1"/>
  <c r="C12" i="10"/>
  <c r="B2" i="2"/>
  <c r="H34" i="2"/>
  <c r="I34" i="2" s="1"/>
  <c r="D34" i="2" s="1"/>
  <c r="H59" i="2"/>
  <c r="I59" i="2" s="1"/>
  <c r="D59" i="2" s="1"/>
  <c r="G61" i="2"/>
  <c r="C6" i="17"/>
  <c r="K4" i="17" s="1"/>
  <c r="C16" i="10"/>
  <c r="C2" i="2"/>
  <c r="G8" i="6" l="1"/>
  <c r="G67" i="2"/>
  <c r="G71" i="2"/>
  <c r="G8" i="2"/>
  <c r="G38" i="2"/>
  <c r="G66" i="2"/>
  <c r="G65" i="2"/>
  <c r="G60" i="2"/>
  <c r="G49" i="2"/>
  <c r="G69" i="2"/>
  <c r="G68" i="2"/>
  <c r="V25" i="9" a="1"/>
  <c r="V25" i="9" s="1"/>
  <c r="J54" i="9" a="1"/>
  <c r="J54" i="9" s="1"/>
  <c r="I57" i="9" a="1"/>
  <c r="I57" i="9" s="1"/>
  <c r="I60" i="9" a="1"/>
  <c r="I60" i="9" s="1"/>
  <c r="I63" i="9" a="1"/>
  <c r="I63" i="9" s="1"/>
  <c r="H66" i="9" a="1"/>
  <c r="H66" i="9" s="1"/>
  <c r="W25" i="9" a="1"/>
  <c r="W25" i="9" s="1"/>
  <c r="H52" i="9" a="1"/>
  <c r="H52" i="9" s="1"/>
  <c r="G55" i="9" a="1"/>
  <c r="G55" i="9" s="1"/>
  <c r="J57" i="9" a="1"/>
  <c r="J57" i="9" s="1"/>
  <c r="J60" i="9" a="1"/>
  <c r="J60" i="9" s="1"/>
  <c r="J63" i="9" a="1"/>
  <c r="J63" i="9" s="1"/>
  <c r="I66" i="9" a="1"/>
  <c r="I66" i="9" s="1"/>
  <c r="J69" i="9" a="1"/>
  <c r="J69" i="9" s="1"/>
  <c r="H54" i="9" a="1"/>
  <c r="H54" i="9" s="1"/>
  <c r="I52" i="9" a="1"/>
  <c r="I52" i="9" s="1"/>
  <c r="H55" i="9" a="1"/>
  <c r="H55" i="9" s="1"/>
  <c r="G58" i="9" a="1"/>
  <c r="G58" i="9" s="1"/>
  <c r="G61" i="9" a="1"/>
  <c r="G61" i="9" s="1"/>
  <c r="G64" i="9" a="1"/>
  <c r="G64" i="9" s="1"/>
  <c r="J66" i="9" a="1"/>
  <c r="J66" i="9" s="1"/>
  <c r="J52" i="9" a="1"/>
  <c r="J52" i="9" s="1"/>
  <c r="I55" i="9" a="1"/>
  <c r="I55" i="9" s="1"/>
  <c r="H58" i="9" a="1"/>
  <c r="H58" i="9" s="1"/>
  <c r="H61" i="9" a="1"/>
  <c r="H61" i="9" s="1"/>
  <c r="H64" i="9" a="1"/>
  <c r="H64" i="9" s="1"/>
  <c r="G67" i="9" a="1"/>
  <c r="G67" i="9" s="1"/>
  <c r="H65" i="9" a="1"/>
  <c r="H65" i="9" s="1"/>
  <c r="G60" i="9" a="1"/>
  <c r="G60" i="9" s="1"/>
  <c r="J65" i="9" a="1"/>
  <c r="J65" i="9" s="1"/>
  <c r="G50" i="9" a="1"/>
  <c r="G50" i="9" s="1"/>
  <c r="J55" i="9" a="1"/>
  <c r="J55" i="9" s="1"/>
  <c r="I58" i="9" a="1"/>
  <c r="I58" i="9" s="1"/>
  <c r="I61" i="9" a="1"/>
  <c r="I61" i="9" s="1"/>
  <c r="I64" i="9" a="1"/>
  <c r="I64" i="9" s="1"/>
  <c r="I67" i="9" a="1"/>
  <c r="I67" i="9" s="1"/>
  <c r="I68" i="9" a="1"/>
  <c r="I68" i="9" s="1"/>
  <c r="G57" i="9" a="1"/>
  <c r="G57" i="9" s="1"/>
  <c r="G63" i="9" a="1"/>
  <c r="G63" i="9" s="1"/>
  <c r="I50" i="9" a="1"/>
  <c r="I50" i="9" s="1"/>
  <c r="G53" i="9" a="1"/>
  <c r="G53" i="9" s="1"/>
  <c r="J58" i="9" a="1"/>
  <c r="J58" i="9" s="1"/>
  <c r="J61" i="9" a="1"/>
  <c r="J61" i="9" s="1"/>
  <c r="J64" i="9" a="1"/>
  <c r="J64" i="9" s="1"/>
  <c r="J67" i="9" a="1"/>
  <c r="J67" i="9" s="1"/>
  <c r="I59" i="9" a="1"/>
  <c r="I59" i="9" s="1"/>
  <c r="J50" i="9" a="1"/>
  <c r="J50" i="9" s="1"/>
  <c r="H53" i="9" a="1"/>
  <c r="H53" i="9" s="1"/>
  <c r="G56" i="9" a="1"/>
  <c r="G56" i="9" s="1"/>
  <c r="G59" i="9" a="1"/>
  <c r="G59" i="9" s="1"/>
  <c r="G62" i="9" a="1"/>
  <c r="G62" i="9" s="1"/>
  <c r="I56" i="9" a="1"/>
  <c r="I56" i="9" s="1"/>
  <c r="G51" i="9" a="1"/>
  <c r="G51" i="9" s="1"/>
  <c r="I53" i="9" a="1"/>
  <c r="I53" i="9" s="1"/>
  <c r="H56" i="9" a="1"/>
  <c r="H56" i="9" s="1"/>
  <c r="H59" i="9" a="1"/>
  <c r="H59" i="9" s="1"/>
  <c r="H62" i="9" a="1"/>
  <c r="H62" i="9" s="1"/>
  <c r="G65" i="9" a="1"/>
  <c r="G65" i="9" s="1"/>
  <c r="G68" i="9" a="1"/>
  <c r="G68" i="9" s="1"/>
  <c r="H51" i="9" a="1"/>
  <c r="H51" i="9" s="1"/>
  <c r="J53" i="9" a="1"/>
  <c r="J53" i="9" s="1"/>
  <c r="I62" i="9" a="1"/>
  <c r="I62" i="9" s="1"/>
  <c r="G54" i="9" a="1"/>
  <c r="G54" i="9" s="1"/>
  <c r="J56" i="9" a="1"/>
  <c r="J56" i="9" s="1"/>
  <c r="J59" i="9" a="1"/>
  <c r="J59" i="9" s="1"/>
  <c r="J62" i="9" a="1"/>
  <c r="J62" i="9" s="1"/>
  <c r="I65" i="9" a="1"/>
  <c r="I65" i="9" s="1"/>
  <c r="J68" i="9" a="1"/>
  <c r="J68" i="9" s="1"/>
  <c r="I51" i="9" a="1"/>
  <c r="I51" i="9" s="1"/>
  <c r="G69" i="9" a="1"/>
  <c r="G69" i="9" s="1"/>
  <c r="J51" i="9" a="1"/>
  <c r="J51" i="9" s="1"/>
  <c r="I54" i="9" a="1"/>
  <c r="I54" i="9" s="1"/>
  <c r="H57" i="9" a="1"/>
  <c r="H57" i="9" s="1"/>
  <c r="H60" i="9" a="1"/>
  <c r="H60" i="9" s="1"/>
  <c r="H63" i="9" a="1"/>
  <c r="H63" i="9" s="1"/>
  <c r="G66" i="9" a="1"/>
  <c r="G66" i="9" s="1"/>
  <c r="H69" i="9" a="1"/>
  <c r="H69" i="9" s="1"/>
  <c r="G52" i="9" a="1"/>
  <c r="G52" i="9" s="1"/>
  <c r="I69" i="9" a="1"/>
  <c r="I69" i="9" s="1"/>
  <c r="H68" i="9" a="1"/>
  <c r="H68" i="9" s="1"/>
  <c r="H67" i="9" a="1"/>
  <c r="H67" i="9" s="1"/>
  <c r="H50" i="9" a="1"/>
  <c r="H50" i="9" s="1"/>
  <c r="D87" i="9"/>
  <c r="S8" i="9" s="1" a="1"/>
  <c r="S8" i="9" s="1"/>
  <c r="L102" i="9"/>
  <c r="D99" i="9"/>
  <c r="C86" i="9"/>
  <c r="J101" i="9"/>
  <c r="Y22" i="9" s="1" a="1"/>
  <c r="Y22" i="9" s="1"/>
  <c r="G87" i="9"/>
  <c r="E103" i="9"/>
  <c r="I100" i="9"/>
  <c r="X21" i="9" s="1" a="1"/>
  <c r="X21" i="9" s="1"/>
  <c r="F86" i="9"/>
  <c r="D102" i="9"/>
  <c r="S23" i="9" s="1" a="1"/>
  <c r="S23" i="9" s="1"/>
  <c r="J87" i="9"/>
  <c r="Y8" i="9" s="1" a="1"/>
  <c r="Y8" i="9" s="1"/>
  <c r="H103" i="9"/>
  <c r="W24" i="9" s="1" a="1"/>
  <c r="W24" i="9" s="1"/>
  <c r="J95" i="9"/>
  <c r="Y16" i="9" s="1" a="1"/>
  <c r="Y16" i="9" s="1"/>
  <c r="D101" i="9"/>
  <c r="E101" i="9"/>
  <c r="G97" i="9"/>
  <c r="C87" i="9"/>
  <c r="J102" i="9"/>
  <c r="Y23" i="9" s="1" a="1"/>
  <c r="Y23" i="9" s="1"/>
  <c r="H102" i="9"/>
  <c r="W23" i="9" s="1" a="1"/>
  <c r="W23" i="9" s="1"/>
  <c r="J98" i="9"/>
  <c r="Y19" i="9" s="1" a="1"/>
  <c r="Y19" i="9" s="1"/>
  <c r="F88" i="9"/>
  <c r="G90" i="9"/>
  <c r="G98" i="9"/>
  <c r="I86" i="9"/>
  <c r="X7" i="9" s="1" a="1"/>
  <c r="X7" i="9" s="1"/>
  <c r="J103" i="9"/>
  <c r="Y24" i="9" s="1" a="1"/>
  <c r="Y24" i="9" s="1"/>
  <c r="C100" i="9"/>
  <c r="H86" i="9"/>
  <c r="W7" i="9" s="1" a="1"/>
  <c r="W7" i="9" s="1"/>
  <c r="L97" i="9"/>
  <c r="AA18" i="9" s="1"/>
  <c r="B15" i="20" s="1"/>
  <c r="E98" i="9"/>
  <c r="L98" i="9"/>
  <c r="D86" i="9"/>
  <c r="H98" i="9"/>
  <c r="W19" i="9" s="1" a="1"/>
  <c r="W19" i="9" s="1"/>
  <c r="G88" i="9"/>
  <c r="F100" i="9"/>
  <c r="U21" i="9" s="1" a="1"/>
  <c r="U21" i="9" s="1"/>
  <c r="F87" i="9"/>
  <c r="D103" i="9"/>
  <c r="J88" i="9"/>
  <c r="Y9" i="9" s="1" a="1"/>
  <c r="Y9" i="9" s="1"/>
  <c r="C85" i="9"/>
  <c r="C102" i="9"/>
  <c r="I87" i="9"/>
  <c r="X8" i="9" s="1" a="1"/>
  <c r="X8" i="9" s="1"/>
  <c r="G103" i="9"/>
  <c r="D89" i="9"/>
  <c r="D97" i="9"/>
  <c r="G85" i="9"/>
  <c r="G102" i="9"/>
  <c r="H85" i="9"/>
  <c r="W6" i="9" s="1" a="1"/>
  <c r="W6" i="9" s="1"/>
  <c r="J86" i="9"/>
  <c r="Y7" i="9" s="1" a="1"/>
  <c r="Y7" i="9" s="1"/>
  <c r="L103" i="9"/>
  <c r="I89" i="9"/>
  <c r="X10" i="9" s="1" a="1"/>
  <c r="X10" i="9" s="1"/>
  <c r="J92" i="9"/>
  <c r="Y13" i="9" s="1" a="1"/>
  <c r="Y13" i="9" s="1"/>
  <c r="H89" i="9"/>
  <c r="W10" i="9" s="1" a="1"/>
  <c r="W10" i="9" s="1"/>
  <c r="L94" i="9"/>
  <c r="AA15" i="9" s="1"/>
  <c r="B12" i="20" s="1"/>
  <c r="J89" i="9"/>
  <c r="Y10" i="9" s="1" a="1"/>
  <c r="Y10" i="9" s="1"/>
  <c r="L85" i="9"/>
  <c r="I101" i="9"/>
  <c r="X22" i="9" s="1" a="1"/>
  <c r="X22" i="9" s="1"/>
  <c r="I88" i="9"/>
  <c r="X9" i="9" s="1" a="1"/>
  <c r="X9" i="9" s="1"/>
  <c r="D90" i="9"/>
  <c r="E86" i="9"/>
  <c r="T7" i="9" s="1" a="1"/>
  <c r="T7" i="9" s="1"/>
  <c r="F103" i="9"/>
  <c r="C89" i="9"/>
  <c r="D91" i="9"/>
  <c r="S12" i="9" s="1" a="1"/>
  <c r="S12" i="9" s="1"/>
  <c r="E87" i="9"/>
  <c r="C103" i="9"/>
  <c r="C90" i="9"/>
  <c r="G91" i="9"/>
  <c r="H87" i="9"/>
  <c r="W8" i="9" s="1" a="1"/>
  <c r="W8" i="9" s="1"/>
  <c r="F90" i="9"/>
  <c r="J91" i="9"/>
  <c r="Y12" i="9" s="1" a="1"/>
  <c r="Y12" i="9" s="1"/>
  <c r="J99" i="9"/>
  <c r="Y20" i="9" s="1" a="1"/>
  <c r="Y20" i="9" s="1"/>
  <c r="C88" i="9"/>
  <c r="R9" i="9" s="1" a="1"/>
  <c r="R9" i="9" s="1"/>
  <c r="C104" i="9"/>
  <c r="D88" i="9"/>
  <c r="I85" i="9"/>
  <c r="X6" i="9" s="1" a="1"/>
  <c r="X6" i="9" s="1"/>
  <c r="F101" i="9"/>
  <c r="C91" i="9"/>
  <c r="C93" i="9"/>
  <c r="J90" i="9"/>
  <c r="Y11" i="9" s="1" a="1"/>
  <c r="Y11" i="9" s="1"/>
  <c r="L86" i="9"/>
  <c r="I102" i="9"/>
  <c r="X23" i="9" s="1" a="1"/>
  <c r="X23" i="9" s="1"/>
  <c r="G100" i="9"/>
  <c r="J100" i="9"/>
  <c r="Y21" i="9" s="1" a="1"/>
  <c r="Y21" i="9" s="1"/>
  <c r="F92" i="9"/>
  <c r="U13" i="9" s="1" a="1"/>
  <c r="U13" i="9" s="1"/>
  <c r="H88" i="9"/>
  <c r="W9" i="9" s="1" a="1"/>
  <c r="W9" i="9" s="1"/>
  <c r="F91" i="9"/>
  <c r="I92" i="9"/>
  <c r="X13" i="9" s="1" a="1"/>
  <c r="X13" i="9" s="1"/>
  <c r="L88" i="9"/>
  <c r="I91" i="9"/>
  <c r="X12" i="9" s="1" a="1"/>
  <c r="X12" i="9" s="1"/>
  <c r="C101" i="9"/>
  <c r="F89" i="9"/>
  <c r="E92" i="9"/>
  <c r="H90" i="9"/>
  <c r="W11" i="9" s="1" a="1"/>
  <c r="W11" i="9" s="1"/>
  <c r="D96" i="9"/>
  <c r="I93" i="9"/>
  <c r="X14" i="9" s="1" a="1"/>
  <c r="X14" i="9" s="1"/>
  <c r="L89" i="9"/>
  <c r="AA10" i="9" s="1"/>
  <c r="B7" i="20" s="1"/>
  <c r="H92" i="9"/>
  <c r="W13" i="9" s="1" a="1"/>
  <c r="W13" i="9" s="1"/>
  <c r="C94" i="9"/>
  <c r="E90" i="9"/>
  <c r="T11" i="9" s="1" a="1"/>
  <c r="T11" i="9" s="1"/>
  <c r="L92" i="9"/>
  <c r="F94" i="9"/>
  <c r="F85" i="9"/>
  <c r="F102" i="9"/>
  <c r="I90" i="9"/>
  <c r="X11" i="9" s="1" a="1"/>
  <c r="X11" i="9" s="1"/>
  <c r="C92" i="9"/>
  <c r="R13" i="9" s="1" a="1"/>
  <c r="R13" i="9" s="1"/>
  <c r="E88" i="9"/>
  <c r="T9" i="9" s="1" a="1"/>
  <c r="T9" i="9" s="1"/>
  <c r="H93" i="9"/>
  <c r="W14" i="9" s="1" a="1"/>
  <c r="W14" i="9" s="1"/>
  <c r="L93" i="9"/>
  <c r="AA14" i="9" s="1"/>
  <c r="F95" i="9"/>
  <c r="E94" i="9"/>
  <c r="F93" i="9"/>
  <c r="U14" i="9" s="1" a="1"/>
  <c r="U14" i="9" s="1"/>
  <c r="I99" i="9"/>
  <c r="X20" i="9" s="1" a="1"/>
  <c r="X20" i="9" s="1"/>
  <c r="G94" i="9"/>
  <c r="G101" i="9"/>
  <c r="C95" i="9"/>
  <c r="E91" i="9"/>
  <c r="I95" i="9"/>
  <c r="X16" i="9" s="1" a="1"/>
  <c r="X16" i="9" s="1"/>
  <c r="I103" i="9"/>
  <c r="X24" i="9" s="1" a="1"/>
  <c r="X24" i="9" s="1"/>
  <c r="L91" i="9"/>
  <c r="AA12" i="9" s="1"/>
  <c r="B9" i="20" s="1"/>
  <c r="D95" i="9"/>
  <c r="S16" i="9" s="1" a="1"/>
  <c r="S16" i="9" s="1"/>
  <c r="F99" i="9"/>
  <c r="L101" i="9"/>
  <c r="L99" i="9"/>
  <c r="AA20" i="9" s="1"/>
  <c r="B17" i="20" s="1"/>
  <c r="F96" i="9"/>
  <c r="G92" i="9"/>
  <c r="E95" i="9"/>
  <c r="I96" i="9"/>
  <c r="X17" i="9" s="1" a="1"/>
  <c r="X17" i="9" s="1"/>
  <c r="D94" i="9"/>
  <c r="H95" i="9"/>
  <c r="W16" i="9" s="1" a="1"/>
  <c r="W16" i="9" s="1"/>
  <c r="C97" i="9"/>
  <c r="L87" i="9"/>
  <c r="AA8" i="9" s="1"/>
  <c r="B5" i="20" s="1"/>
  <c r="E93" i="9"/>
  <c r="T14" i="9" s="1" a="1"/>
  <c r="T14" i="9" s="1"/>
  <c r="I94" i="9"/>
  <c r="X15" i="9" s="1" a="1"/>
  <c r="X15" i="9" s="1"/>
  <c r="L90" i="9"/>
  <c r="AA11" i="9" s="1"/>
  <c r="B8" i="20" s="1"/>
  <c r="E96" i="9"/>
  <c r="T17" i="9" s="1" a="1"/>
  <c r="T17" i="9" s="1"/>
  <c r="J96" i="9"/>
  <c r="Y17" i="9" s="1" a="1"/>
  <c r="Y17" i="9" s="1"/>
  <c r="L95" i="9"/>
  <c r="AA16" i="9" s="1"/>
  <c r="B13" i="20" s="1"/>
  <c r="F97" i="9"/>
  <c r="I97" i="9"/>
  <c r="X18" i="9" s="1" a="1"/>
  <c r="X18" i="9" s="1"/>
  <c r="J93" i="9"/>
  <c r="Y14" i="9" s="1" a="1"/>
  <c r="Y14" i="9" s="1"/>
  <c r="H96" i="9"/>
  <c r="W17" i="9" s="1" a="1"/>
  <c r="W17" i="9" s="1"/>
  <c r="C98" i="9"/>
  <c r="G95" i="9"/>
  <c r="L96" i="9"/>
  <c r="AA17" i="9" s="1"/>
  <c r="B14" i="20" s="1"/>
  <c r="F98" i="9"/>
  <c r="E89" i="9"/>
  <c r="T10" i="9" s="1" a="1"/>
  <c r="T10" i="9" s="1"/>
  <c r="H94" i="9"/>
  <c r="C96" i="9"/>
  <c r="D92" i="9"/>
  <c r="H97" i="9"/>
  <c r="W18" i="9" s="1" a="1"/>
  <c r="W18" i="9" s="1"/>
  <c r="C99" i="9"/>
  <c r="G93" i="9"/>
  <c r="V14" i="9" s="1" a="1"/>
  <c r="V14" i="9" s="1"/>
  <c r="J97" i="9"/>
  <c r="Y18" i="9" s="1" a="1"/>
  <c r="Y18" i="9" s="1"/>
  <c r="G99" i="9"/>
  <c r="D85" i="9"/>
  <c r="S6" i="9" s="1" a="1"/>
  <c r="S6" i="9" s="1"/>
  <c r="E102" i="9"/>
  <c r="T23" i="9" s="1" a="1"/>
  <c r="T23" i="9" s="1"/>
  <c r="E100" i="9"/>
  <c r="G96" i="9"/>
  <c r="V17" i="9" s="1" a="1"/>
  <c r="V17" i="9" s="1"/>
  <c r="E99" i="9"/>
  <c r="H100" i="9"/>
  <c r="W21" i="9" s="1" a="1"/>
  <c r="W21" i="9" s="1"/>
  <c r="D98" i="9"/>
  <c r="H99" i="9"/>
  <c r="W20" i="9" s="1" a="1"/>
  <c r="W20" i="9" s="1"/>
  <c r="L100" i="9"/>
  <c r="D93" i="9"/>
  <c r="E97" i="9"/>
  <c r="T18" i="9" s="1" a="1"/>
  <c r="T18" i="9" s="1"/>
  <c r="I98" i="9"/>
  <c r="X19" i="9" s="1" a="1"/>
  <c r="X19" i="9" s="1"/>
  <c r="J94" i="9"/>
  <c r="Y15" i="9" s="1" a="1"/>
  <c r="Y15" i="9" s="1"/>
  <c r="D100" i="9"/>
  <c r="S21" i="9" s="1" a="1"/>
  <c r="S21" i="9" s="1"/>
  <c r="H101" i="9"/>
  <c r="W22" i="9" s="1" a="1"/>
  <c r="W22" i="9" s="1"/>
  <c r="E85" i="9"/>
  <c r="J85" i="9"/>
  <c r="Y6" i="9" s="1" a="1"/>
  <c r="Y6" i="9" s="1"/>
  <c r="H91" i="9"/>
  <c r="W12" i="9" s="1" a="1"/>
  <c r="W12" i="9" s="1"/>
  <c r="V19" i="9" a="1"/>
  <c r="V19" i="9" s="1"/>
  <c r="G86" i="9"/>
  <c r="V12" i="9" a="1"/>
  <c r="V12" i="9" s="1"/>
  <c r="V24" i="9" a="1"/>
  <c r="V24" i="9" s="1"/>
  <c r="V20" i="9" a="1"/>
  <c r="V20" i="9" s="1"/>
  <c r="V8" i="9" a="1"/>
  <c r="V8" i="9" s="1"/>
  <c r="V13" i="9" a="1"/>
  <c r="V13" i="9" s="1"/>
  <c r="V9" i="9" a="1"/>
  <c r="V9" i="9" s="1"/>
  <c r="V22" i="9" a="1"/>
  <c r="V22" i="9" s="1"/>
  <c r="W15" i="9" a="1"/>
  <c r="W15" i="9" s="1"/>
  <c r="G89" i="9"/>
  <c r="V18" i="9" a="1"/>
  <c r="V18" i="9" s="1"/>
  <c r="V7" i="9" a="1"/>
  <c r="V7" i="9" s="1"/>
  <c r="N5" i="17"/>
  <c r="G29" i="2"/>
  <c r="G35" i="2"/>
  <c r="G7" i="2"/>
  <c r="G63" i="2"/>
  <c r="G70" i="2"/>
  <c r="G59" i="2"/>
  <c r="G12" i="2"/>
  <c r="G52" i="2"/>
  <c r="G32" i="2"/>
  <c r="G47" i="2"/>
  <c r="G57" i="2"/>
  <c r="G26" i="2"/>
  <c r="H12" i="2"/>
  <c r="I12" i="2" s="1"/>
  <c r="D12" i="2" s="1"/>
  <c r="G48" i="2"/>
  <c r="H36" i="2"/>
  <c r="I36" i="2" s="1"/>
  <c r="D36" i="2" s="1"/>
  <c r="G39" i="2"/>
  <c r="G58" i="2"/>
  <c r="H7" i="2"/>
  <c r="I7" i="2" s="1"/>
  <c r="D7" i="2" s="1"/>
  <c r="U25" i="9" a="1"/>
  <c r="U25" i="9" s="1"/>
  <c r="R25" i="9" a="1"/>
  <c r="R25" i="9" s="1"/>
  <c r="S25" i="9" a="1"/>
  <c r="S25" i="9" s="1"/>
  <c r="T25" i="9" a="1"/>
  <c r="T25" i="9" s="1"/>
  <c r="L69" i="9"/>
  <c r="A22" i="20"/>
  <c r="AA25" i="9"/>
  <c r="B22" i="20" s="1"/>
  <c r="R8" i="9" a="1"/>
  <c r="R8" i="9" s="1"/>
  <c r="L63" i="9"/>
  <c r="L58" i="9"/>
  <c r="T19" i="9" a="1"/>
  <c r="T19" i="9" s="1"/>
  <c r="U6" i="9" a="1"/>
  <c r="U6" i="9" s="1"/>
  <c r="S10" i="9" a="1"/>
  <c r="S10" i="9" s="1"/>
  <c r="U17" i="9" a="1"/>
  <c r="U17" i="9" s="1"/>
  <c r="R22" i="9" a="1"/>
  <c r="R22" i="9" s="1"/>
  <c r="S24" i="9" a="1"/>
  <c r="S24" i="9" s="1"/>
  <c r="R14" i="9" a="1"/>
  <c r="R14" i="9" s="1"/>
  <c r="B3" i="9"/>
  <c r="C3" i="9" s="1"/>
  <c r="L57" i="9"/>
  <c r="B11" i="9"/>
  <c r="C11" i="9" s="1"/>
  <c r="B9" i="9"/>
  <c r="E9" i="9" s="1"/>
  <c r="R11" i="9" a="1"/>
  <c r="R11" i="9" s="1"/>
  <c r="L55" i="9"/>
  <c r="AA7" i="9"/>
  <c r="B4" i="20" s="1"/>
  <c r="T20" i="9" a="1"/>
  <c r="T20" i="9" s="1"/>
  <c r="L61" i="9"/>
  <c r="L51" i="9"/>
  <c r="T8" i="9" a="1"/>
  <c r="T8" i="9" s="1"/>
  <c r="L53" i="9"/>
  <c r="U23" i="9" a="1"/>
  <c r="U23" i="9" s="1"/>
  <c r="S20" i="9" a="1"/>
  <c r="S20" i="9" s="1"/>
  <c r="S22" i="9" a="1"/>
  <c r="S22" i="9" s="1"/>
  <c r="H47" i="2"/>
  <c r="I47" i="2" s="1"/>
  <c r="D47" i="2" s="1"/>
  <c r="G23" i="2"/>
  <c r="G21" i="2"/>
  <c r="G54" i="2"/>
  <c r="G4" i="2"/>
  <c r="H43" i="2"/>
  <c r="I43" i="2" s="1"/>
  <c r="D43" i="2" s="1"/>
  <c r="G10" i="2"/>
  <c r="G5" i="2"/>
  <c r="G53" i="2"/>
  <c r="G20" i="2"/>
  <c r="G28" i="2"/>
  <c r="G56" i="2"/>
  <c r="H35" i="2"/>
  <c r="I35" i="2" s="1"/>
  <c r="D35" i="2" s="1"/>
  <c r="H39" i="2"/>
  <c r="I39" i="2" s="1"/>
  <c r="D39" i="2" s="1"/>
  <c r="G30" i="2"/>
  <c r="G16" i="2"/>
  <c r="G40" i="2"/>
  <c r="H20" i="2"/>
  <c r="I20" i="2" s="1"/>
  <c r="D20" i="2" s="1"/>
  <c r="G17" i="2"/>
  <c r="H16" i="2"/>
  <c r="I16" i="2" s="1"/>
  <c r="D16" i="2" s="1"/>
  <c r="H44" i="2"/>
  <c r="I44" i="2" s="1"/>
  <c r="D44" i="2" s="1"/>
  <c r="G33" i="2"/>
  <c r="G55" i="2"/>
  <c r="G62" i="2"/>
  <c r="H40" i="2"/>
  <c r="I40" i="2" s="1"/>
  <c r="D40" i="2" s="1"/>
  <c r="H29" i="2"/>
  <c r="I29" i="2" s="1"/>
  <c r="D29" i="2" s="1"/>
  <c r="G13" i="2"/>
  <c r="G19" i="2"/>
  <c r="G41" i="2"/>
  <c r="G34" i="2"/>
  <c r="H54" i="2"/>
  <c r="I54" i="2" s="1"/>
  <c r="D54" i="2" s="1"/>
  <c r="G50" i="2"/>
  <c r="G27" i="2"/>
  <c r="G24" i="2"/>
  <c r="H60" i="2"/>
  <c r="I60" i="2" s="1"/>
  <c r="D60" i="2" s="1"/>
  <c r="G46" i="2"/>
  <c r="H26" i="2"/>
  <c r="I26" i="2" s="1"/>
  <c r="D26" i="2" s="1"/>
  <c r="H45" i="2"/>
  <c r="I45" i="2" s="1"/>
  <c r="D45" i="2" s="1"/>
  <c r="H58" i="2"/>
  <c r="I58" i="2" s="1"/>
  <c r="D58" i="2" s="1"/>
  <c r="H38" i="2"/>
  <c r="I38" i="2" s="1"/>
  <c r="D38" i="2" s="1"/>
  <c r="G9" i="2"/>
  <c r="G37" i="2"/>
  <c r="H42" i="2"/>
  <c r="I42" i="2" s="1"/>
  <c r="D42" i="2" s="1"/>
  <c r="G25" i="2"/>
  <c r="Z28" i="9"/>
  <c r="AB28" i="9" s="1"/>
  <c r="C25" i="20" s="1"/>
  <c r="S13" i="9" a="1"/>
  <c r="S13" i="9" s="1"/>
  <c r="U16" i="9" a="1"/>
  <c r="U16" i="9" s="1"/>
  <c r="AA6" i="9"/>
  <c r="B3" i="20" s="1"/>
  <c r="T21" i="9" a="1"/>
  <c r="T21" i="9" s="1"/>
  <c r="L67" i="9"/>
  <c r="L50" i="9"/>
  <c r="AA9" i="9"/>
  <c r="B6" i="20" s="1"/>
  <c r="R6" i="9" a="1"/>
  <c r="R6" i="9" s="1"/>
  <c r="T16" i="9" a="1"/>
  <c r="T16" i="9" s="1"/>
  <c r="S7" i="9" a="1"/>
  <c r="S7" i="9" s="1"/>
  <c r="U10" i="9" a="1"/>
  <c r="U10" i="9" s="1"/>
  <c r="U15" i="9" a="1"/>
  <c r="U15" i="9" s="1"/>
  <c r="U18" i="9" a="1"/>
  <c r="U18" i="9" s="1"/>
  <c r="L54" i="9"/>
  <c r="U8" i="9" a="1"/>
  <c r="U8" i="9" s="1"/>
  <c r="B6" i="9"/>
  <c r="L60" i="9"/>
  <c r="R10" i="9" a="1"/>
  <c r="R10" i="9" s="1"/>
  <c r="S15" i="9" a="1"/>
  <c r="S15" i="9" s="1"/>
  <c r="U19" i="9" a="1"/>
  <c r="U19" i="9" s="1"/>
  <c r="T22" i="9" a="1"/>
  <c r="T22" i="9" s="1"/>
  <c r="T6" i="9" a="1"/>
  <c r="T6" i="9" s="1"/>
  <c r="B13" i="9"/>
  <c r="C13" i="9" s="1"/>
  <c r="R23" i="9" a="1"/>
  <c r="R23" i="9" s="1"/>
  <c r="AA19" i="9"/>
  <c r="B16" i="20" s="1"/>
  <c r="L62" i="9"/>
  <c r="S18" i="9" a="1"/>
  <c r="S18" i="9" s="1"/>
  <c r="U22" i="9" a="1"/>
  <c r="U22" i="9" s="1"/>
  <c r="L56" i="9"/>
  <c r="R15" i="9" a="1"/>
  <c r="R15" i="9" s="1"/>
  <c r="S17" i="9" a="1"/>
  <c r="S17" i="9" s="1"/>
  <c r="T24" i="9" a="1"/>
  <c r="T24" i="9" s="1"/>
  <c r="B16" i="9"/>
  <c r="E16" i="9" s="1"/>
  <c r="B10" i="9"/>
  <c r="C10" i="9" s="1"/>
  <c r="R16" i="9" a="1"/>
  <c r="R16" i="9" s="1"/>
  <c r="AA13" i="9"/>
  <c r="B10" i="20" s="1"/>
  <c r="L68" i="9"/>
  <c r="R7" i="9" a="1"/>
  <c r="R7" i="9" s="1"/>
  <c r="R18" i="9" a="1"/>
  <c r="R18" i="9" s="1"/>
  <c r="R20" i="9" a="1"/>
  <c r="R20" i="9" s="1"/>
  <c r="A14" i="21"/>
  <c r="B7" i="9"/>
  <c r="E7" i="9" s="1" a="1"/>
  <c r="E7" i="9" s="1"/>
  <c r="T13" i="9" a="1"/>
  <c r="T13" i="9" s="1"/>
  <c r="B18" i="9"/>
  <c r="C18" i="9" s="1"/>
  <c r="U24" i="9" a="1"/>
  <c r="U24" i="9" s="1"/>
  <c r="T12" i="9" a="1"/>
  <c r="T12" i="9" s="1"/>
  <c r="R24" i="9" a="1"/>
  <c r="R24" i="9" s="1"/>
  <c r="B17" i="9"/>
  <c r="C17" i="9" s="1"/>
  <c r="L66" i="9"/>
  <c r="L65" i="9"/>
  <c r="S19" i="9" a="1"/>
  <c r="S19" i="9" s="1"/>
  <c r="R17" i="9" a="1"/>
  <c r="R17" i="9" s="1"/>
  <c r="B15" i="9"/>
  <c r="C15" i="9" s="1"/>
  <c r="B12" i="9"/>
  <c r="E12" i="9" s="1"/>
  <c r="U7" i="9" a="1"/>
  <c r="U7" i="9" s="1"/>
  <c r="L59" i="9"/>
  <c r="L52" i="9"/>
  <c r="B5" i="9"/>
  <c r="E5" i="9" s="1"/>
  <c r="U11" i="9" a="1"/>
  <c r="U11" i="9" s="1"/>
  <c r="B8" i="9"/>
  <c r="C8" i="9" s="1"/>
  <c r="T15" i="9" a="1"/>
  <c r="T15" i="9" s="1"/>
  <c r="Z30" i="9"/>
  <c r="AB30" i="9" s="1"/>
  <c r="C27" i="20" s="1"/>
  <c r="U9" i="9" a="1"/>
  <c r="U9" i="9" s="1"/>
  <c r="S14" i="9" a="1"/>
  <c r="S14" i="9" s="1"/>
  <c r="U20" i="9" a="1"/>
  <c r="U20" i="9" s="1"/>
  <c r="R19" i="9" a="1"/>
  <c r="R19" i="9" s="1"/>
  <c r="R12" i="9" a="1"/>
  <c r="R12" i="9" s="1"/>
  <c r="R21" i="9" a="1"/>
  <c r="R21" i="9" s="1"/>
  <c r="S11" i="9" a="1"/>
  <c r="S11" i="9" s="1"/>
  <c r="S9" i="9" a="1"/>
  <c r="S9" i="9" s="1"/>
  <c r="B14" i="9"/>
  <c r="B4" i="9"/>
  <c r="C4" i="9" s="1"/>
  <c r="U12" i="9" a="1"/>
  <c r="U12" i="9" s="1"/>
  <c r="Z26" i="9"/>
  <c r="AB26" i="9" s="1"/>
  <c r="C23" i="20" s="1"/>
  <c r="A8" i="21"/>
  <c r="E3" i="9"/>
  <c r="A9" i="20"/>
  <c r="A21" i="20"/>
  <c r="A12" i="21"/>
  <c r="A15" i="20"/>
  <c r="AA24" i="9"/>
  <c r="B21" i="20" s="1"/>
  <c r="AA22" i="9"/>
  <c r="B19" i="20" s="1"/>
  <c r="B49" i="9"/>
  <c r="Z31" i="9"/>
  <c r="AB31" i="9" s="1"/>
  <c r="C28" i="20" s="1"/>
  <c r="A17" i="21"/>
  <c r="A4" i="20"/>
  <c r="A4" i="21"/>
  <c r="A12" i="20"/>
  <c r="A3" i="20"/>
  <c r="A13" i="20"/>
  <c r="A7" i="20"/>
  <c r="A18" i="20"/>
  <c r="A3" i="21"/>
  <c r="A6" i="20"/>
  <c r="A15" i="21"/>
  <c r="A8" i="20"/>
  <c r="Q5" i="9"/>
  <c r="A11" i="20"/>
  <c r="A5" i="21"/>
  <c r="AA23" i="9"/>
  <c r="B20" i="20" s="1"/>
  <c r="A19" i="20"/>
  <c r="A10" i="20"/>
  <c r="A7" i="21"/>
  <c r="A11" i="21"/>
  <c r="A16" i="20"/>
  <c r="A13" i="21"/>
  <c r="A10" i="21"/>
  <c r="A16" i="21"/>
  <c r="A18" i="21"/>
  <c r="A17" i="20"/>
  <c r="A5" i="20"/>
  <c r="A14" i="20"/>
  <c r="AA21" i="9"/>
  <c r="B18" i="20" s="1"/>
  <c r="A20" i="20"/>
  <c r="A6" i="21"/>
  <c r="Z33" i="9"/>
  <c r="AB33" i="9" s="1"/>
  <c r="Z29" i="9"/>
  <c r="AB29" i="9" s="1"/>
  <c r="C26" i="20" s="1"/>
  <c r="Z27" i="9"/>
  <c r="AB27" i="9" s="1"/>
  <c r="C24" i="20" s="1"/>
  <c r="G11" i="2"/>
  <c r="H53" i="2"/>
  <c r="I53" i="2" s="1"/>
  <c r="D53" i="2" s="1"/>
  <c r="H33" i="2"/>
  <c r="I33" i="2" s="1"/>
  <c r="D33" i="2" s="1"/>
  <c r="H28" i="2"/>
  <c r="I28" i="2" s="1"/>
  <c r="D28" i="2" s="1"/>
  <c r="G22" i="2"/>
  <c r="G6" i="2"/>
  <c r="H83" i="1" s="1"/>
  <c r="G18" i="2"/>
  <c r="G14" i="2"/>
  <c r="H55" i="2"/>
  <c r="I55" i="2" s="1"/>
  <c r="D55" i="2" s="1"/>
  <c r="Z34" i="9"/>
  <c r="AB34" i="9" s="1"/>
  <c r="Z35" i="9"/>
  <c r="AB35" i="9" s="1"/>
  <c r="Z32" i="9"/>
  <c r="AB32" i="9" s="1"/>
  <c r="K6" i="6"/>
  <c r="E39" i="7"/>
  <c r="C5" i="8" s="1"/>
  <c r="G8" i="15"/>
  <c r="I36" i="12"/>
  <c r="C43" i="12"/>
  <c r="H8" i="6"/>
  <c r="D35" i="18"/>
  <c r="C11" i="8" s="1"/>
  <c r="D35" i="14"/>
  <c r="C10" i="8" s="1"/>
  <c r="H6" i="7"/>
  <c r="E35" i="18"/>
  <c r="J35" i="14"/>
  <c r="C12" i="8" s="1"/>
  <c r="N7" i="17"/>
  <c r="P7" i="17" s="1"/>
  <c r="K6" i="17"/>
  <c r="F6" i="17"/>
  <c r="D2" i="2"/>
  <c r="H85" i="1" l="1"/>
  <c r="H88" i="1"/>
  <c r="H87" i="1"/>
  <c r="H86" i="1"/>
  <c r="H84" i="1"/>
  <c r="H82" i="1"/>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K95" i="9"/>
  <c r="K102" i="9"/>
  <c r="M102" i="9" s="1"/>
  <c r="K89" i="9"/>
  <c r="V10" i="9" a="1"/>
  <c r="V10" i="9" s="1"/>
  <c r="Z10" i="9" s="1"/>
  <c r="AB10" i="9" s="1"/>
  <c r="C7" i="20" s="1"/>
  <c r="K96" i="9"/>
  <c r="K99" i="9"/>
  <c r="K92" i="9"/>
  <c r="V23" i="9" a="1"/>
  <c r="V23" i="9" s="1"/>
  <c r="Z23" i="9" s="1"/>
  <c r="AB23" i="9" s="1"/>
  <c r="C20" i="20" s="1"/>
  <c r="K88" i="9"/>
  <c r="V21" i="9" a="1"/>
  <c r="V21" i="9" s="1"/>
  <c r="Z21" i="9" s="1"/>
  <c r="AB21" i="9" s="1"/>
  <c r="C18" i="20" s="1"/>
  <c r="K100" i="9"/>
  <c r="M100" i="9" s="1"/>
  <c r="K85" i="9"/>
  <c r="M85" i="9" s="1"/>
  <c r="V6" i="9" a="1"/>
  <c r="V6" i="9" s="1"/>
  <c r="Z6" i="9" s="1"/>
  <c r="AB6" i="9" s="1"/>
  <c r="C3" i="20" s="1"/>
  <c r="K93" i="9"/>
  <c r="M93" i="9" s="1"/>
  <c r="K87" i="9"/>
  <c r="M87" i="9" s="1"/>
  <c r="K86" i="9"/>
  <c r="M86" i="9" s="1"/>
  <c r="K91" i="9"/>
  <c r="M91" i="9" s="1"/>
  <c r="K103" i="9"/>
  <c r="M103" i="9" s="1"/>
  <c r="K101" i="9"/>
  <c r="M101" i="9" s="1"/>
  <c r="K97" i="9"/>
  <c r="M97" i="9" s="1"/>
  <c r="V15" i="9" a="1"/>
  <c r="V15" i="9" s="1"/>
  <c r="Z15" i="9" s="1"/>
  <c r="AB15" i="9" s="1"/>
  <c r="C12" i="20" s="1"/>
  <c r="K94" i="9"/>
  <c r="M94" i="9" s="1"/>
  <c r="F49" i="9" a="1"/>
  <c r="F49" i="9" s="1"/>
  <c r="J49" i="9" a="1"/>
  <c r="J49" i="9" s="1"/>
  <c r="I49" i="9" a="1"/>
  <c r="I49" i="9" s="1"/>
  <c r="H49" i="9" a="1"/>
  <c r="H49" i="9" s="1"/>
  <c r="G49" i="9" a="1"/>
  <c r="G49" i="9" s="1"/>
  <c r="I84" i="9"/>
  <c r="X5" i="9" s="1" a="1"/>
  <c r="X5" i="9" s="1"/>
  <c r="E84" i="9"/>
  <c r="G84" i="9"/>
  <c r="H84" i="9"/>
  <c r="W5" i="9" s="1" a="1"/>
  <c r="W5" i="9" s="1"/>
  <c r="J84" i="9"/>
  <c r="Y5" i="9" s="1" a="1"/>
  <c r="Y5" i="9" s="1"/>
  <c r="F84" i="9"/>
  <c r="U5" i="9" s="1" a="1"/>
  <c r="U5" i="9" s="1"/>
  <c r="D14" i="19" s="1" a="1"/>
  <c r="D14" i="19" s="1"/>
  <c r="C84" i="9"/>
  <c r="R5" i="9" s="1" a="1"/>
  <c r="R5" i="9" s="1"/>
  <c r="D8" i="19" s="1" a="1"/>
  <c r="D8" i="19" s="1"/>
  <c r="L84" i="9"/>
  <c r="AA5" i="9" s="1"/>
  <c r="E18" i="19" s="1" a="1"/>
  <c r="E18" i="19" s="1"/>
  <c r="D84" i="9"/>
  <c r="V11" i="9" a="1"/>
  <c r="V11" i="9" s="1"/>
  <c r="Z11" i="9" s="1"/>
  <c r="AB11" i="9" s="1"/>
  <c r="C8" i="20" s="1"/>
  <c r="K90" i="9"/>
  <c r="M90" i="9" s="1"/>
  <c r="V16" i="9" a="1"/>
  <c r="V16" i="9" s="1"/>
  <c r="Z16" i="9" s="1"/>
  <c r="AB16" i="9" s="1"/>
  <c r="C13" i="20" s="1"/>
  <c r="K98" i="9"/>
  <c r="M98" i="9" s="1"/>
  <c r="Z24" i="9"/>
  <c r="Z25" i="9"/>
  <c r="AB25" i="9" s="1"/>
  <c r="C22" i="20" s="1"/>
  <c r="E11" i="9"/>
  <c r="E18" i="9"/>
  <c r="C12" i="9"/>
  <c r="K69" i="9"/>
  <c r="M69" i="9" s="1"/>
  <c r="E15" i="9"/>
  <c r="M89" i="9"/>
  <c r="C9" i="9"/>
  <c r="K65" i="9"/>
  <c r="M65" i="9" s="1"/>
  <c r="B2" i="9"/>
  <c r="C2" i="9" s="1"/>
  <c r="K57" i="9"/>
  <c r="M57" i="9" s="1"/>
  <c r="C7" i="9"/>
  <c r="M99" i="9"/>
  <c r="Z7" i="9"/>
  <c r="AB7" i="9" s="1"/>
  <c r="C4" i="20" s="1"/>
  <c r="Z19" i="9"/>
  <c r="AB19" i="9" s="1"/>
  <c r="C16" i="20" s="1"/>
  <c r="M92" i="9"/>
  <c r="C16" i="9"/>
  <c r="K60" i="9"/>
  <c r="M60" i="9" s="1"/>
  <c r="Z22" i="9"/>
  <c r="AB22" i="9" s="1"/>
  <c r="C19" i="20" s="1"/>
  <c r="E17" i="9"/>
  <c r="Z12" i="9"/>
  <c r="AB12" i="9" s="1"/>
  <c r="C9" i="20" s="1"/>
  <c r="E10" i="9"/>
  <c r="E13" i="9"/>
  <c r="K53" i="9"/>
  <c r="M53" i="9" s="1"/>
  <c r="K63" i="9"/>
  <c r="M63" i="9" s="1"/>
  <c r="K67" i="9"/>
  <c r="M67" i="9" s="1"/>
  <c r="E49" i="9" a="1"/>
  <c r="E49" i="9" s="1"/>
  <c r="D49" i="9" a="1"/>
  <c r="D49" i="9" s="1"/>
  <c r="C14" i="19" a="1"/>
  <c r="C14" i="19" s="1"/>
  <c r="M88" i="9"/>
  <c r="C49" i="9" a="1"/>
  <c r="C49" i="9" s="1"/>
  <c r="M96" i="9"/>
  <c r="C5" i="9"/>
  <c r="Z9" i="9"/>
  <c r="AB9" i="9" s="1"/>
  <c r="C6" i="20" s="1"/>
  <c r="Z17" i="9"/>
  <c r="AB17" i="9" s="1"/>
  <c r="C14" i="20" s="1"/>
  <c r="K56" i="9"/>
  <c r="M56" i="9" s="1"/>
  <c r="M95" i="9"/>
  <c r="K52" i="9"/>
  <c r="M52" i="9" s="1"/>
  <c r="Z18" i="9"/>
  <c r="AB18" i="9" s="1"/>
  <c r="C15" i="20" s="1"/>
  <c r="Z20" i="9"/>
  <c r="AB20" i="9" s="1"/>
  <c r="C17" i="20" s="1"/>
  <c r="K68" i="9"/>
  <c r="M68" i="9" s="1"/>
  <c r="K51" i="9"/>
  <c r="M51" i="9" s="1"/>
  <c r="Z8" i="9"/>
  <c r="AB8" i="9" s="1"/>
  <c r="C5" i="20" s="1"/>
  <c r="K62" i="9"/>
  <c r="M62" i="9" s="1"/>
  <c r="K58" i="9"/>
  <c r="M58" i="9" s="1"/>
  <c r="K54" i="9"/>
  <c r="M54" i="9" s="1"/>
  <c r="K59" i="9"/>
  <c r="M59" i="9" s="1"/>
  <c r="K61" i="9"/>
  <c r="M61" i="9" s="1"/>
  <c r="K64" i="9"/>
  <c r="M64" i="9" s="1"/>
  <c r="Z14" i="9"/>
  <c r="AB14" i="9" s="1"/>
  <c r="C11" i="20" s="1"/>
  <c r="E4" i="9"/>
  <c r="E8" i="9"/>
  <c r="K55" i="9"/>
  <c r="M55" i="9" s="1"/>
  <c r="C6" i="9"/>
  <c r="E6" i="9"/>
  <c r="E14" i="9"/>
  <c r="C14" i="9"/>
  <c r="Z13" i="9"/>
  <c r="AB13" i="9" s="1"/>
  <c r="C10" i="20" s="1"/>
  <c r="C12" i="19" a="1"/>
  <c r="C12" i="19" s="1"/>
  <c r="K66" i="9"/>
  <c r="M66" i="9" s="1"/>
  <c r="K50" i="9"/>
  <c r="M50" i="9" s="1"/>
  <c r="B11" i="20"/>
  <c r="AB24" i="9"/>
  <c r="C21" i="20" s="1"/>
  <c r="A2" i="20"/>
  <c r="A2" i="21"/>
  <c r="T5" i="9" a="1"/>
  <c r="T5" i="9" s="1"/>
  <c r="D12" i="19" s="1" a="1"/>
  <c r="D12" i="19" s="1"/>
  <c r="S5" i="9" a="1"/>
  <c r="S5" i="9" s="1"/>
  <c r="D10" i="19" s="1" a="1"/>
  <c r="D10" i="19" s="1"/>
  <c r="L49" i="9"/>
  <c r="C9" i="8"/>
  <c r="C19" i="10"/>
  <c r="F35" i="18"/>
  <c r="C6" i="8"/>
  <c r="H8" i="15"/>
  <c r="F8" i="15"/>
  <c r="K84" i="9" l="1"/>
  <c r="V5" i="9" a="1"/>
  <c r="V5" i="9" s="1"/>
  <c r="Z5" i="9" s="1"/>
  <c r="AB5" i="9" s="1"/>
  <c r="C2" i="20" s="1"/>
  <c r="E2" i="9"/>
  <c r="E14" i="19"/>
  <c r="E12" i="19"/>
  <c r="M84" i="9"/>
  <c r="K49" i="9"/>
  <c r="C23" i="9" s="1"/>
  <c r="C3" i="10" s="1"/>
  <c r="C11" i="10" s="1"/>
  <c r="C13" i="10" s="1"/>
  <c r="C21" i="9"/>
  <c r="B2" i="20"/>
  <c r="C14" i="8"/>
  <c r="C4" i="10" s="1"/>
  <c r="E20" i="19" l="1" a="1"/>
  <c r="E20" i="19" s="1"/>
  <c r="M49" i="9"/>
  <c r="E16" i="19"/>
  <c r="C5" i="10"/>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<sst xmlns="http://schemas.openxmlformats.org/spreadsheetml/2006/main" count="807" uniqueCount="267">
  <si>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</si>
  <si>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</si>
  <si>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</si>
  <si>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</si>
  <si>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</si>
  <si>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</si>
  <si>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</si>
  <si>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</si>
  <si>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</si>
  <si>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</si>
  <si>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</si>
  <si>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</si>
  <si>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</si>
  <si>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</si>
  <si>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</si>
  <si>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</si>
  <si>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</si>
  <si>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</si>
  <si>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</si>
  <si>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</si>
  <si>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</si>
  <si>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</si>
  <si>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</si>
  <si>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</si>
  <si>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</si>
  <si>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</si>
  <si>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</si>
  <si>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</si>
  <si>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</si>
  <si>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</si>
  <si>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</si>
  <si>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</si>
  <si>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</si>
  <si>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</si>
  <si>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</si>
  <si>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</si>
  <si>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</si>
  <si>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</si>
  <si>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</si>
  <si>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</si>
  <si>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</si>
  <si>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</si>
  <si>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</si>
  <si>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</si>
  <si>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</si>
  <si>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</si>
  <si>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</si>
  <si>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</si>
  <si>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</si>
  <si>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</si>
  <si>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</si>
  <si>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</si>
  <si>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</si>
  <si>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</si>
  <si>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</si>
  <si>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</si>
  <si>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</si>
  <si>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</si>
  <si>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</si>
  <si>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</si>
  <si>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</si>
  <si>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</si>
  <si>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</si>
  <si>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</si>
  <si>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</si>
  <si>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</si>
  <si>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</si>
  <si>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</si>
  <si>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</si>
  <si>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</si>
  <si>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</si>
  <si>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</si>
  <si>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</si>
  <si>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</si>
  <si>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</si>
  <si>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</si>
  <si>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</si>
  <si>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</si>
  <si>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</si>
  <si>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</si>
  <si>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</si>
  <si>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</si>
  <si>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</si>
  <si>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</si>
  <si>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</si>
  <si>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</si>
  <si>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</si>
  <si>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</si>
  <si>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</si>
  <si>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</si>
  <si>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</si>
  <si>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</si>
  <si>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</si>
  <si>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</si>
  <si>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</si>
  <si>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</si>
  <si>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</si>
  <si>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</si>
  <si>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</si>
  <si>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</si>
  <si>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</si>
  <si>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</si>
  <si>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</si>
  <si>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</si>
  <si>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</si>
  <si>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</si>
  <si>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</si>
  <si>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</si>
  <si>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</si>
  <si>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</si>
  <si>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</si>
  <si>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</si>
  <si>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</si>
  <si>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</si>
  <si>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</si>
  <si>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</si>
  <si>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</si>
  <si>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</si>
  <si>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</si>
  <si>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</si>
  <si>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</si>
  <si>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</si>
  <si>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</si>
  <si>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</si>
  <si>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</si>
  <si>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</si>
  <si>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</si>
  <si>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</si>
  <si>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</si>
  <si>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</si>
  <si>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</si>
  <si>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</si>
  <si>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</si>
  <si>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</si>
  <si>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</si>
  <si>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</si>
  <si>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</si>
  <si>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</si>
  <si>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</si>
  <si>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</si>
  <si>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</si>
  <si>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</si>
  <si>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</si>
  <si>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</si>
  <si>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</si>
  <si>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</si>
  <si>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</si>
  <si>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</si>
  <si>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</si>
  <si>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</si>
  <si>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</si>
  <si>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</si>
  <si>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</si>
  <si>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</si>
  <si>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</si>
  <si>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</si>
  <si>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</si>
  <si>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</si>
  <si>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</si>
  <si>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</si>
  <si>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</si>
  <si>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</si>
  <si>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</si>
  <si>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</si>
  <si>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</si>
  <si>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</si>
  <si>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</si>
  <si>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</si>
  <si>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</si>
  <si>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</si>
  <si>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</si>
  <si>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</si>
  <si>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</si>
  <si>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</si>
  <si>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</si>
  <si>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</si>
  <si>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</si>
  <si>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</si>
  <si>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</si>
  <si>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</si>
  <si>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</si>
  <si>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</si>
  <si>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</si>
  <si>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</si>
  <si>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</si>
  <si>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</si>
  <si>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</si>
  <si>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TKL 364</t>
  </si>
  <si>
    <t>TKQ 364</t>
  </si>
  <si>
    <t>advance salary</t>
  </si>
  <si>
    <t>khalid sahab</t>
  </si>
  <si>
    <t>Omer</t>
  </si>
  <si>
    <t>Saqlain</t>
  </si>
  <si>
    <t>Faizan</t>
  </si>
  <si>
    <t>Sajad khan</t>
  </si>
  <si>
    <t>madina dyes</t>
  </si>
  <si>
    <t>LES 3747</t>
  </si>
  <si>
    <t>Temp</t>
  </si>
  <si>
    <t>Dasti</t>
  </si>
  <si>
    <t>copper</t>
  </si>
  <si>
    <t>SGI 9875</t>
  </si>
  <si>
    <t>sunsuper theka</t>
  </si>
  <si>
    <t>Shafique Ansari</t>
  </si>
  <si>
    <t>(317*775 + 100*650)</t>
  </si>
  <si>
    <t>16 small+45 bori starch. 2 bp26</t>
  </si>
  <si>
    <t>ghulam mustafa</t>
  </si>
  <si>
    <t>electric bill</t>
  </si>
  <si>
    <t>Amjad sohail</t>
  </si>
  <si>
    <t>atiq ur rehman</t>
  </si>
  <si>
    <t>haseen khan</t>
  </si>
  <si>
    <t>LXT 8141</t>
  </si>
  <si>
    <t>afzaal hussein</t>
  </si>
  <si>
    <t>Master Tanveer</t>
  </si>
  <si>
    <t>Chain Acc</t>
  </si>
  <si>
    <t>RPT 5560</t>
  </si>
  <si>
    <t>TAT 098</t>
  </si>
  <si>
    <t>266 man</t>
  </si>
  <si>
    <t>CAR 6957</t>
  </si>
  <si>
    <t>ARB dasti</t>
  </si>
  <si>
    <t>Amjad Sohail</t>
  </si>
  <si>
    <t>E 9399</t>
  </si>
  <si>
    <t>Haseeb shamsi</t>
  </si>
  <si>
    <t>Hazrat khan</t>
  </si>
  <si>
    <t>boiler theka</t>
  </si>
  <si>
    <t>Billing (Slub)</t>
  </si>
  <si>
    <t>Billing (Satin)</t>
  </si>
  <si>
    <t>Qadeer Driver</t>
  </si>
  <si>
    <t>FDS 1187</t>
  </si>
  <si>
    <t>301 mann</t>
  </si>
  <si>
    <t>Ashraf Boiler</t>
  </si>
  <si>
    <t>last  month</t>
  </si>
  <si>
    <t>Umar fayyaz</t>
  </si>
  <si>
    <t>C 8947</t>
  </si>
  <si>
    <t>talib boiler</t>
  </si>
  <si>
    <t>bsc</t>
  </si>
  <si>
    <t>Aurangzeb</t>
  </si>
  <si>
    <t>TAC 661</t>
  </si>
  <si>
    <t>Naeem electric</t>
  </si>
  <si>
    <t>Talib boiler</t>
  </si>
  <si>
    <t>master tanveer</t>
  </si>
  <si>
    <t>Usama jet</t>
  </si>
  <si>
    <t>usama jet</t>
  </si>
  <si>
    <t>sajid</t>
  </si>
  <si>
    <t>ali raza</t>
  </si>
  <si>
    <t>zakir jet</t>
  </si>
  <si>
    <t>stenter</t>
  </si>
  <si>
    <t>LES 246</t>
  </si>
  <si>
    <t>TAB 034</t>
  </si>
  <si>
    <t>EA 5848</t>
  </si>
  <si>
    <t>LEJ 9662</t>
  </si>
  <si>
    <t>General Dyes</t>
  </si>
  <si>
    <t>Master Akbar</t>
  </si>
  <si>
    <t>Ashraf Guard</t>
  </si>
  <si>
    <t>Munawar Bajwa</t>
  </si>
  <si>
    <t>General</t>
  </si>
  <si>
    <t>misc</t>
  </si>
  <si>
    <t>Umar boiler</t>
  </si>
  <si>
    <t>Abbas boiler</t>
  </si>
  <si>
    <t>Salman Zaffar</t>
  </si>
  <si>
    <t>1880+1885</t>
  </si>
  <si>
    <t>Slub</t>
  </si>
  <si>
    <t>Satin</t>
  </si>
  <si>
    <t>October Closing CF</t>
  </si>
  <si>
    <t>closing CF</t>
  </si>
  <si>
    <t>black</t>
  </si>
  <si>
    <t>Closing October CF</t>
  </si>
  <si>
    <t>Closing october 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</si>
</sst>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NumberFormat="1"/>
    <xf numFmtId="0" fontId="0" fillId="0" borderId="0" xfId="0" applyBorder="1"/>
    <xf numFmtId="43" fontId="0" fillId="0" borderId="0" xfId="1" applyNumberFormat="1" applyFont="1"/>
    <xf numFmtId="14" fontId="0" fillId="0" borderId="8" xfId="0" applyNumberFormat="1" applyFont="1" applyBorder="1"/>
    <xf numFmtId="0" fontId="0" fillId="0" borderId="0" xfId="0" applyBorder="1" applyAlignment="1">
      <alignment horizontal="center"/>
    </xf>
  </cellXfs>
  <cellStyles count="2">
    <cellStyle name="Comma" xfId="1" builtinId="3"/>
    <cellStyle name="Normal" xfId="0" builtinId="0"/>
  </cellStyles>
  <dxfs count="132">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155383</xdr:colOff>
      <xdr:row>110</xdr:row>
      <xdr:rowOff>2672</xdr:rowOff>
    </xdr:from>
    <xdr:to>
      <xdr:col>14</xdr:col>
      <xdr:colOff>422952</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56670.629114850046</v>
          </cell>
          <cell r="U20">
            <v>0</v>
          </cell>
          <cell r="V20">
            <v>566706.29114850052</v>
          </cell>
          <cell r="W20">
            <v>0</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sheetData sheetId="6" refreshError="1"/>
      <sheetData sheetId="7">
        <row r="5">
          <cell r="N5">
            <v>692068</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0949076"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141203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4893.928310168252"/>
    </cacheField>
    <cacheField name="Rate" numFmtId="0">
      <sharedItems containsString="0" containsBlank="1" containsNumber="1" minValue="10" maxValue="12"/>
    </cacheField>
    <cacheField name="Total" numFmtId="164">
      <sharedItems containsSemiMixedTypes="0" containsString="0" containsNumber="1" minValue="0" maxValue="178727.1397220190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152777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1527776"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1759261"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74021875" createdVersion="8" refreshedVersion="8" minRefreshableVersion="3" recordCount="87"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1-18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October Closing CF"/>
        <n v="1092"/>
        <n v="1093"/>
        <n v="1094"/>
        <n v="1095"/>
        <n v="1096"/>
        <n v="1097"/>
        <n v="1098"/>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1091"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49">
        <m/>
        <n v="1879"/>
        <n v="1867"/>
        <s v="1880+1885"/>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73"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5061" maxValue="17020"/>
    </cacheField>
    <cacheField name="Tiyaar/gaz" numFmtId="164">
      <sharedItems containsString="0" containsBlank="1" containsNumber="1" containsInteger="1" minValue="2238" maxValue="16288"/>
    </cacheField>
    <cacheField name="shortage %" numFmtId="165">
      <sharedItems containsBlank="1" containsMixedTypes="1" containsNumber="1" minValue="1.5221542124693741" maxValue="2.6007098667001287"/>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0"/>
    <n v="10"/>
    <n v="0"/>
  </r>
  <r>
    <x v="1"/>
    <n v="14893.928310168252"/>
    <n v="10"/>
    <n v="178727.13972201903"/>
  </r>
  <r>
    <x v="2"/>
    <n v="0"/>
    <n v="10"/>
    <n v="0"/>
  </r>
  <r>
    <x v="3"/>
    <n v="0"/>
    <n v="10.5"/>
    <n v="0"/>
  </r>
  <r>
    <x v="4"/>
    <n v="0"/>
    <n v="10"/>
    <n v="0"/>
  </r>
  <r>
    <x v="5"/>
    <n v="0"/>
    <n v="10"/>
    <n v="0"/>
  </r>
  <r>
    <x v="6"/>
    <n v="0"/>
    <n v="10"/>
    <n v="0"/>
  </r>
  <r>
    <x v="7"/>
    <n v="0"/>
    <n v="10"/>
    <n v="0"/>
  </r>
  <r>
    <x v="8"/>
    <n v="0"/>
    <n v="10"/>
    <n v="0"/>
  </r>
  <r>
    <x v="9"/>
    <n v="0"/>
    <n v="12"/>
    <n v="0"/>
  </r>
  <r>
    <x v="10"/>
    <n v="0"/>
    <m/>
    <n v="0"/>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56670.629114850046"/>
    <n v="566706.29114850052"/>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00:G109"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m="1" x="1"/>
        <item m="1" x="2"/>
        <item m="1" x="3"/>
        <item m="1" x="4"/>
        <item m="1" x="5"/>
        <item m="1" x="6"/>
        <item m="1" x="7"/>
        <item m="1" x="8"/>
        <item m="1" x="9"/>
        <item m="1" x="10"/>
        <item m="1" x="11"/>
        <item m="1" x="12"/>
        <item m="1" x="13"/>
        <item m="1" x="14"/>
        <item m="1" x="25"/>
        <item m="1" x="15"/>
        <item m="1" x="16"/>
        <item m="1" x="17"/>
        <item m="1" x="18"/>
        <item m="1" x="19"/>
        <item m="1" x="20"/>
        <item m="1" x="24"/>
        <item m="1" x="21"/>
        <item m="1" x="22"/>
        <item m="1" x="23"/>
        <item x="0"/>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x="1"/>
        <item x="2"/>
        <item x="3"/>
        <item x="4"/>
        <item x="5"/>
        <item x="6"/>
        <item x="7"/>
        <item x="0"/>
        <item t="default"/>
      </items>
    </pivotField>
    <pivotField showAll="0"/>
    <pivotField axis="axisPage" multipleItemSelectionAllowed="1" showAll="0">
      <items count="250">
        <item m="1" x="203"/>
        <item m="1" x="232"/>
        <item m="1" x="233"/>
        <item m="1" x="241"/>
        <item m="1" x="231"/>
        <item m="1" x="230"/>
        <item m="1" x="234"/>
        <item m="1" x="245"/>
        <item m="1" x="237"/>
        <item m="1" x="238"/>
        <item m="1" x="235"/>
        <item m="1" x="236"/>
        <item m="1" x="246"/>
        <item m="1" x="239"/>
        <item m="1" x="240"/>
        <item m="1" x="243"/>
        <item m="1" x="244"/>
        <item m="1" x="242"/>
        <item m="1" x="198"/>
        <item m="1" x="248"/>
        <item m="1" x="197"/>
        <item m="1" x="247"/>
        <item m="1" x="200"/>
        <item m="1" x="199"/>
        <item m="1" x="201"/>
        <item m="1" x="207"/>
        <item m="1" x="202"/>
        <item m="1" x="204"/>
        <item m="1" x="208"/>
        <item m="1" x="209"/>
        <item m="1" x="228"/>
        <item m="1" x="205"/>
        <item m="1" x="206"/>
        <item m="1" x="168"/>
        <item m="1" x="190"/>
        <item m="1" x="229"/>
        <item m="1" x="210"/>
        <item m="1" x="211"/>
        <item m="1" x="212"/>
        <item m="1" x="213"/>
        <item m="1" x="214"/>
        <item m="1" x="144"/>
        <item m="1" x="215"/>
        <item m="1" x="216"/>
        <item m="1" x="217"/>
        <item m="1" x="218"/>
        <item m="1" x="219"/>
        <item m="1" x="220"/>
        <item m="1" x="221"/>
        <item m="1" x="222"/>
        <item m="1" x="223"/>
        <item m="1" x="224"/>
        <item m="1" x="225"/>
        <item m="1" x="226"/>
        <item m="1" x="227"/>
        <item x="0"/>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1"/>
        <item m="1" x="192"/>
        <item m="1" x="193"/>
        <item m="1" x="194"/>
        <item m="1" x="195"/>
        <item m="1" x="196"/>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42"/>
        <item m="1" x="123"/>
        <item m="1" x="124"/>
        <item m="1" x="125"/>
        <item m="1" x="126"/>
        <item m="1" x="127"/>
        <item m="1" x="128"/>
        <item m="1" x="129"/>
        <item m="1" x="130"/>
        <item m="1" x="131"/>
        <item m="1" x="132"/>
        <item m="1" x="133"/>
        <item m="1" x="134"/>
        <item m="1" x="135"/>
        <item m="1" x="136"/>
        <item m="1" x="137"/>
        <item m="1" x="138"/>
        <item m="1" x="139"/>
        <item m="1" x="140"/>
        <item m="1" x="141"/>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x="1"/>
        <item x="2"/>
        <item x="3"/>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9">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00:K102"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m="1" x="1"/>
        <item m="1" x="2"/>
        <item m="1" x="3"/>
        <item m="1" x="4"/>
        <item m="1" x="5"/>
        <item m="1" x="6"/>
        <item m="1" x="7"/>
        <item m="1" x="8"/>
        <item m="1" x="9"/>
        <item m="1" x="10"/>
        <item m="1" x="11"/>
        <item m="1" x="12"/>
        <item m="1" x="13"/>
        <item m="1" x="14"/>
        <item m="1" x="25"/>
        <item m="1" x="15"/>
        <item m="1" x="16"/>
        <item m="1" x="17"/>
        <item m="1" x="18"/>
        <item m="1" x="19"/>
        <item m="1" x="20"/>
        <item m="1" x="24"/>
        <item m="1" x="21"/>
        <item m="1" x="22"/>
        <item m="1" x="23"/>
        <item x="0"/>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8">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5">
      <pivotArea dataOnly="0" labelOnly="1" outline="0" fieldPosition="0">
        <references count="1">
          <reference field="1" count="1">
            <x v="1"/>
          </reference>
        </references>
      </pivotArea>
    </format>
    <format dxfId="10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m="1" x="20"/>
        <item x="5"/>
        <item x="10"/>
        <item x="8"/>
        <item x="9"/>
        <item x="7"/>
        <item x="11"/>
        <item x="12"/>
        <item x="13"/>
        <item x="14"/>
        <item x="15"/>
        <item x="16"/>
        <item x="17"/>
        <item x="18"/>
        <item x="19"/>
        <item t="default"/>
      </items>
    </pivotField>
    <pivotField showAll="0"/>
    <pivotField showAll="0"/>
    <pivotField axis="axisRow" showAll="0">
      <items count="250">
        <item m="1" x="232"/>
        <item m="1" x="233"/>
        <item m="1" x="231"/>
        <item m="1" x="230"/>
        <item m="1" x="234"/>
        <item m="1" x="236"/>
        <item m="1" x="235"/>
        <item m="1" x="237"/>
        <item m="1" x="238"/>
        <item m="1" x="239"/>
        <item m="1" x="240"/>
        <item m="1" x="241"/>
        <item m="1" x="242"/>
        <item m="1" x="243"/>
        <item m="1" x="168"/>
        <item m="1" x="190"/>
        <item m="1" x="244"/>
        <item m="1" x="245"/>
        <item m="1" x="246"/>
        <item m="1" x="198"/>
        <item m="1" x="197"/>
        <item m="1" x="247"/>
        <item m="1" x="248"/>
        <item m="1" x="207"/>
        <item m="1" x="199"/>
        <item m="1" x="200"/>
        <item m="1" x="201"/>
        <item m="1" x="202"/>
        <item m="1" x="203"/>
        <item m="1" x="204"/>
        <item m="1" x="205"/>
        <item m="1" x="206"/>
        <item m="1" x="208"/>
        <item m="1" x="228"/>
        <item m="1" x="209"/>
        <item m="1" x="229"/>
        <item m="1" x="210"/>
        <item m="1" x="211"/>
        <item m="1" x="212"/>
        <item m="1" x="213"/>
        <item m="1" x="214"/>
        <item m="1" x="144"/>
        <item m="1" x="215"/>
        <item m="1" x="216"/>
        <item m="1" x="217"/>
        <item m="1" x="218"/>
        <item m="1" x="219"/>
        <item m="1" x="220"/>
        <item m="1" x="221"/>
        <item m="1" x="222"/>
        <item m="1" x="223"/>
        <item m="1" x="224"/>
        <item m="1" x="225"/>
        <item m="1" x="226"/>
        <item m="1" x="227"/>
        <item x="0"/>
        <item m="1" x="143"/>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1"/>
        <item m="1" x="192"/>
        <item m="1" x="193"/>
        <item m="1" x="194"/>
        <item m="1" x="195"/>
        <item m="1" x="196"/>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42"/>
        <item m="1" x="123"/>
        <item m="1" x="124"/>
        <item m="1" x="125"/>
        <item m="1" x="126"/>
        <item m="1" x="127"/>
        <item m="1" x="128"/>
        <item m="1" x="129"/>
        <item m="1" x="130"/>
        <item m="1" x="131"/>
        <item m="1" x="132"/>
        <item m="1" x="133"/>
        <item m="1" x="134"/>
        <item m="1" x="135"/>
        <item m="1" x="136"/>
        <item m="1" x="137"/>
        <item m="1" x="138"/>
        <item m="1" x="139"/>
        <item m="1" x="140"/>
        <item m="1" x="141"/>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x="1"/>
        <item x="2"/>
        <item x="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
    <i>
      <x v="55"/>
    </i>
    <i>
      <x v="246"/>
    </i>
    <i>
      <x v="247"/>
    </i>
    <i>
      <x v="24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grandRow="1" outline="0" collapsedLevelsAreSubtotals="1" fieldPosition="0"/>
    </format>
    <format dxfId="50">
      <pivotArea field="4" type="button" dataOnly="0" labelOnly="1" outline="0" axis="axisRow" fieldPosition="0"/>
    </format>
    <format dxfId="4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9">
        <i x="2" s="1"/>
        <i x="1" s="1"/>
        <i x="3" s="1"/>
        <i x="203" s="1" nd="1"/>
        <i x="232" s="1" nd="1"/>
        <i x="233" s="1" nd="1"/>
        <i x="241" s="1" nd="1"/>
        <i x="231" s="1" nd="1"/>
        <i x="230" s="1" nd="1"/>
        <i x="234" s="1" nd="1"/>
        <i x="245" s="1" nd="1"/>
        <i x="237" s="1" nd="1"/>
        <i x="238" s="1" nd="1"/>
        <i x="235" s="1" nd="1"/>
        <i x="236" s="1" nd="1"/>
        <i x="246" s="1" nd="1"/>
        <i x="239" s="1" nd="1"/>
        <i x="240" s="1" nd="1"/>
        <i x="243" s="1" nd="1"/>
        <i x="244" s="1" nd="1"/>
        <i x="242" s="1" nd="1"/>
        <i x="198" s="1" nd="1"/>
        <i x="248" s="1" nd="1"/>
        <i x="197" s="1" nd="1"/>
        <i x="247" s="1" nd="1"/>
        <i x="200" s="1" nd="1"/>
        <i x="161" s="1" nd="1"/>
        <i x="199" s="1" nd="1"/>
        <i x="201" s="1" nd="1"/>
        <i x="207" s="1" nd="1"/>
        <i x="202" s="1" nd="1"/>
        <i x="204" s="1" nd="1"/>
        <i x="220" s="1" nd="1"/>
        <i x="143" s="1" nd="1"/>
        <i x="208" s="1" nd="1"/>
        <i x="148" s="1" nd="1"/>
        <i x="214" s="1" nd="1"/>
        <i x="209" s="1" nd="1"/>
        <i x="212" s="1" nd="1"/>
        <i x="217" s="1" nd="1"/>
        <i x="228" s="1" nd="1"/>
        <i x="210" s="1" nd="1"/>
        <i x="222" s="1" nd="1"/>
        <i x="225" s="1" nd="1"/>
        <i x="216" s="1" nd="1"/>
        <i x="205" s="1" nd="1"/>
        <i x="213" s="1" nd="1"/>
        <i x="206" s="1" nd="1"/>
        <i x="211" s="1" nd="1"/>
        <i x="144" s="1" nd="1"/>
        <i x="215" s="1" nd="1"/>
        <i x="221" s="1" nd="1"/>
        <i x="158" s="1" nd="1"/>
        <i x="218" s="1" nd="1"/>
        <i x="223" s="1" nd="1"/>
        <i x="219" s="1" nd="1"/>
        <i x="185" s="1" nd="1"/>
        <i x="224" s="1" nd="1"/>
        <i x="226" s="1" nd="1"/>
        <i x="146" s="1" nd="1"/>
        <i x="153" s="1" nd="1"/>
        <i x="227" s="1" nd="1"/>
        <i x="150" s="1" nd="1"/>
        <i x="151" s="1" nd="1"/>
        <i x="145" s="1" nd="1"/>
        <i x="149" s="1" nd="1"/>
        <i x="35" s="1" nd="1"/>
        <i x="147" s="1" nd="1"/>
        <i x="156" s="1" nd="1"/>
        <i x="152" s="1" nd="1"/>
        <i x="154" s="1" nd="1"/>
        <i x="157" s="1" nd="1"/>
        <i x="165" s="1" nd="1"/>
        <i x="155" s="1" nd="1"/>
        <i x="164" s="1" nd="1"/>
        <i x="169" s="1" nd="1"/>
        <i x="163" s="1" nd="1"/>
        <i x="166" s="1" nd="1"/>
        <i x="176" s="1" nd="1"/>
        <i x="162" s="1" nd="1"/>
        <i x="159" s="1" nd="1"/>
        <i x="160" s="1" nd="1"/>
        <i x="175" s="1" nd="1"/>
        <i x="31" s="1" nd="1"/>
        <i x="168" s="1" nd="1"/>
        <i x="179" s="1" nd="1"/>
        <i x="174" s="1" nd="1"/>
        <i x="167" s="1" nd="1"/>
        <i x="191" s="1" nd="1"/>
        <i x="172" s="1" nd="1"/>
        <i x="182" s="1" nd="1"/>
        <i x="180" s="1" nd="1"/>
        <i x="170" s="1" nd="1"/>
        <i x="178" s="1" nd="1"/>
        <i x="177" s="1" nd="1"/>
        <i x="173" s="1" nd="1"/>
        <i x="183" s="1" nd="1"/>
        <i x="181" s="1" nd="1"/>
        <i x="184" s="1" nd="1"/>
        <i x="171" s="1" nd="1"/>
        <i x="112" s="1" nd="1"/>
        <i x="186" s="1" nd="1"/>
        <i x="187" s="1" nd="1"/>
        <i x="70" s="1" nd="1"/>
        <i x="72" s="1" nd="1"/>
        <i x="194" s="1" nd="1"/>
        <i x="66" s="1" nd="1"/>
        <i x="113" s="1" nd="1"/>
        <i x="188" s="1" nd="1"/>
        <i x="189" s="1" nd="1"/>
        <i x="69" s="1" nd="1"/>
        <i x="196" s="1" nd="1"/>
        <i x="68" s="1" nd="1"/>
        <i x="83" s="1" nd="1"/>
        <i x="195" s="1" nd="1"/>
        <i x="190" s="1" nd="1"/>
        <i x="87" s="1" nd="1"/>
        <i x="193" s="1" nd="1"/>
        <i x="192" s="1" nd="1"/>
        <i x="108" s="1" nd="1"/>
        <i x="61" s="1" nd="1"/>
        <i x="73" s="1" nd="1"/>
        <i x="109" s="1" nd="1"/>
        <i x="107" s="1" nd="1"/>
        <i x="65" s="1" nd="1"/>
        <i x="67" s="1" nd="1"/>
        <i x="71" s="1" nd="1"/>
        <i x="62" s="1" nd="1"/>
        <i x="97" s="1" nd="1"/>
        <i x="102" s="1" nd="1"/>
        <i x="63" s="1" nd="1"/>
        <i x="64" s="1" nd="1"/>
        <i x="74" s="1" nd="1"/>
        <i x="77" s="1" nd="1"/>
        <i x="84" s="1" nd="1"/>
        <i x="76" s="1" nd="1"/>
        <i x="79" s="1" nd="1"/>
        <i x="78" s="1" nd="1"/>
        <i x="121" s="1" nd="1"/>
        <i x="75" s="1" nd="1"/>
        <i x="100" s="1" nd="1"/>
        <i x="116" s="1" nd="1"/>
        <i x="80" s="1" nd="1"/>
        <i x="105" s="1" nd="1"/>
        <i x="118" s="1" nd="1"/>
        <i x="89" s="1" nd="1"/>
        <i x="130" s="1" nd="1"/>
        <i x="88" s="1" nd="1"/>
        <i x="85" s="1" nd="1"/>
        <i x="81" s="1" nd="1"/>
        <i x="82" s="1" nd="1"/>
        <i x="101" s="1" nd="1"/>
        <i x="90" s="1" nd="1"/>
        <i x="12" s="1" nd="1"/>
        <i x="91" s="1" nd="1"/>
        <i x="86" s="1" nd="1"/>
        <i x="93" s="1" nd="1"/>
        <i x="94" s="1" nd="1"/>
        <i x="123" s="1" nd="1"/>
        <i x="92" s="1" nd="1"/>
        <i x="110" s="1" nd="1"/>
        <i x="98" s="1" nd="1"/>
        <i x="95" s="1" nd="1"/>
        <i x="99" s="1" nd="1"/>
        <i x="96" s="1" nd="1"/>
        <i x="103" s="1" nd="1"/>
        <i x="122" s="1" nd="1"/>
        <i x="117" s="1" nd="1"/>
        <i x="136" s="1" nd="1"/>
        <i x="104" s="1" nd="1"/>
        <i x="5" s="1" nd="1"/>
        <i x="115" s="1" nd="1"/>
        <i x="106" s="1" nd="1"/>
        <i x="131" s="1" nd="1"/>
        <i x="114" s="1" nd="1"/>
        <i x="129" s="1" nd="1"/>
        <i x="13" s="1" nd="1"/>
        <i x="120" s="1" nd="1"/>
        <i x="119" s="1" nd="1"/>
        <i x="135" s="1" nd="1"/>
        <i x="132" s="1" nd="1"/>
        <i x="24" s="1" nd="1"/>
        <i x="140" s="1" nd="1"/>
        <i x="124" s="1" nd="1"/>
        <i x="133" s="1" nd="1"/>
        <i x="138" s="1" nd="1"/>
        <i x="15" s="1" nd="1"/>
        <i x="41" s="1" nd="1"/>
        <i x="142" s="1" nd="1"/>
        <i x="139" s="1" nd="1"/>
        <i x="6" s="1" nd="1"/>
        <i x="26" s="1" nd="1"/>
        <i x="134" s="1" nd="1"/>
        <i x="8" s="1" nd="1"/>
        <i x="125" s="1" nd="1"/>
        <i x="128" s="1" nd="1"/>
        <i x="23" s="1" nd="1"/>
        <i x="137" s="1" nd="1"/>
        <i x="126" s="1" nd="1"/>
        <i x="127" s="1" nd="1"/>
        <i x="10" s="1" nd="1"/>
        <i x="28" s="1" nd="1"/>
        <i x="29" s="1" nd="1"/>
        <i x="42" s="1" nd="1"/>
        <i x="141" s="1" nd="1"/>
        <i x="4" s="1" nd="1"/>
        <i x="27" s="1" nd="1"/>
        <i x="20" s="1" nd="1"/>
        <i x="7" s="1" nd="1"/>
        <i x="11" s="1" nd="1"/>
        <i x="17" s="1" nd="1"/>
        <i x="9" s="1" nd="1"/>
        <i x="33" s="1" nd="1"/>
        <i x="37" s="1" nd="1"/>
        <i x="38" s="1" nd="1"/>
        <i x="30" s="1" nd="1"/>
        <i x="14" s="1" nd="1"/>
        <i x="16" s="1" nd="1"/>
        <i x="18" s="1" nd="1"/>
        <i x="21" s="1" nd="1"/>
        <i x="34" s="1" nd="1"/>
        <i x="19" s="1" nd="1"/>
        <i x="40" s="1" nd="1"/>
        <i x="55" s="1" nd="1"/>
        <i x="22" s="1" nd="1"/>
        <i x="43" s="1" nd="1"/>
        <i x="39" s="1" nd="1"/>
        <i x="25" s="1" nd="1"/>
        <i x="47" s="1" nd="1"/>
        <i x="32" s="1" nd="1"/>
        <i x="56" s="1" nd="1"/>
        <i x="36" s="1" nd="1"/>
        <i x="60" s="1" nd="1"/>
        <i x="46" s="1" nd="1"/>
        <i x="51" s="1" nd="1"/>
        <i x="48" s="1" nd="1"/>
        <i x="50" s="1" nd="1"/>
        <i x="59" s="1" nd="1"/>
        <i x="45" s="1" nd="1"/>
        <i x="44" s="1" nd="1"/>
        <i x="49" s="1" nd="1"/>
        <i x="57" s="1" nd="1"/>
        <i x="53" s="1" nd="1"/>
        <i x="52" s="1" nd="1"/>
        <i x="58" s="1" nd="1"/>
        <i x="54" s="1" nd="1"/>
        <i x="111" s="1" nd="1"/>
        <i x="22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9"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89" totalsRowCount="1" headerRowDxfId="107" dataDxfId="106" headerRowCellStyle="Comma" dataCellStyle="Comma">
  <autoFilter ref="A1:K88" xr:uid="{11DACEC6-751B-4B1D-817F-5C5BCD38EF6D}"/>
  <tableColumns count="11">
    <tableColumn id="1" xr3:uid="{2FCE3FA8-A48C-4685-8919-AE44C6C71FD9}" name="Date" dataDxfId="42" dataCellStyle="Comma"/>
    <tableColumn id="2" xr3:uid="{5780FD5F-0890-44E6-B59C-8E37A559FE36}" name="Party Name" dataDxfId="41" dataCellStyle="Comma"/>
    <tableColumn id="3" xr3:uid="{5B3ECD85-9174-40AC-BFBD-49CAC97A83D3}" name="Bill Number" dataDxfId="40" dataCellStyle="Comma"/>
    <tableColumn id="4" xr3:uid="{11B50761-04B6-4262-AD4D-7182450037D1}" name="Quality" dataDxfId="39" dataCellStyle="Comma"/>
    <tableColumn id="5" xr3:uid="{2C556969-B713-4967-BD24-466AACCBE5F5}" name="Shipment Number" dataDxfId="38" totalsRowDxfId="31" dataCellStyle="Comma"/>
    <tableColumn id="6" xr3:uid="{F4E1FD2B-9017-4DEB-B772-BF447ECE56F7}" name="Kora/metre" dataDxfId="37" totalsRowDxfId="30" dataCellStyle="Comma"/>
    <tableColumn id="7" xr3:uid="{52ACC1DA-7A76-4A90-B809-3A1AE728E7EA}" name="Tiyaar/gaz" dataDxfId="36" totalsRowDxfId="29" dataCellStyle="Comma"/>
    <tableColumn id="8" xr3:uid="{31A0FF5E-56F0-44D1-9865-73256B964660}" name="shortage %" dataDxfId="35" totalsRowDxfId="28" dataCellStyle="Comma">
      <calculatedColumnFormula>_xlfn.XLOOKUP(Table1[[#This Row],[Shipment Number]], 'pivot '!A:A,'pivot '!G:G, "NF")</calculatedColumnFormula>
    </tableColumn>
    <tableColumn id="9" xr3:uid="{F99075E0-AC8E-094D-BB85-272AD2C6C568}" name="tiyar/meters" totalsRowFunction="custom" dataDxfId="34" totalsRowDxfId="27"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33" totalsRowDxfId="26"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32" totalsRowDxfId="25"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8" totalsRowCount="1" headerRowDxfId="103" headerRowBorderDxfId="102" tableBorderDxfId="101">
  <autoFilter ref="A1:I7" xr:uid="{F8E8C957-ABE7-4E4F-8D4E-7D44E26B334F}"/>
  <tableColumns count="9">
    <tableColumn id="1" xr3:uid="{C2E817D6-AB98-4DDD-8890-736B27F261CD}" name="Date" dataDxfId="24" totalsRowDxfId="23"/>
    <tableColumn id="2" xr3:uid="{CFB51890-CCDC-463C-81C9-3F8BD7469CB9}" name="Party Name"/>
    <tableColumn id="3" xr3:uid="{A113D971-1C9D-4733-99C4-BD0CC4333209}" name="Vehicle Number"/>
    <tableColumn id="4" xr3:uid="{49780304-3DD1-4AE9-98EE-2BC7EB8F3B57}" name="Weight" dataDxfId="22" totalsRowDxfId="21" dataCellStyle="Comma"/>
    <tableColumn id="5" xr3:uid="{FCAF1BC6-1D8C-42AD-8BBC-F924BF2DC7FE}" name="Rate" dataDxfId="20" totalsRowDxfId="19" dataCellStyle="Comma"/>
    <tableColumn id="6" xr3:uid="{8C70A624-4134-410C-9C45-9FDEB51D51BF}" name="Rent" dataDxfId="18" totalsRowDxfId="17" dataCellStyle="Comma"/>
    <tableColumn id="7" xr3:uid="{EBCE10AE-9634-4982-9C95-37ABC8A7078C}" name="Total" totalsRowFunction="sum" dataDxfId="16" totalsRowDxfId="15" dataCellStyle="Comma">
      <calculatedColumnFormula>D2*E2</calculatedColumnFormula>
    </tableColumn>
    <tableColumn id="9" xr3:uid="{D4788559-C94A-44D9-B9AE-E72B214355AC}" name="Paid" totalsRowFunction="sum" dataDxfId="14" totalsRowDxfId="13" dataCellStyle="Comma"/>
    <tableColumn id="8" xr3:uid="{E26F5BF0-1875-4FC6-994D-49F202ED562B}" name="balance" totalsRowFunction="sum" dataDxfId="12" totalsRowDxfId="1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 totalsRowCount="1">
  <autoFilter ref="A1:G5" xr:uid="{CB032221-B416-47A8-9A76-693DE76CFD04}"/>
  <tableColumns count="7">
    <tableColumn id="1" xr3:uid="{554B1EED-65B6-4E9A-B646-82727FAC40DE}" name="Date" dataDxfId="99" totalsRowDxfId="7"/>
    <tableColumn id="2" xr3:uid="{32259059-42CF-4947-83DE-115AA430BE2B}" name="Party"/>
    <tableColumn id="3" xr3:uid="{A1320223-D55D-483C-91C3-AB19B95CC9D8}" name="Debit" totalsRowFunction="sum" dataDxfId="98" totalsRowDxfId="6" dataCellStyle="Comma"/>
    <tableColumn id="4" xr3:uid="{E9745767-9FF0-4B1C-9052-FF335D1D7588}" name="Credit" totalsRowFunction="sum" dataDxfId="97" totalsRowDxfId="5" dataCellStyle="Comma"/>
    <tableColumn id="5" xr3:uid="{5C88A48E-2467-4E6D-B626-2442B7FD0BE4}" name="Description"/>
    <tableColumn id="6" xr3:uid="{63CA4666-144E-4BE6-8B7C-7CB992BD3041}" name="Mode" totalsRowFunction="custom" dataDxfId="96" totalsRowDxfId="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5" tableBorderDxfId="94" totalsRowBorderDxfId="93">
  <autoFilter ref="J3:K6" xr:uid="{DCE01694-23ED-48BF-8B92-4186B9ED10A8}"/>
  <tableColumns count="2">
    <tableColumn id="1" xr3:uid="{C8484DAF-2989-4C2F-9AEC-A6917E1C57F6}" name="Type" dataDxfId="92"/>
    <tableColumn id="2" xr3:uid="{B07B7A2A-4D4E-4654-BED6-FE2F0A7BEC34}" name="Amount" dataDxfId="9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0" headerRowBorderDxfId="89" tableBorderDxfId="88" totalsRowBorderDxfId="87">
  <autoFilter ref="M3:O6" xr:uid="{D166BDD1-ACD7-45D7-8AE9-7350373F8CEB}"/>
  <tableColumns count="3">
    <tableColumn id="1" xr3:uid="{64F0205E-DEA7-4571-BA86-E4374A5FEE28}" name="Type" totalsRowLabel="Total" dataDxfId="86" totalsRowDxfId="85"/>
    <tableColumn id="2" xr3:uid="{15FA05F9-789C-4459-9BE0-5C1EC84D3365}" name="amount" totalsRowFunction="custom" dataDxfId="84" totalsRowDxfId="83">
      <totalsRowFormula>SUM(N5:N6)</totalsRowFormula>
    </tableColumn>
    <tableColumn id="3" xr3:uid="{3681D409-90C6-44D0-BDE2-4B5943A516F0}" name="Actual" totalsRowFunction="custom" totalsRowDxfId="8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1" totalsRowDxfId="80"/>
    <tableColumn id="2" xr3:uid="{5B9D0FEE-4304-4C5C-A05C-5B27CF7841D3}" name="Type"/>
    <tableColumn id="3" xr3:uid="{6A91CA0D-C802-4C6F-9F39-CA53687E8EDE}" name="Description"/>
    <tableColumn id="4" xr3:uid="{A251D40C-AB87-4BB4-85F8-444B20E32FDF}" name="Total" totalsRowFunction="custom" dataDxfId="79" totalsRowDxfId="7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77" headerRowBorderDxfId="76">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5"/>
    <tableColumn id="4" xr3:uid="{1889A312-9B41-4EC4-BD8F-05252F27084A}" name="Price" totalsRowFunction="sum"/>
    <tableColumn id="6" xr3:uid="{8B974B20-F003-4E67-8660-024FA4F324A9}" name="Party"/>
    <tableColumn id="7" xr3:uid="{0A5A5C21-FD61-47DA-9F54-66A6479FA557}" name="Paid" dataDxfId="74">
      <calculatedColumnFormula>SUMIFS(Table14[Debit], Table14[Date], Table8[[#This Row],[Date]], Table14[Party], Table8[[#This Row],[Party]])</calculatedColumnFormula>
    </tableColumn>
    <tableColumn id="8" xr3:uid="{8DCB3B43-2161-4081-82EC-CDB0F4DE4E6F}" name="Balance" totalsRowFunction="sum" dataDxfId="7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8" totalsRowCount="1" headerRowDxfId="72" headerRowBorderDxfId="71">
  <autoFilter ref="A4:H7" xr:uid="{A4C80688-A8BA-4BA7-90B4-791CD99446B4}"/>
  <sortState xmlns:xlrd2="http://schemas.microsoft.com/office/spreadsheetml/2017/richdata2" ref="A5:H6">
    <sortCondition ref="A4:A6"/>
  </sortState>
  <tableColumns count="8">
    <tableColumn id="1" xr3:uid="{4A818912-918E-4111-ACFC-BC93FEF7C1AD}" name="Date" dataDxfId="70" totalsRowDxfId="10"/>
    <tableColumn id="8" xr3:uid="{477ACFD5-62AF-4F69-974B-E9B974C11D7D}" name="Party Name" dataDxfId="6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8">
      <calculatedColumnFormula>Table2[[#This Row],[Quantity]]*200*Table2[[#This Row],[Boxes]]</calculatedColumnFormula>
    </tableColumn>
    <tableColumn id="6" xr3:uid="{30432929-CBD4-4BA8-B63F-CD0F6CF6405F}" name="Paid" totalsRowFunction="sum" dataDxfId="6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5" totalsRowDxfId="6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3" totalsRowDxfId="62"/>
    <tableColumn id="2" xr3:uid="{053BFC14-4828-417C-9F9F-95B6E232A945}" name="Amount" totalsRowFunction="custom" dataDxfId="61" totalsRowDxfId="6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9" totalsRowDxfId="5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48" totalsRowDxfId="4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6" totalsRowDxfId="4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4">
      <calculatedColumnFormula>Billing!Q5</calculatedColumnFormula>
    </tableColumn>
    <tableColumn id="2" xr3:uid="{7093A59E-B58F-487D-888A-9AA8156B5F9A}" name="Amount Paid" dataDxfId="43">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V3" zoomScale="80" zoomScaleNormal="80" workbookViewId="0">
      <selection activeCell="AB23" sqref="AB23"/>
    </sheetView>
  </sheetViews>
  <sheetFormatPr defaultRowHeight="15" x14ac:dyDescent="0.25"/>
  <cols>
    <col min="2" max="2" width="12.85546875" bestFit="1" customWidth="1"/>
    <col min="3" max="3" width="13.7109375" customWidth="1"/>
    <col min="4" max="4" width="12.5703125" customWidth="1"/>
    <col min="5" max="5" width="11" customWidth="1"/>
    <col min="6" max="6" width="13.28515625" customWidth="1"/>
    <col min="7" max="7" width="15.85546875" bestFit="1" customWidth="1"/>
    <col min="8" max="8" width="12.28515625" bestFit="1" customWidth="1"/>
    <col min="9" max="10" width="12.28515625" customWidth="1"/>
    <col min="11" max="11" width="15.28515625" bestFit="1" customWidth="1"/>
    <col min="12" max="12" width="12" bestFit="1" customWidth="1"/>
    <col min="13" max="13" width="11.140625" bestFit="1" customWidth="1"/>
    <col min="14" max="15" width="16.28515625" customWidth="1"/>
    <col min="16" max="16" width="11.42578125" customWidth="1"/>
    <col min="17" max="17" width="16.28515625" customWidth="1"/>
    <col min="18" max="18" width="19.140625" customWidth="1"/>
    <col min="19" max="19" width="11.140625" customWidth="1"/>
    <col min="20" max="20" width="13.85546875" customWidth="1"/>
    <col min="21" max="21" width="14.85546875" customWidth="1"/>
    <col min="22" max="22" width="13" customWidth="1"/>
    <col min="23" max="23" width="15.5703125" customWidth="1"/>
    <col min="24" max="24" width="16.85546875" bestFit="1" customWidth="1"/>
    <col min="25" max="25" width="13.140625" bestFit="1" customWidth="1"/>
    <col min="26" max="26" width="12.140625" bestFit="1" customWidth="1"/>
    <col min="27" max="27" width="15.7109375" customWidth="1"/>
    <col min="28" max="28" width="13.7109375" customWidth="1"/>
    <col min="30" max="30" width="15.85546875" customWidth="1"/>
    <col min="33" max="33" width="12.140625" customWidth="1"/>
    <col min="34" max="34" width="11.42578125" customWidth="1"/>
  </cols>
  <sheetData>
    <row r="1" spans="2:30" ht="28.5" x14ac:dyDescent="0.45">
      <c r="B1" t="s">
        <v>2</v>
      </c>
      <c r="C1" t="s">
        <v>3</v>
      </c>
      <c r="D1" t="s">
        <v>4</v>
      </c>
      <c r="E1" t="s">
        <v>5</v>
      </c>
      <c r="G1" s="9" t="s">
        <v>0</v>
      </c>
    </row>
    <row r="2" spans="2:30" x14ac:dyDescent="0.25">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Q2" t="s">
        <v>1</v>
      </c>
    </row>
    <row r="3" spans="2:30" x14ac:dyDescent="0.25">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25">
      <c r="B4" t="str">
        <f t="shared" si="0"/>
        <v>Arshad</v>
      </c>
      <c r="C4" s="18">
        <f>SUMIFS(ledger!G:G, ledger!B:B, B4, ledger!E:E, "&lt;&gt;*RD*") / 1.0936</f>
        <v>0</v>
      </c>
      <c r="D4">
        <v>10</v>
      </c>
      <c r="E4" s="14">
        <f>(SUMIFS(ledger!G:G, ledger!B:B, B4, ledger!E:E, "&lt;&gt;*RD*",ledger!D:D, "Silky") / 1.0936)*12 + (SUMIFS(ledger!G:G, ledger!B:B, B4, ledger!E:E, "&lt;&gt;*RD*",ledger!D:D, "Chamki") / 1.0936)*10</f>
        <v>0</v>
      </c>
      <c r="Q4" s="21"/>
      <c r="R4" s="23" t="s">
        <v>10</v>
      </c>
      <c r="S4" s="23" t="s">
        <v>11</v>
      </c>
      <c r="T4" s="23" t="s">
        <v>12</v>
      </c>
      <c r="U4" s="23" t="s">
        <v>13</v>
      </c>
      <c r="V4" s="23" t="s">
        <v>14</v>
      </c>
      <c r="W4" s="23" t="s">
        <v>15</v>
      </c>
      <c r="X4" s="23" t="s">
        <v>224</v>
      </c>
      <c r="Y4" s="23" t="s">
        <v>225</v>
      </c>
      <c r="Z4" s="23" t="s">
        <v>16</v>
      </c>
      <c r="AA4" s="23" t="s">
        <v>17</v>
      </c>
      <c r="AB4" s="23" t="s">
        <v>18</v>
      </c>
      <c r="AC4" s="23" t="s">
        <v>19</v>
      </c>
      <c r="AD4" s="23" t="s">
        <v>20</v>
      </c>
    </row>
    <row r="5" spans="2:30" x14ac:dyDescent="0.25">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4">_xlfn.UNIQUE(Table1[Party Name])</f>
        <v>BSC</v>
      </c>
      <c r="R5" s="22" cm="1">
        <f t="array" ref="R5">_xlfn.BYROW(B49,_xlfn.LAMBDA(_xlpm.party,SUMIFS(ledger!G:G,ledger!B:B,_xlpm.party,ledger!E:E,"&lt;&gt;*RD*")))+_xlfn.IFNA(C84,0)</f>
        <v>2205408</v>
      </c>
      <c r="S5" s="22" cm="1">
        <f t="array" ref="S5">_xlfn.BYROW(B49, _xlfn.LAMBDA(_xlpm.party, SUMIFS(ledger!G:G, ledger!B:B, _xlpm.party, ledger!E:E, "&lt;&gt;*RD*") / 1.0936 ))+_xlfn.IFNA(D84,0)</f>
        <v>2016649.5976591078</v>
      </c>
      <c r="T5" s="22" cm="1">
        <f t="array" ref="T5">(_xlfn.BYROW(B49,_xlfn.LAMBDA(_xlpm.party,SUMIFS(ledger!G:G,ledger!B:B,_xlpm.party,ledger!E:E,"&lt;&gt;*RD*",ledger!D:D,"Chamki")+SUMIFS(ledger!G:G, ledger!B:B, _xlpm.party, ledger!E:E, "&lt;&gt;*RD*", ledger!D:D, "Crinkle")))/1.0936)+_xlfn.IFNA(E84,0)</f>
        <v>1895402.3408924653</v>
      </c>
      <c r="U5" s="70" cm="1">
        <f t="array" ref="U5">(_xlfn.BYROW(B49,_xlfn.LAMBDA(_xlpm.party,SUMIFS(ledger!G:G,ledger!B:B,_xlpm.party,ledger!E:E,"&lt;&gt;*RD*",ledger!D:D,"Silky")))/1.0936)+_xlfn.IFNA(F84,0)</f>
        <v>121247.2567666423</v>
      </c>
      <c r="V5" s="22" cm="1">
        <f t="array" ref="V5">(_xlfn.BYROW(B49,_xlfn.LAMBDA(_xlpm.party,
(SUMIFS(ledger!J:J,ledger!B:B,_xlpm.party,ledger!E:E,"&lt;&gt;*RD*",ledger!D:D,"Chamki",ledger!C:C,"&lt;&gt;October Closing CF")+
SUMIFS(ledger!J:J,ledger!B:B,_xlpm.party,ledger!E:E,"&lt;&gt;*RD*",ledger!D:D,"Crinkle",ledger!C:C,"&lt;&gt;October Closing CF")
)+_xlfn.IFNA(G84,0))))</f>
        <v>18954023.408924658</v>
      </c>
      <c r="W5" s="70" cm="1">
        <f t="array" ref="W5">_xlfn.BYROW(B49, _xlfn.LAMBDA(_xlpm.party,
   SUMIFS(ledger!J:J, ledger!B:B, _xlpm.party, ledger!E:E, "&lt;&gt;*RD*", ledger!D:D, "Silky", ledger!C:C, "&lt;&gt;October Closing CF")
)) + _xlfn.IFNA(H84, 0)</f>
        <v>1487858.4491587421</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20441881.858083401</v>
      </c>
      <c r="AA5" s="22">
        <f ca="1">(SUMIF(Table14[Party],Q5,Table14[Credit]))+_xlfn.IFNA(L84,0)</f>
        <v>18411676</v>
      </c>
      <c r="AB5" s="33">
        <f ca="1">Z5-AA5</f>
        <v>2030205.8580834009</v>
      </c>
      <c r="AC5" s="21">
        <v>10</v>
      </c>
      <c r="AD5" s="21">
        <v>13</v>
      </c>
    </row>
    <row r="6" spans="2:30" x14ac:dyDescent="0.25">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 ca="1">(SUMIF(Table14[Party],Q6,Table14[Credit]))+_xlfn.IFNA(L85,0)</f>
        <v>3163904</v>
      </c>
      <c r="AB6" s="33">
        <f ca="1">Z6-AA6</f>
        <v>-171072.06876371615</v>
      </c>
      <c r="AC6" s="21">
        <v>10</v>
      </c>
      <c r="AD6" s="21">
        <v>13</v>
      </c>
    </row>
    <row r="7" spans="2:30" x14ac:dyDescent="0.25">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Q7" s="24" t="str">
        <v>Arshad</v>
      </c>
      <c r="R7" s="22" cm="1">
        <f t="array" ref="R7">_xlfn.BYROW(B51,_xlfn.LAMBDA(_xlpm.party,SUMIFS(ledger!G:G,ledger!B:B,_xlpm.party,ledger!E:E,"&lt;&gt;*RD*")))+_xlfn.IFNA(C86,0)</f>
        <v>445506</v>
      </c>
      <c r="S7" s="22" cm="1">
        <f t="array" ref="S7">_xlfn.BYROW(B51, _xlfn.LAMBDA(_xlpm.party, SUMIFS(ledger!G:G, ledger!B:B, _xlpm.party, ledger!E:E, "&lt;&gt;*RD*") / 1.0936 ))+_xlfn.IFNA(D86,0)</f>
        <v>407375.64008778351</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14794.257498171179</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177531.08997805414</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4103344.9158741776</v>
      </c>
      <c r="AA7" s="22">
        <f ca="1">(SUMIF(Table14[Party],Q7,Table14[Credit]))+_xlfn.IFNA(L86,0)</f>
        <v>4102935</v>
      </c>
      <c r="AB7" s="33">
        <f ca="1">Z7-AA7</f>
        <v>409.91587417759001</v>
      </c>
      <c r="AC7" s="21">
        <v>10</v>
      </c>
      <c r="AD7" s="21">
        <v>13</v>
      </c>
    </row>
    <row r="8" spans="2:30" x14ac:dyDescent="0.25">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 ca="1">(SUMIF(Table14[Party],Q8,Table14[Credit]))+_xlfn.IFNA(L87,0)</f>
        <v>1268740</v>
      </c>
      <c r="AB8" s="33">
        <f ca="1">Z8-AA8</f>
        <v>530.34403803967871</v>
      </c>
      <c r="AC8" s="21">
        <v>10.5</v>
      </c>
      <c r="AD8" s="21">
        <v>13</v>
      </c>
    </row>
    <row r="9" spans="2:30" x14ac:dyDescent="0.25">
      <c r="B9" t="str">
        <f t="shared" si="0"/>
        <v>Azam</v>
      </c>
      <c r="C9" s="18">
        <f>SUMIFS(ledger!G:G, ledger!B:B, B9, ledger!E:E, "&lt;&gt;*RD*") / 1.0936</f>
        <v>0</v>
      </c>
      <c r="D9">
        <v>10</v>
      </c>
      <c r="E9" s="14">
        <f>(SUMIFS(ledger!G:G, ledger!B:B, B9, ledger!E:E, "&lt;&gt;*RD*",ledger!D:D, "Silky") / 1.0936)*12 + (SUMIFS(ledger!G:G, ledger!B:B, B9, ledger!E:E, "&lt;&gt;*RD*",ledger!D:D, "Chamki") / 1.0936)*10</f>
        <v>0</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 ca="1">(SUMIF(Table14[Party],Q9,Table14[Credit]))+_xlfn.IFNA(L88,0)</f>
        <v>10629100</v>
      </c>
      <c r="AB9" s="33">
        <f t="shared" ref="AB9:AB17" ca="1" si="2">Z9-AA9</f>
        <v>609704.47256766632</v>
      </c>
      <c r="AC9" s="21">
        <v>10</v>
      </c>
      <c r="AD9" s="21">
        <v>13</v>
      </c>
    </row>
    <row r="10" spans="2:30" x14ac:dyDescent="0.25">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604680</v>
      </c>
      <c r="S10" s="22" cm="1">
        <f t="array" ref="S10">_xlfn.BYROW(B54, _xlfn.LAMBDA(_xlpm.party, SUMIFS(ledger!G:G, ledger!B:B, _xlpm.party, ledger!E:E, "&lt;&gt;*RD*") / 1.0936 ))+_xlfn.IFNA(D89,0)</f>
        <v>552926.11558156554</v>
      </c>
      <c r="T10" s="22" cm="1">
        <f t="array" ref="T10">(_xlfn.BYROW(B54,_xlfn.LAMBDA(_xlpm.party,SUMIFS(ledger!G:G,ledger!B:B,_xlpm.party,ledger!E:E,"&lt;&gt;*RD*",ledger!D:D,"Chamki")+SUMIFS(ledger!G:G, ledger!B:B, _xlpm.party, ledger!E:E, "&lt;&gt;*RD*", ledger!D:D, "Crinkle")))/1.0936)+_xlfn.IFNA(E89,0)</f>
        <v>547436.90563277248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5474369.0563277248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5545728.7856620336</v>
      </c>
      <c r="AA10" s="22">
        <f ca="1">(SUMIF(Table14[Party],Q10,Table14[Credit]))+_xlfn.IFNA(L89,0)</f>
        <v>5544810</v>
      </c>
      <c r="AB10" s="33">
        <f t="shared" ca="1" si="2"/>
        <v>918.78566203359514</v>
      </c>
      <c r="AC10" s="21">
        <v>10</v>
      </c>
      <c r="AD10" s="21">
        <v>13</v>
      </c>
    </row>
    <row r="11" spans="2:30" x14ac:dyDescent="0.25">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100916</v>
      </c>
      <c r="S11" s="22" cm="1">
        <f t="array" ref="S11">_xlfn.BYROW(B55, _xlfn.LAMBDA(_xlpm.party, SUMIFS(ledger!G:G, ledger!B:B, _xlpm.party, ledger!E:E, "&lt;&gt;*RD*") / 1.0936 ))+_xlfn.IFNA(D90,0)</f>
        <v>92278.712509144127</v>
      </c>
      <c r="T11" s="22" cm="1">
        <f t="array" ref="T11">(_xlfn.BYROW(B55,_xlfn.LAMBDA(_xlpm.party,SUMIFS(ledger!G:G,ledger!B:B,_xlpm.party,ledger!E:E,"&lt;&gt;*RD*",ledger!D:D,"Chamki")+SUMIFS(ledger!G:G, ledger!B:B, _xlpm.party, ledger!E:E, "&lt;&gt;*RD*", ledger!D:D, "Crinkle")))/1.0936)+_xlfn.IFNA(E90,0)</f>
        <v>92278.712509144127</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922787.12509144121</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922787.12509144121</v>
      </c>
      <c r="AA11" s="22">
        <f ca="1">(SUMIF(Table14[Party],Q11,Table14[Credit]))+_xlfn.IFNA(L90,0)</f>
        <v>900000</v>
      </c>
      <c r="AB11" s="33">
        <f t="shared" ca="1" si="2"/>
        <v>22787.125091441208</v>
      </c>
      <c r="AC11" s="21">
        <v>10</v>
      </c>
      <c r="AD11" s="21">
        <v>13</v>
      </c>
    </row>
    <row r="12" spans="2:30" x14ac:dyDescent="0.25">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204500</v>
      </c>
      <c r="S12" s="22" cm="1">
        <f t="array" ref="S12">_xlfn.BYROW(B56, _xlfn.LAMBDA(_xlpm.party, SUMIFS(ledger!G:G, ledger!B:B, _xlpm.party, ledger!E:E, "&lt;&gt;*RD*") / 1.0936 ))+_xlfn.IFNA(D91,0)</f>
        <v>186997.07388441847</v>
      </c>
      <c r="T12" s="22" cm="1">
        <f t="array" ref="T12">(_xlfn.BYROW(B56,_xlfn.LAMBDA(_xlpm.party,SUMIFS(ledger!G:G,ledger!B:B,_xlpm.party,ledger!E:E,"&lt;&gt;*RD*",ledger!D:D,"Chamki")+SUMIFS(ledger!G:G, ledger!B:B, _xlpm.party, ledger!E:E, "&lt;&gt;*RD*", ledger!D:D, "Crinkle")))/1.0936)+_xlfn.IFNA(E91,0)</f>
        <v>161808.70519385519</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1618087.0519385519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1945535.8449158745</v>
      </c>
      <c r="AA12" s="22">
        <f ca="1">(SUMIF(Table14[Party],Q12,Table14[Credit]))+_xlfn.IFNA(L91,0)</f>
        <v>1617620</v>
      </c>
      <c r="AB12" s="33">
        <f t="shared" ca="1" si="2"/>
        <v>327915.84491587454</v>
      </c>
      <c r="AC12" s="21">
        <v>10</v>
      </c>
      <c r="AD12" s="21">
        <v>13</v>
      </c>
    </row>
    <row r="13" spans="2:30" x14ac:dyDescent="0.25">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 ca="1">(SUMIF(Table14[Party],Q13,Table14[Credit]))+_xlfn.IFNA(L92,0)</f>
        <v>630150</v>
      </c>
      <c r="AB13" s="33">
        <f t="shared" ca="1" si="2"/>
        <v>11124.689100219635</v>
      </c>
      <c r="AC13" s="21">
        <v>10</v>
      </c>
      <c r="AD13" s="21">
        <v>13</v>
      </c>
    </row>
    <row r="14" spans="2:30" x14ac:dyDescent="0.25">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 ca="1">(SUMIF(Table14[Party],Q14,Table14[Credit]))+_xlfn.IFNA(L93,0)</f>
        <v>0</v>
      </c>
      <c r="AB14" s="33">
        <f t="shared" ca="1" si="2"/>
        <v>255724.21360643749</v>
      </c>
      <c r="AC14" s="21">
        <v>12</v>
      </c>
      <c r="AD14" s="21">
        <v>13</v>
      </c>
    </row>
    <row r="15" spans="2:30" x14ac:dyDescent="0.25">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 ca="1">(SUMIF(Table14[Party],Q15,Table14[Credit]))+_xlfn.IFNA(L94,0)</f>
        <v>1200000</v>
      </c>
      <c r="AB15" s="33">
        <f t="shared" ca="1" si="2"/>
        <v>11512.435991221806</v>
      </c>
      <c r="AC15" s="21">
        <v>10</v>
      </c>
      <c r="AD15" s="21">
        <v>13</v>
      </c>
    </row>
    <row r="16" spans="2:30" x14ac:dyDescent="0.25">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 ca="1">(SUMIF(Table14[Party],Q16,Table14[Credit]))+_xlfn.IFNA(L95,0)</f>
        <v>4000544</v>
      </c>
      <c r="AB16" s="33">
        <f t="shared" ca="1" si="2"/>
        <v>175216.79005120741</v>
      </c>
      <c r="AC16" s="21">
        <v>10</v>
      </c>
      <c r="AD16" s="21">
        <v>13</v>
      </c>
    </row>
    <row r="17" spans="2:30" x14ac:dyDescent="0.25">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 ca="1">(SUMIF(Table14[Party],Q17,Table14[Credit]))+_xlfn.IFNA(L96,0)</f>
        <v>0</v>
      </c>
      <c r="AB17" s="33">
        <f t="shared" ca="1" si="2"/>
        <v>0</v>
      </c>
      <c r="AC17" s="21">
        <v>10</v>
      </c>
      <c r="AD17" s="21">
        <v>13</v>
      </c>
    </row>
    <row r="18" spans="2:30" x14ac:dyDescent="0.25">
      <c r="B18" t="str">
        <f t="shared" si="0"/>
        <v>Faizan</v>
      </c>
      <c r="C18" s="18">
        <f>SUMIFS(ledger!G:G, ledger!B:B, B18, ledger!E:E, "&lt;&gt;*RD*") / 1.0936</f>
        <v>0</v>
      </c>
      <c r="E18" s="14">
        <f>(SUMIFS(ledger!G:G, ledger!B:B, B18, ledger!E:E, "&lt;&gt;*RD*",ledger!D:D, "Silky") / 1.0936)*12 + (SUMIFS(ledger!G:G, ledger!B:B, B18, ledger!E:E, "&lt;&gt;*RD*",ledger!D:D, "Chamki") / 1.0936)*10</f>
        <v>0</v>
      </c>
      <c r="Q18" s="101"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 ca="1">(SUMIF(Table14[Party],Q18,Table14[Credit]))+_xlfn.IFNA(L97,0)</f>
        <v>480000</v>
      </c>
      <c r="AB18" s="33">
        <f t="shared" ref="AB18:AB20" ca="1" si="3">Z18-AA18</f>
        <v>3851.4996342355735</v>
      </c>
      <c r="AC18" s="21">
        <v>10</v>
      </c>
      <c r="AD18" s="21">
        <v>13</v>
      </c>
    </row>
    <row r="19" spans="2:30" x14ac:dyDescent="0.25">
      <c r="Q19" s="101"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 ca="1">(SUMIF(Table14[Party],Q19,Table14[Credit]))+_xlfn.IFNA(L98,0)</f>
        <v>95000</v>
      </c>
      <c r="AB19" s="33">
        <f t="shared" ca="1" si="3"/>
        <v>-5844.9158741770225</v>
      </c>
      <c r="AC19" s="21">
        <v>10</v>
      </c>
      <c r="AD19" s="21">
        <v>13</v>
      </c>
    </row>
    <row r="20" spans="2:30" x14ac:dyDescent="0.25">
      <c r="Q20" s="101"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56670.629114850046</v>
      </c>
      <c r="U20" s="70" cm="1">
        <f t="array" ref="U20">(_xlfn.BYROW(B64,_xlfn.LAMBDA(_xlpm.party,SUMIFS(ledger!G:G,ledger!B:B,_xlpm.party,ledger!E:E,"&lt;&gt;*RD*",ledger!D:D,"Silky")))/1.0936)+_xlfn.IFNA(F99,0)</f>
        <v>0</v>
      </c>
      <c r="V20" s="22" cm="1">
        <f t="array" ref="V20">(_xlfn.BYROW(B64,_xlfn.LAMBDA(_xlpm.party,
(SUMIFS(ledger!J:J,ledger!B:B,_xlpm.party,ledger!E:E,"&lt;&gt;*RD*",ledger!D:D,"Chamki",ledger!C:C,"&lt;&gt;October Closing CF")+
SUMIFS(ledger!J:J,ledger!B:B,_xlpm.party,ledger!E:E,"&lt;&gt;*RD*",ledger!D:D,"Crinkle",ledger!C:C,"&lt;&gt;October Closing CF")
)+_xlfn.IFNA(G99,0))))</f>
        <v>566706.29114850052</v>
      </c>
      <c r="W20" s="70" cm="1">
        <f t="array" ref="W20">_xlfn.BYROW(B64, _xlfn.LAMBDA(_xlpm.party,
   SUMIFS(ledger!J:J, ledger!B:B, _xlpm.party, ledger!E:E, "&lt;&gt;*RD*", ledger!D:D, "Silky", ledger!C:C, "&lt;&gt;October Closing CF")
)) + _xlfn.IFNA(H99, 0)</f>
        <v>0</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566706.29114850052</v>
      </c>
      <c r="AA20" s="22">
        <f ca="1">(SUMIF(Table14[Party],Q20,Table14[Credit]))+_xlfn.IFNA(L99,0)</f>
        <v>474200</v>
      </c>
      <c r="AB20" s="33">
        <f t="shared" ca="1" si="3"/>
        <v>92506.291148500517</v>
      </c>
      <c r="AC20" s="21">
        <v>10</v>
      </c>
      <c r="AD20" s="21">
        <v>13</v>
      </c>
    </row>
    <row r="21" spans="2:30" x14ac:dyDescent="0.25">
      <c r="B21" s="40" t="s">
        <v>29</v>
      </c>
      <c r="C21" s="41">
        <f>SUM(G49:G69)+SUM(H49:H69)+SUM(I49:I69)+SUM(J49:J69)</f>
        <v>601939.46598390653</v>
      </c>
      <c r="D21" t="s">
        <v>30</v>
      </c>
      <c r="Q21" s="102" t="str">
        <v>Faizan</v>
      </c>
      <c r="R21" s="22" cm="1">
        <f t="array" ref="R21">_xlfn.BYROW(B65,_xlfn.LAMBDA(_xlpm.party,SUMIFS(ledger!G:G,ledger!B:B,_xlpm.party,ledger!E:E,"&lt;&gt;*RD*")))+_xlfn.IFNA(C100,0)</f>
        <v>222185</v>
      </c>
      <c r="S21" s="22" cm="1">
        <f t="array" ref="S21">_xlfn.BYROW(B65, _xlfn.LAMBDA(_xlpm.party, SUMIFS(ledger!G:G, ledger!B:B, _xlpm.party, ledger!E:E, "&lt;&gt;*RD*") / 1.0936 ))+_xlfn.IFNA(D100,0)</f>
        <v>203168.43452816387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200198.42721287493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2602579.5537673743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2647129.6634967085</v>
      </c>
      <c r="AA21" s="22">
        <f ca="1">(SUMIF(Table14[Party],Q21,Table14[Credit]))+_xlfn.IFNA(L100,0)</f>
        <v>2915571</v>
      </c>
      <c r="AB21" s="33">
        <f t="shared" ref="AB21:AB35" ca="1" si="4">Z21-AA21</f>
        <v>-268441.3365032915</v>
      </c>
      <c r="AC21" s="21">
        <v>10</v>
      </c>
      <c r="AD21" s="21">
        <v>13</v>
      </c>
    </row>
    <row r="22" spans="2:30" x14ac:dyDescent="0.25">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 ca="1">(SUMIF(Table14[Party],Q22,Table14[Credit]))+_xlfn.IFNA(L101,0)</f>
        <v>835660</v>
      </c>
      <c r="AB22" s="33">
        <f t="shared" ca="1" si="4"/>
        <v>356.82516459410544</v>
      </c>
      <c r="AC22" s="21">
        <v>10</v>
      </c>
      <c r="AD22" s="21">
        <v>13</v>
      </c>
    </row>
    <row r="23" spans="2:30" x14ac:dyDescent="0.25">
      <c r="B23" s="24" t="s">
        <v>31</v>
      </c>
      <c r="C23" s="37">
        <f>SUM(K49:K71)</f>
        <v>601939.46598390653</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 ca="1">(SUMIF(Table14[Party],Q23,Table14[Credit]))+_xlfn.IFNA(L102,0)</f>
        <v>800000</v>
      </c>
      <c r="AB23" s="33">
        <f t="shared" ca="1" si="4"/>
        <v>322257.6810534019</v>
      </c>
      <c r="AC23" s="21">
        <v>10</v>
      </c>
      <c r="AD23" s="21">
        <v>13</v>
      </c>
    </row>
    <row r="24" spans="2:30" x14ac:dyDescent="0.25">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 ca="1">(SUMIF(Table14[Party],Q24,Table14[Credit]))+_xlfn.IFNA(L103,0)</f>
        <v>0</v>
      </c>
      <c r="AB24" s="33">
        <f t="shared" ca="1" si="4"/>
        <v>408318.39795171918</v>
      </c>
      <c r="AC24" s="21">
        <v>10</v>
      </c>
      <c r="AD24" s="21">
        <v>13</v>
      </c>
    </row>
    <row r="25" spans="2:30" x14ac:dyDescent="0.25">
      <c r="R25" s="22" cm="1">
        <f t="array" ref="R25">_xlfn.BYROW(B69,_xlfn.LAMBDA(_xlpm.party,SUMIFS(ledger!G:G,ledger!B:B,_xlpm.party,ledger!E:E,"&lt;&gt;*RD*")))+_xlfn.IFNA(C104,0)</f>
        <v>0</v>
      </c>
      <c r="S25" s="22" cm="1">
        <f t="array" ref="S25">_xlfn.BYROW(B69, _xlfn.LAMBDA(_xlpm.party, SUMIFS(ledger!G:G, ledger!B:B, _xlpm.party, ledger!E:E, "&lt;&gt;*RD*") / 1.0936 ))+_xlfn.IFNA(D104,0)</f>
        <v>0</v>
      </c>
      <c r="T25" s="22" cm="1">
        <f t="array" ref="T25">(_xlfn.BYROW(B69,_xlfn.LAMBDA(_xlpm.party,SUMIFS(ledger!G:G,ledger!B:B,_xlpm.party,ledger!E:E,"&lt;&gt;*RD*",ledger!D:D,"Chamki")+SUMIFS(ledger!G:G, ledger!B:B, _xlpm.party, ledger!E:E, "&lt;&gt;*RD*", ledger!D:D, "Crinkle")))/1.0936)+_xlfn.IFNA(E104,0)</f>
        <v>0</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0</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0</v>
      </c>
      <c r="AA25" s="22">
        <f ca="1">(SUMIF(Table14[Party],Q25,Table14[Credit]))+_xlfn.IFNA(L104,0)</f>
        <v>0</v>
      </c>
      <c r="AB25" s="33">
        <f t="shared" ca="1" si="4"/>
        <v>0</v>
      </c>
      <c r="AC25" s="21">
        <v>10</v>
      </c>
      <c r="AD25" s="21">
        <v>13</v>
      </c>
    </row>
    <row r="26" spans="2:30" x14ac:dyDescent="0.25">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 ca="1">(SUMIF(Table14[Party],Q26,Table14[Credit]))+_xlfn.IFNA(L105,0)</f>
        <v>0</v>
      </c>
      <c r="AB26" s="33">
        <f t="shared" ca="1" si="4"/>
        <v>0</v>
      </c>
      <c r="AC26" s="21">
        <v>10</v>
      </c>
      <c r="AD26" s="21">
        <v>13</v>
      </c>
    </row>
    <row r="27" spans="2:30" x14ac:dyDescent="0.25">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 ca="1">(SUMIF(Table14[Party],Q27,Table14[Credit]))+_xlfn.IFNA(L106,0)</f>
        <v>0</v>
      </c>
      <c r="AB27" s="33">
        <f t="shared" ca="1" si="4"/>
        <v>0</v>
      </c>
      <c r="AC27" s="21">
        <v>10</v>
      </c>
      <c r="AD27" s="21">
        <v>13</v>
      </c>
    </row>
    <row r="28" spans="2:30" x14ac:dyDescent="0.25">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 ca="1">(SUMIF(Table14[Party],Q28,Table14[Credit]))+_xlfn.IFNA(L107,0)</f>
        <v>0</v>
      </c>
      <c r="AB28" s="33">
        <f t="shared" ca="1" si="4"/>
        <v>0</v>
      </c>
      <c r="AC28" s="21">
        <v>10</v>
      </c>
      <c r="AD28" s="21">
        <v>13</v>
      </c>
    </row>
    <row r="29" spans="2:30" x14ac:dyDescent="0.25">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 ca="1">(SUMIF(Table14[Party],Q29,Table14[Credit]))+_xlfn.IFNA(L108,0)</f>
        <v>0</v>
      </c>
      <c r="AB29" s="33">
        <f t="shared" ca="1" si="4"/>
        <v>0</v>
      </c>
      <c r="AC29" s="21">
        <v>10</v>
      </c>
      <c r="AD29" s="21">
        <v>13</v>
      </c>
    </row>
    <row r="30" spans="2:30" x14ac:dyDescent="0.25">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 ca="1">(SUMIF(Table14[Party],Q30,Table14[Credit]))+_xlfn.IFNA(L109,0)</f>
        <v>0</v>
      </c>
      <c r="AB30" s="33">
        <f t="shared" ca="1" si="4"/>
        <v>0</v>
      </c>
      <c r="AC30" s="21">
        <v>10</v>
      </c>
      <c r="AD30" s="21">
        <v>13</v>
      </c>
    </row>
    <row r="31" spans="2:30" x14ac:dyDescent="0.25">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 ca="1">(SUMIF(Table14[Party],Q31,Table14[Credit]))+_xlfn.IFNA(L110,0)</f>
        <v>0</v>
      </c>
      <c r="AB31" s="33">
        <f t="shared" ca="1" si="4"/>
        <v>0</v>
      </c>
      <c r="AC31" s="21">
        <v>10</v>
      </c>
      <c r="AD31" s="21">
        <v>13</v>
      </c>
    </row>
    <row r="32" spans="2:30" x14ac:dyDescent="0.25">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 ca="1">(SUMIF(Table14[Party],Q32,Table14[Credit]))+_xlfn.IFNA(L111,0)</f>
        <v>0</v>
      </c>
      <c r="AB32" s="33">
        <f t="shared" ca="1" si="4"/>
        <v>0</v>
      </c>
      <c r="AC32" s="21">
        <v>10</v>
      </c>
      <c r="AD32" s="21">
        <v>13</v>
      </c>
    </row>
    <row r="33" spans="2:30" x14ac:dyDescent="0.25">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 ca="1">(SUMIF(Table14[Party],Q33,Table14[Credit]))+_xlfn.IFNA(L112,0)</f>
        <v>0</v>
      </c>
      <c r="AB33" s="33">
        <f t="shared" ca="1" si="4"/>
        <v>0</v>
      </c>
      <c r="AC33" s="21">
        <v>10</v>
      </c>
      <c r="AD33" s="21">
        <v>13</v>
      </c>
    </row>
    <row r="34" spans="2:30" x14ac:dyDescent="0.25">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 ca="1">(SUMIF(Table14[Party],Q34,Table14[Credit]))+_xlfn.IFNA(L113,0)</f>
        <v>0</v>
      </c>
      <c r="AB34" s="33">
        <f t="shared" ca="1" si="4"/>
        <v>0</v>
      </c>
      <c r="AC34" s="21">
        <v>10</v>
      </c>
      <c r="AD34" s="21">
        <v>13</v>
      </c>
    </row>
    <row r="35" spans="2:30" x14ac:dyDescent="0.25">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 ca="1">(SUMIF(Table14[Party],Q35,Table14[Credit]))+_xlfn.IFNA(L114,0)</f>
        <v>0</v>
      </c>
      <c r="AB35" s="33">
        <f t="shared" ca="1" si="4"/>
        <v>0</v>
      </c>
      <c r="AC35" s="21">
        <v>10</v>
      </c>
      <c r="AD35" s="21">
        <v>13</v>
      </c>
    </row>
    <row r="47" spans="2:30" x14ac:dyDescent="0.25">
      <c r="B47" t="s">
        <v>158</v>
      </c>
    </row>
    <row r="48" spans="2:30" x14ac:dyDescent="0.25">
      <c r="B48" s="21"/>
      <c r="C48" s="23" t="s">
        <v>10</v>
      </c>
      <c r="D48" s="23" t="s">
        <v>11</v>
      </c>
      <c r="E48" s="23" t="s">
        <v>12</v>
      </c>
      <c r="F48" s="23" t="s">
        <v>13</v>
      </c>
      <c r="G48" s="23" t="s">
        <v>14</v>
      </c>
      <c r="H48" s="23" t="s">
        <v>15</v>
      </c>
      <c r="I48" s="23" t="s">
        <v>224</v>
      </c>
      <c r="J48" s="23" t="s">
        <v>225</v>
      </c>
      <c r="K48" s="23" t="s">
        <v>16</v>
      </c>
      <c r="L48" s="23" t="s">
        <v>17</v>
      </c>
      <c r="M48" s="23" t="s">
        <v>18</v>
      </c>
      <c r="N48" s="23" t="s">
        <v>19</v>
      </c>
      <c r="O48" s="23" t="s">
        <v>20</v>
      </c>
    </row>
    <row r="49" spans="1:26" x14ac:dyDescent="0.25">
      <c r="A49" t="s">
        <v>33</v>
      </c>
      <c r="B49" s="24" t="str" cm="1">
        <f t="array" ref="B49:B68">_xlfn.UNIQUE(Table1[Party Name])</f>
        <v>BSC</v>
      </c>
      <c r="C49" s="22" cm="1">
        <f t="array" ref="C49:C68">_xlfn.BYROW(_xlfn.ANCHORARRAY(B49),_xlfn.LAMBDA(_xlpm.party,SUMIFS(ledger!G:G,ledger!B:B,_xlpm.party,ledger!E:E,"&lt;&gt;*RD*")))</f>
        <v>0</v>
      </c>
      <c r="D49" s="22" cm="1">
        <f t="array" ref="D49:D68">_xlfn.BYROW(_xlfn.ANCHORARRAY(B49), _xlfn.LAMBDA(_xlpm.party, SUMIFS(ledger!G:G, ledger!B:B, _xlpm.party, ledger!E:E, "&lt;&gt;*RD*") / 1.0936 ))</f>
        <v>0</v>
      </c>
      <c r="E49" s="63" cm="1">
        <f t="array" ref="E49:E68">(_xlfn.BYROW(_xlfn.ANCHORARRAY(B49),_xlfn.LAMBDA(_xlpm.party,SUMIFS(ledger!G:G,ledger!B:B,_xlpm.party,ledger!E:E,"&lt;&gt;*RD*",ledger!D:D,"Chamki")+SUMIFS(ledger!G:G, ledger!B:B, _xlpm.party, ledger!E:E, "&lt;&gt;*RD*", ledger!D:D, "Crinkle")))/1.0936)</f>
        <v>0</v>
      </c>
      <c r="F49" s="63" cm="1">
        <f t="array" ref="F49:F68">(_xlfn.BYROW(_xlfn.ANCHORARRAY(B49),_xlfn.LAMBDA(_xlpm.party,SUMIFS(ledger!G:G,ledger!B:B,_xlpm.party,ledger!E:E,"&lt;&gt;*RD*",ledger!D:D,"Silky")))/1.0936)</f>
        <v>0</v>
      </c>
      <c r="G49" s="22" cm="1">
        <f t="array" ref="G49">(_xlfn.BYROW(B49,_xlfn.LAMBDA(_xlpm.party,
(SUMIFS(ledger!J:J,ledger!B:B,_xlpm.party,ledger!E:E,"&lt;&gt;*RD*",ledger!D:D,"Chamki",ledger!C:C,"&lt;&gt;October Closing CF")+
SUMIFS(ledger!J:J,ledger!B:B,_xlpm.party,ledger!E:E,"&lt;&gt;*RD*",ledger!D:D,"Crinkle",ledger!C:C,"&lt;&gt;October Closing CF")
))))</f>
        <v>0</v>
      </c>
      <c r="H49" s="22" cm="1">
        <f t="array" ref="H49">_xlfn.BYROW(B49, _xlfn.LAMBDA(_xlpm.party,
   SUMIFS(ledger!J:J, ledger!B:B, _xlpm.party, ledger!E:E, "&lt;&gt;*RD*", ledger!D:D, "Silky", ledger!C:C, "&lt;&gt;October Closing CF")
))</f>
        <v>0</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0</v>
      </c>
      <c r="L49" s="22">
        <f ca="1">(SUMIF(Table14[Party],B49,Table14[Credit]))</f>
        <v>0</v>
      </c>
      <c r="M49" s="37">
        <f ca="1">K49-L49</f>
        <v>0</v>
      </c>
      <c r="N49" s="21">
        <v>10</v>
      </c>
      <c r="O49" s="21">
        <v>12</v>
      </c>
    </row>
    <row r="50" spans="1:26" x14ac:dyDescent="0.25">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 ca="1">(SUMIF(Table14[Party],B50,Table14[Credit]))</f>
        <v>0</v>
      </c>
      <c r="M50" s="37">
        <f ca="1">K50-L50</f>
        <v>193621.06803218729</v>
      </c>
      <c r="N50" s="21">
        <v>10</v>
      </c>
      <c r="O50" s="21">
        <v>12</v>
      </c>
    </row>
    <row r="51" spans="1:26" x14ac:dyDescent="0.25">
      <c r="B51" s="24" t="str">
        <v>Arshad</v>
      </c>
      <c r="C51" s="22">
        <v>0</v>
      </c>
      <c r="D51" s="22">
        <v>0</v>
      </c>
      <c r="E51" s="63">
        <v>0</v>
      </c>
      <c r="F51" s="63">
        <v>0</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0</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0</v>
      </c>
      <c r="L51" s="22">
        <f ca="1">(SUMIF(Table14[Party],B51,Table14[Credit]))</f>
        <v>0</v>
      </c>
      <c r="M51" s="37">
        <f ca="1">K51-L51</f>
        <v>0</v>
      </c>
      <c r="N51" s="21">
        <v>10</v>
      </c>
      <c r="O51" s="21">
        <v>12</v>
      </c>
    </row>
    <row r="52" spans="1:26" x14ac:dyDescent="0.25">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 ca="1">(SUMIF(Table14[Party],B52,Table14[Credit]))</f>
        <v>0</v>
      </c>
      <c r="M52" s="37">
        <f t="shared" ref="M52:M55" ca="1" si="7">K52-L52</f>
        <v>0</v>
      </c>
      <c r="N52" s="21">
        <v>10.5</v>
      </c>
      <c r="O52" s="21">
        <v>13</v>
      </c>
    </row>
    <row r="53" spans="1:26" x14ac:dyDescent="0.25">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 ca="1">(SUMIF(Table14[Party],B53,Table14[Credit]))</f>
        <v>0</v>
      </c>
      <c r="M53" s="37">
        <f t="shared" ca="1" si="7"/>
        <v>0</v>
      </c>
      <c r="N53" s="21">
        <v>10</v>
      </c>
      <c r="O53" s="21">
        <v>12</v>
      </c>
    </row>
    <row r="54" spans="1:26" x14ac:dyDescent="0.25">
      <c r="B54" s="24" t="str">
        <v>Sajad Khan</v>
      </c>
      <c r="C54" s="22">
        <v>0</v>
      </c>
      <c r="D54" s="22">
        <v>0</v>
      </c>
      <c r="E54" s="63">
        <v>0</v>
      </c>
      <c r="F54" s="63">
        <v>0</v>
      </c>
      <c r="G54" s="22" cm="1">
        <f t="array" ref="G54">(_xlfn.BYROW(B54,_xlfn.LAMBDA(_xlpm.party,
(SUMIFS(ledger!J:J,ledger!B:B,_xlpm.party,ledger!E:E,"&lt;&gt;*RD*",ledger!D:D,"Chamki",ledger!C:C,"&lt;&gt;October Closing CF")+
SUMIFS(ledger!J:J,ledger!B:B,_xlpm.party,ledger!E:E,"&lt;&gt;*RD*",ledger!D:D,"Crinkle",ledger!C:C,"&lt;&gt;October Closing CF")
))))</f>
        <v>0</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0</v>
      </c>
      <c r="L54" s="22">
        <f ca="1">(SUMIF(Table14[Party],B54,Table14[Credit]))</f>
        <v>0</v>
      </c>
      <c r="M54" s="37">
        <f t="shared" ca="1" si="7"/>
        <v>0</v>
      </c>
      <c r="N54" s="21">
        <v>10</v>
      </c>
      <c r="O54" s="21">
        <v>12</v>
      </c>
    </row>
    <row r="55" spans="1:26" x14ac:dyDescent="0.25">
      <c r="B55" s="24" t="str">
        <v>Raaz Fabrics</v>
      </c>
      <c r="C55" s="22">
        <v>0</v>
      </c>
      <c r="D55" s="22">
        <v>0</v>
      </c>
      <c r="E55" s="63">
        <v>0</v>
      </c>
      <c r="F55" s="63">
        <v>0</v>
      </c>
      <c r="G55" s="22" cm="1">
        <f t="array" ref="G55">(_xlfn.BYROW(B55,_xlfn.LAMBDA(_xlpm.party,
(SUMIFS(ledger!J:J,ledger!B:B,_xlpm.party,ledger!E:E,"&lt;&gt;*RD*",ledger!D:D,"Chamki",ledger!C:C,"&lt;&gt;October Closing CF")+
SUMIFS(ledger!J:J,ledger!B:B,_xlpm.party,ledger!E:E,"&lt;&gt;*RD*",ledger!D:D,"Crinkle",ledger!C:C,"&lt;&gt;October Closing CF")
))))</f>
        <v>0</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0</v>
      </c>
      <c r="L55" s="22">
        <f ca="1">(SUMIF(Table14[Party],B55,Table14[Credit]))</f>
        <v>0</v>
      </c>
      <c r="M55" s="37">
        <f t="shared" ca="1" si="7"/>
        <v>0</v>
      </c>
      <c r="N55" s="21">
        <v>10</v>
      </c>
      <c r="O55" s="21">
        <v>12</v>
      </c>
    </row>
    <row r="56" spans="1:26" x14ac:dyDescent="0.25">
      <c r="B56" s="24" t="str">
        <v>Azam</v>
      </c>
      <c r="C56" s="22">
        <v>0</v>
      </c>
      <c r="D56" s="22">
        <v>0</v>
      </c>
      <c r="E56" s="63">
        <v>0</v>
      </c>
      <c r="F56" s="63">
        <v>0</v>
      </c>
      <c r="G56" s="22" cm="1">
        <f t="array" ref="G56">(_xlfn.BYROW(B56,_xlfn.LAMBDA(_xlpm.party,
(SUMIFS(ledger!J:J,ledger!B:B,_xlpm.party,ledger!E:E,"&lt;&gt;*RD*",ledger!D:D,"Chamki",ledger!C:C,"&lt;&gt;October Closing CF")+
SUMIFS(ledger!J:J,ledger!B:B,_xlpm.party,ledger!E:E,"&lt;&gt;*RD*",ledger!D:D,"Crinkle",ledger!C:C,"&lt;&gt;October Closing CF")
))))</f>
        <v>0</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0</v>
      </c>
      <c r="L56" s="22">
        <f ca="1">(SUMIF(Table14[Party],B56,Table14[Credit]))</f>
        <v>0</v>
      </c>
      <c r="M56" s="37">
        <f t="shared" ref="M56:M69" ca="1" si="8">K56-L56</f>
        <v>0</v>
      </c>
      <c r="N56" s="21">
        <v>10</v>
      </c>
      <c r="O56" s="21">
        <v>12</v>
      </c>
      <c r="X56" s="3" t="s">
        <v>6</v>
      </c>
      <c r="Y56" t="s">
        <v>7</v>
      </c>
      <c r="Z56" t="s">
        <v>8</v>
      </c>
    </row>
    <row r="57" spans="1:26" x14ac:dyDescent="0.25">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 ca="1">SUMIF(Table14[Party], B57, Table14[Credit])</f>
        <v>0</v>
      </c>
      <c r="M57" s="37">
        <f t="shared" ca="1" si="8"/>
        <v>0</v>
      </c>
      <c r="N57" s="21">
        <v>10</v>
      </c>
      <c r="O57" s="21">
        <v>12</v>
      </c>
      <c r="X57" s="4" t="s">
        <v>21</v>
      </c>
      <c r="Y57" s="5">
        <v>0</v>
      </c>
      <c r="Z57" s="18">
        <v>0</v>
      </c>
    </row>
    <row r="58" spans="1:26" x14ac:dyDescent="0.25">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 ca="1">SUMIF(Table14[Party], B58, Table14[Credit])</f>
        <v>0</v>
      </c>
      <c r="M58" s="37">
        <f t="shared" ca="1" si="8"/>
        <v>0</v>
      </c>
      <c r="N58" s="21">
        <v>12</v>
      </c>
      <c r="O58" s="21">
        <v>12</v>
      </c>
      <c r="X58" s="4" t="s">
        <v>22</v>
      </c>
      <c r="Y58" s="5">
        <v>14893.928310168252</v>
      </c>
      <c r="Z58" s="18">
        <v>178727.13972201903</v>
      </c>
    </row>
    <row r="59" spans="1:26" x14ac:dyDescent="0.25">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 ca="1">SUMIF(Table14[Party], B59, Table14[Credit])</f>
        <v>0</v>
      </c>
      <c r="M59" s="37">
        <f t="shared" ca="1" si="8"/>
        <v>0</v>
      </c>
      <c r="N59" s="21">
        <v>10</v>
      </c>
      <c r="O59" s="21">
        <v>12</v>
      </c>
      <c r="X59" s="4" t="s">
        <v>9</v>
      </c>
      <c r="Y59" s="5">
        <v>0</v>
      </c>
      <c r="Z59" s="18">
        <v>0</v>
      </c>
    </row>
    <row r="60" spans="1:26" x14ac:dyDescent="0.25">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 ca="1">SUMIF(Table14[Party], B60, Table14[Credit])</f>
        <v>0</v>
      </c>
      <c r="M60" s="37">
        <f t="shared" ca="1" si="8"/>
        <v>0</v>
      </c>
      <c r="N60" s="21">
        <v>10</v>
      </c>
      <c r="O60" s="21">
        <v>12</v>
      </c>
      <c r="X60" s="4" t="s">
        <v>23</v>
      </c>
      <c r="Y60" s="5">
        <v>0</v>
      </c>
      <c r="Z60" s="18">
        <v>0</v>
      </c>
    </row>
    <row r="61" spans="1:26" x14ac:dyDescent="0.25">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 ca="1">SUMIF(Table14[Party], B61, Table14[Credit])</f>
        <v>0</v>
      </c>
      <c r="M61" s="37">
        <f t="shared" ca="1" si="8"/>
        <v>0</v>
      </c>
      <c r="N61" s="21">
        <v>10</v>
      </c>
      <c r="O61" s="21">
        <v>12</v>
      </c>
      <c r="X61" s="4" t="s">
        <v>24</v>
      </c>
      <c r="Y61" s="5">
        <v>0</v>
      </c>
      <c r="Z61" s="18">
        <v>0</v>
      </c>
    </row>
    <row r="62" spans="1:26" x14ac:dyDescent="0.25">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 ca="1">SUMIF(Table14[Party], B62, Table14[Credit])</f>
        <v>0</v>
      </c>
      <c r="M62" s="37">
        <f t="shared" ca="1" si="8"/>
        <v>0</v>
      </c>
      <c r="N62" s="21">
        <v>10</v>
      </c>
      <c r="O62" s="21">
        <v>12</v>
      </c>
      <c r="X62" s="4" t="s">
        <v>25</v>
      </c>
      <c r="Y62" s="5">
        <v>0</v>
      </c>
      <c r="Z62" s="18">
        <v>0</v>
      </c>
    </row>
    <row r="63" spans="1:26" x14ac:dyDescent="0.25">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 ca="1">SUMIF(Table14[Party], B63, Table14[Credit])</f>
        <v>0</v>
      </c>
      <c r="M63" s="37">
        <f t="shared" ca="1" si="8"/>
        <v>0</v>
      </c>
      <c r="N63" s="21">
        <v>10</v>
      </c>
      <c r="O63" s="21">
        <v>12</v>
      </c>
      <c r="X63" s="4" t="s">
        <v>26</v>
      </c>
      <c r="Y63" s="5">
        <v>0</v>
      </c>
      <c r="Z63" s="18">
        <v>0</v>
      </c>
    </row>
    <row r="64" spans="1:26" x14ac:dyDescent="0.25">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 ca="1">SUMIF(Table14[Party], B81, Table14[Credit])</f>
        <v>0</v>
      </c>
      <c r="M64" s="37">
        <f t="shared" ca="1" si="8"/>
        <v>0</v>
      </c>
      <c r="N64" s="21">
        <v>10</v>
      </c>
      <c r="O64" s="21">
        <v>12</v>
      </c>
      <c r="X64" s="4" t="s">
        <v>155</v>
      </c>
      <c r="Y64" s="5">
        <v>0</v>
      </c>
      <c r="Z64" s="18">
        <v>0</v>
      </c>
    </row>
    <row r="65" spans="2:26" x14ac:dyDescent="0.25">
      <c r="B65" t="str">
        <v>Faizan</v>
      </c>
      <c r="C65" s="22">
        <v>0</v>
      </c>
      <c r="D65" s="22">
        <v>0</v>
      </c>
      <c r="E65" s="63">
        <v>0</v>
      </c>
      <c r="F65" s="63">
        <v>0</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0</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0</v>
      </c>
      <c r="L65" s="22">
        <f ca="1">SUMIF(Table14[Party], B65, Table14[Credit])</f>
        <v>0</v>
      </c>
      <c r="M65" s="37">
        <f t="shared" ca="1" si="8"/>
        <v>0</v>
      </c>
      <c r="N65" s="21">
        <v>10</v>
      </c>
      <c r="O65" s="21">
        <v>13</v>
      </c>
      <c r="X65" s="4" t="s">
        <v>35</v>
      </c>
      <c r="Y65" s="5">
        <v>0</v>
      </c>
      <c r="Z65" s="18">
        <v>0</v>
      </c>
    </row>
    <row r="66" spans="2:26" x14ac:dyDescent="0.25">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 ca="1">SUMIF(Table14[Party], B66, Table14[Credit])</f>
        <v>0</v>
      </c>
      <c r="M66" s="37">
        <f t="shared" ca="1" si="8"/>
        <v>0</v>
      </c>
      <c r="N66" s="21">
        <v>10</v>
      </c>
      <c r="O66" s="21">
        <v>12</v>
      </c>
      <c r="X66" s="4" t="s">
        <v>151</v>
      </c>
      <c r="Y66" s="5">
        <v>0</v>
      </c>
      <c r="Z66" s="18">
        <v>0</v>
      </c>
    </row>
    <row r="67" spans="2:26" x14ac:dyDescent="0.25">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 ca="1">SUMIF(Table14[Party], B67, Table14[Credit])</f>
        <v>0</v>
      </c>
      <c r="M67" s="37">
        <f t="shared" ca="1" si="8"/>
        <v>0</v>
      </c>
      <c r="N67" s="21">
        <v>10</v>
      </c>
      <c r="O67" s="21">
        <v>12</v>
      </c>
      <c r="X67" s="4" t="s">
        <v>27</v>
      </c>
      <c r="Y67" s="5">
        <v>0</v>
      </c>
      <c r="Z67" s="18">
        <v>0</v>
      </c>
    </row>
    <row r="68" spans="2:26" x14ac:dyDescent="0.25">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 ca="1">SUMIF(Table14[Party], B68, Table14[Credit])</f>
        <v>0</v>
      </c>
      <c r="M68" s="37">
        <f t="shared" ca="1" si="8"/>
        <v>408318.39795171918</v>
      </c>
      <c r="N68" s="21">
        <v>10</v>
      </c>
      <c r="O68" s="21">
        <v>12</v>
      </c>
      <c r="X68" s="4" t="s">
        <v>169</v>
      </c>
      <c r="Y68" s="5">
        <v>0</v>
      </c>
      <c r="Z68" s="18">
        <v>0</v>
      </c>
    </row>
    <row r="69" spans="2:26" x14ac:dyDescent="0.25">
      <c r="C69" s="22"/>
      <c r="D69" s="22"/>
      <c r="E69" s="63"/>
      <c r="F69" s="21"/>
      <c r="G69" s="22" cm="1">
        <f t="array" ref="G69">(_xlfn.BYROW(B69,_xlfn.LAMBDA(_xlpm.party,
(SUMIFS(ledger!J:J,ledger!B:B,_xlpm.party,ledger!E:E,"&lt;&gt;*RD*",ledger!D:D,"Chamki",ledger!C:C,"&lt;&gt;October Closing CF")+
SUMIFS(ledger!J:J,ledger!B:B,_xlpm.party,ledger!E:E,"&lt;&gt;*RD*",ledger!D:D,"Crinkle",ledger!C:C,"&lt;&gt;October Closing CF")
))))</f>
        <v>0</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0</v>
      </c>
      <c r="L69" s="22">
        <f ca="1">SUMIF(Table14[Party], B69, Table14[Credit])</f>
        <v>0</v>
      </c>
      <c r="M69" s="37">
        <f t="shared" ca="1" si="8"/>
        <v>0</v>
      </c>
      <c r="N69" s="21">
        <v>10</v>
      </c>
      <c r="O69" s="21">
        <v>12</v>
      </c>
      <c r="X69" s="4" t="s">
        <v>172</v>
      </c>
      <c r="Y69" s="5">
        <v>0</v>
      </c>
      <c r="Z69" s="18">
        <v>0</v>
      </c>
    </row>
    <row r="70" spans="2:26" x14ac:dyDescent="0.25">
      <c r="X70" s="4" t="s">
        <v>179</v>
      </c>
      <c r="Y70" s="5">
        <v>0</v>
      </c>
      <c r="Z70" s="18">
        <v>0</v>
      </c>
    </row>
    <row r="71" spans="2:26" x14ac:dyDescent="0.25">
      <c r="X71" s="4" t="s">
        <v>180</v>
      </c>
      <c r="Y71" s="5">
        <v>0</v>
      </c>
      <c r="Z71" s="18">
        <v>0</v>
      </c>
    </row>
    <row r="72" spans="2:26" x14ac:dyDescent="0.25">
      <c r="X72" s="4" t="s">
        <v>182</v>
      </c>
      <c r="Y72" s="5">
        <v>0</v>
      </c>
      <c r="Z72" s="18">
        <v>0</v>
      </c>
    </row>
    <row r="73" spans="2:26" x14ac:dyDescent="0.25">
      <c r="X73" s="4" t="s">
        <v>193</v>
      </c>
      <c r="Y73" s="5">
        <v>0</v>
      </c>
      <c r="Z73" s="18">
        <v>0</v>
      </c>
    </row>
    <row r="74" spans="2:26" x14ac:dyDescent="0.25">
      <c r="X74" s="4" t="s">
        <v>28</v>
      </c>
      <c r="Y74" s="14">
        <v>14893.928310168252</v>
      </c>
      <c r="Z74" s="14">
        <v>178727.13972201903</v>
      </c>
    </row>
    <row r="81" spans="2:15" x14ac:dyDescent="0.25">
      <c r="B81" t="s">
        <v>157</v>
      </c>
    </row>
    <row r="83" spans="2:15" x14ac:dyDescent="0.25">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25">
      <c r="B84" s="24" t="str" cm="1">
        <f t="array" ref="B84:B103">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25">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25">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25">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25">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25">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25">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25">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25">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25">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25">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25">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25">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25">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25">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25">
      <c r="B99" s="21" t="str">
        <v>Haseeb Shamsi</v>
      </c>
      <c r="C99" s="22">
        <f>_xlfn.XLOOKUP($B64,[1]Billing!$Q$5:$Q$29,[1]Billing!$R$5:$R$29)</f>
        <v>61975</v>
      </c>
      <c r="D99" s="22">
        <f>_xlfn.XLOOKUP($B64,[1]Billing!$Q$5:$Q$29,[1]Billing!$S$5:$S$29)</f>
        <v>56670.629114850046</v>
      </c>
      <c r="E99" s="22">
        <f>_xlfn.XLOOKUP($B64,[1]Billing!$Q$5:$Q$29,[1]Billing!$T$5:$T$29)</f>
        <v>56670.629114850046</v>
      </c>
      <c r="F99" s="22">
        <f>_xlfn.XLOOKUP($B64,[1]Billing!$Q$5:$Q$29,[1]Billing!$U$5:$U$29)</f>
        <v>0</v>
      </c>
      <c r="G99" s="22">
        <f>_xlfn.XLOOKUP($B64,[1]Billing!$Q$5:$Q$29,[1]Billing!$V$5:$V$29)</f>
        <v>566706.29114850052</v>
      </c>
      <c r="H99" s="22">
        <f>_xlfn.XLOOKUP($B64,[1]Billing!$Q$5:$Q$29,[1]Billing!$W$5:$W$29)</f>
        <v>0</v>
      </c>
      <c r="I99" s="22">
        <f>_xlfn.XLOOKUP($B64,[1]Billing!$Q$5:$Q$29,[1]Billing!$X$5:$X$29)</f>
        <v>0</v>
      </c>
      <c r="J99" s="22">
        <f>_xlfn.XLOOKUP($B64,[1]Billing!$Q$5:$Q$29,[1]Billing!$Y$5:$Y$29)</f>
        <v>0</v>
      </c>
      <c r="K99" s="39">
        <f t="shared" si="9"/>
        <v>566706.29114850052</v>
      </c>
      <c r="L99" s="22">
        <f>_xlfn.XLOOKUP($B64,[1]Billing!$Q$5:$Q$29,[1]Billing!$AA$5:$AA$29)</f>
        <v>474200</v>
      </c>
      <c r="M99" s="37">
        <f t="shared" si="10"/>
        <v>92506.291148500517</v>
      </c>
      <c r="N99" s="21">
        <v>10</v>
      </c>
      <c r="O99" s="21">
        <v>13</v>
      </c>
    </row>
    <row r="100" spans="2:15" x14ac:dyDescent="0.25">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25">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25">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25">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25">
      <c r="C104" s="22">
        <f>_xlfn.XLOOKUP($B69,[1]Billing!$Q$5:$Q$29,[1]Billing!$R$5:$R$29)</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5" zoomScale="105" workbookViewId="0">
      <selection activeCell="D8" sqref="D8"/>
    </sheetView>
  </sheetViews>
  <sheetFormatPr defaultRowHeight="15" x14ac:dyDescent="0.25"/>
  <cols>
    <col min="2" max="2" width="23.140625" customWidth="1"/>
    <col min="3" max="3" width="14.7109375" customWidth="1"/>
    <col min="4" max="4" width="16.7109375" bestFit="1" customWidth="1"/>
    <col min="5" max="5" width="20.28515625" customWidth="1"/>
    <col min="9" max="9" width="11.7109375" customWidth="1"/>
    <col min="10" max="10" width="12.85546875" customWidth="1"/>
  </cols>
  <sheetData>
    <row r="4" spans="2:10" ht="15.75" x14ac:dyDescent="0.25">
      <c r="C4" s="62"/>
      <c r="D4" s="62"/>
      <c r="I4" t="s">
        <v>34</v>
      </c>
      <c r="J4" t="str" cm="1">
        <f t="array" ref="J4:J23">_xlfn.UNIQUE(Table1[Party Name])</f>
        <v>BSC</v>
      </c>
    </row>
    <row r="5" spans="2:10" x14ac:dyDescent="0.25">
      <c r="J5" t="str">
        <v>Ejaz Sahab</v>
      </c>
    </row>
    <row r="6" spans="2:10" ht="21" x14ac:dyDescent="0.35">
      <c r="B6" s="64" t="s">
        <v>234</v>
      </c>
      <c r="J6" t="str">
        <v>Arshad</v>
      </c>
    </row>
    <row r="7" spans="2:10" ht="15.75" x14ac:dyDescent="0.25">
      <c r="B7" s="62" t="s">
        <v>36</v>
      </c>
      <c r="C7" s="62" t="s">
        <v>4</v>
      </c>
      <c r="D7" s="62" t="s">
        <v>153</v>
      </c>
      <c r="E7" s="62" t="s">
        <v>154</v>
      </c>
      <c r="J7" t="str">
        <v>Shehzad Kamoki</v>
      </c>
    </row>
    <row r="8" spans="2:10" ht="18.75" x14ac:dyDescent="0.3">
      <c r="B8" s="55" t="s">
        <v>37</v>
      </c>
      <c r="C8" s="66"/>
      <c r="D8" s="68" cm="1">
        <f t="array" ref="D8">_xlfn.XLOOKUP($B$6,_xlfn.ANCHORARRAY( Billing!Q5), INDEX(Billing!R5:R25, _xlfn.SEQUENCE(ROWS(_xlfn.ANCHORARRAY(Billing!$Q$5)))), "Not Found")</f>
        <v>2205408</v>
      </c>
      <c r="E8" s="66"/>
      <c r="J8" t="str">
        <v>Sufi Nawaz Sahab</v>
      </c>
    </row>
    <row r="9" spans="2:10" ht="18.75" x14ac:dyDescent="0.3">
      <c r="B9" s="55"/>
      <c r="C9" s="66"/>
      <c r="D9" s="66"/>
      <c r="E9" s="66"/>
      <c r="J9" t="str">
        <v>Sajad Khan</v>
      </c>
    </row>
    <row r="10" spans="2:10" ht="18.75" x14ac:dyDescent="0.3">
      <c r="B10" s="55" t="s">
        <v>38</v>
      </c>
      <c r="C10" s="66"/>
      <c r="D10" s="68" cm="1">
        <f t="array" ref="D10">_xlfn.XLOOKUP($B$6,_xlfn.ANCHORARRAY( Billing!$Q$5), INDEX(Billing!S5:S25, _xlfn.SEQUENCE(ROWS(_xlfn.ANCHORARRAY(Billing!$Q$5)))), "Not Found")</f>
        <v>2016649.5976591078</v>
      </c>
      <c r="E10" s="66"/>
      <c r="J10" t="str">
        <v>Raaz Fabrics</v>
      </c>
    </row>
    <row r="11" spans="2:10" ht="19.5" thickBot="1" x14ac:dyDescent="0.35">
      <c r="B11" s="55"/>
      <c r="C11" s="66"/>
      <c r="D11" s="66"/>
      <c r="E11" s="66"/>
      <c r="J11" t="str">
        <v>Azam</v>
      </c>
    </row>
    <row r="12" spans="2:10" ht="19.5" thickBot="1" x14ac:dyDescent="0.35">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1895402.3408924653</v>
      </c>
      <c r="E12" s="92">
        <f ca="1">Table21[[#This Row],[gazana]]*Table21[[#This Row],[Rate]]</f>
        <v>18954023.408924654</v>
      </c>
      <c r="J12" t="str">
        <v>Ubaidullah</v>
      </c>
    </row>
    <row r="13" spans="2:10" ht="18.75" x14ac:dyDescent="0.3">
      <c r="B13" s="65"/>
      <c r="C13" s="67"/>
      <c r="D13" s="67"/>
      <c r="E13" s="66"/>
      <c r="J13" t="str">
        <v>Ashraf Zia</v>
      </c>
    </row>
    <row r="14" spans="2:10" ht="18.75" x14ac:dyDescent="0.3">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121247.2567666423</v>
      </c>
      <c r="E14" s="66">
        <f ca="1">Table21[[#This Row],[gazana]]*Table21[[#This Row],[Rate]]</f>
        <v>1454967.0811997075</v>
      </c>
      <c r="J14" t="str">
        <v>Hafiz Qureshi</v>
      </c>
    </row>
    <row r="15" spans="2:10" ht="19.5" thickBot="1" x14ac:dyDescent="0.35">
      <c r="B15" s="65"/>
      <c r="C15" s="67"/>
      <c r="D15" s="67"/>
      <c r="E15" s="66"/>
      <c r="J15" t="str">
        <v>Badshah Fabrics</v>
      </c>
    </row>
    <row r="16" spans="2:10" ht="19.5" thickBot="1" x14ac:dyDescent="0.35">
      <c r="B16" s="55" t="s">
        <v>41</v>
      </c>
      <c r="C16" s="66"/>
      <c r="D16" s="91"/>
      <c r="E16" s="93">
        <f ca="1">E12+E14</f>
        <v>20408990.49012436</v>
      </c>
      <c r="J16" t="str">
        <v>Reject</v>
      </c>
    </row>
    <row r="17" spans="2:10" ht="19.5" thickBot="1" x14ac:dyDescent="0.35">
      <c r="B17" s="65"/>
      <c r="C17" s="67"/>
      <c r="D17" s="69"/>
      <c r="E17" s="66"/>
      <c r="J17" t="str">
        <v>Amjad 7up</v>
      </c>
    </row>
    <row r="18" spans="2:10" ht="19.5" thickBot="1" x14ac:dyDescent="0.35">
      <c r="B18" s="55" t="s">
        <v>42</v>
      </c>
      <c r="C18" s="66"/>
      <c r="D18" s="91"/>
      <c r="E18" s="93" cm="1">
        <f t="array" aca="1" ref="E18" ca="1">_xlfn.XLOOKUP($B$6,_xlfn.ANCHORARRAY( Billing!Q5), OFFSET(Billing!AA5, 0, 0, ROWS(_xlfn.ANCHORARRAY(Billing!Q5))), "Not Found")</f>
        <v>18411676</v>
      </c>
      <c r="J18" t="str">
        <v>Hazrat Khan</v>
      </c>
    </row>
    <row r="19" spans="2:10" ht="19.5" thickBot="1" x14ac:dyDescent="0.35">
      <c r="B19" s="55"/>
      <c r="C19" s="66"/>
      <c r="D19" s="68"/>
      <c r="E19" s="66"/>
      <c r="J19" t="str">
        <v>Haseeb Shamsi</v>
      </c>
    </row>
    <row r="20" spans="2:10" ht="19.5" thickBot="1" x14ac:dyDescent="0.35">
      <c r="B20" s="55" t="s">
        <v>43</v>
      </c>
      <c r="C20" s="66"/>
      <c r="D20" s="91"/>
      <c r="E20" s="104" cm="1">
        <f t="array" aca="1" ref="E20" ca="1">_xlfn.XLOOKUP($B$6,_xlfn.ANCHORARRAY( Billing!Q5), OFFSET(Billing!AB5, 0, 0, ROWS(_xlfn.ANCHORARRAY(Billing!Q5))), "Not Found")</f>
        <v>2030205.8580834009</v>
      </c>
      <c r="J20" t="str">
        <v>Faizan</v>
      </c>
    </row>
    <row r="21" spans="2:10" x14ac:dyDescent="0.25">
      <c r="J21" t="str">
        <v>Shafique Ansari</v>
      </c>
    </row>
    <row r="22" spans="2:10" x14ac:dyDescent="0.25">
      <c r="J22" t="str">
        <v>Amjad sohail</v>
      </c>
    </row>
    <row r="23" spans="2:10" x14ac:dyDescent="0.25">
      <c r="J23" t="str">
        <v>Salman Zaffar</v>
      </c>
    </row>
  </sheetData>
  <conditionalFormatting sqref="E20">
    <cfRule type="cellIs" dxfId="3" priority="1" operator="lessThan">
      <formula>20000</formula>
    </cfRule>
    <cfRule type="cellIs" dxfId="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5" x14ac:dyDescent="0.25"/>
  <cols>
    <col min="2" max="2" width="12.5703125" customWidth="1"/>
    <col min="3" max="3" width="14.5703125" customWidth="1"/>
    <col min="4" max="4" width="28.7109375" customWidth="1"/>
    <col min="5" max="5" width="23.28515625" customWidth="1"/>
    <col min="7" max="7" width="14.7109375" bestFit="1" customWidth="1"/>
    <col min="8" max="8" width="12.28515625" bestFit="1" customWidth="1"/>
    <col min="9" max="9" width="13.5703125" bestFit="1" customWidth="1"/>
    <col min="10" max="11" width="7.85546875" bestFit="1" customWidth="1"/>
    <col min="12" max="12" width="1.7109375" bestFit="1" customWidth="1"/>
    <col min="13" max="13" width="10.28515625" bestFit="1" customWidth="1"/>
    <col min="14" max="14" width="5.7109375" bestFit="1" customWidth="1"/>
    <col min="15" max="15" width="10.28515625" bestFit="1" customWidth="1"/>
    <col min="16" max="16" width="5" bestFit="1" customWidth="1"/>
    <col min="17" max="19" width="6" bestFit="1" customWidth="1"/>
    <col min="20" max="21" width="7" bestFit="1" customWidth="1"/>
    <col min="22" max="22" width="1.7109375" bestFit="1" customWidth="1"/>
    <col min="23" max="23" width="10.28515625" bestFit="1" customWidth="1"/>
  </cols>
  <sheetData>
    <row r="1" spans="1:4" ht="26.25" x14ac:dyDescent="0.4">
      <c r="A1" s="6"/>
      <c r="B1" s="7" t="s">
        <v>44</v>
      </c>
    </row>
    <row r="3" spans="1:4" x14ac:dyDescent="0.25">
      <c r="B3" t="s">
        <v>45</v>
      </c>
      <c r="C3" t="s">
        <v>46</v>
      </c>
      <c r="D3" t="s">
        <v>36</v>
      </c>
    </row>
    <row r="4" spans="1:4" x14ac:dyDescent="0.25">
      <c r="B4" t="s">
        <v>47</v>
      </c>
      <c r="C4" s="11">
        <f>Wood!K6+(700*810)</f>
        <v>567000</v>
      </c>
      <c r="D4" t="s">
        <v>203</v>
      </c>
    </row>
    <row r="5" spans="1:4" x14ac:dyDescent="0.25">
      <c r="B5" t="s">
        <v>48</v>
      </c>
      <c r="C5" s="11">
        <f>SUM(Table8[Price])+Table2325[[#Totals],[total]]</f>
        <v>280870</v>
      </c>
    </row>
    <row r="6" spans="1:4" x14ac:dyDescent="0.25">
      <c r="B6" t="s">
        <v>49</v>
      </c>
      <c r="C6" s="11">
        <f>SUM(Table2[Price])+Finish!J30</f>
        <v>516250</v>
      </c>
      <c r="D6" t="s">
        <v>204</v>
      </c>
    </row>
    <row r="7" spans="1:4" x14ac:dyDescent="0.25">
      <c r="B7" t="s">
        <v>50</v>
      </c>
      <c r="C7" s="11">
        <f>SUMIFS(Table14[Debit], Table14[Party],Table12[[#This Row],[Type]])</f>
        <v>0</v>
      </c>
    </row>
    <row r="8" spans="1:4" x14ac:dyDescent="0.25">
      <c r="B8" t="s">
        <v>51</v>
      </c>
      <c r="C8" s="11">
        <f>Electricity!E3</f>
        <v>0</v>
      </c>
    </row>
    <row r="9" spans="1:4" x14ac:dyDescent="0.25">
      <c r="B9" t="s">
        <v>52</v>
      </c>
      <c r="C9" s="11">
        <f>Table11[[#Totals],[Amount]]+'Salary Acc'!I36</f>
        <v>0</v>
      </c>
    </row>
    <row r="10" spans="1:4" x14ac:dyDescent="0.25">
      <c r="B10" t="s">
        <v>53</v>
      </c>
      <c r="C10" s="11">
        <f>Table5[[#Totals],[Amount]]</f>
        <v>0</v>
      </c>
    </row>
    <row r="11" spans="1:4" x14ac:dyDescent="0.25">
      <c r="B11" t="s">
        <v>54</v>
      </c>
      <c r="C11" s="11">
        <f>Table13[[#Totals],[Debit]]</f>
        <v>0</v>
      </c>
    </row>
    <row r="12" spans="1:4" x14ac:dyDescent="0.25">
      <c r="B12" t="s">
        <v>55</v>
      </c>
      <c r="C12" s="11">
        <f>Table15[[#Totals],[Amount]]</f>
        <v>0</v>
      </c>
    </row>
    <row r="13" spans="1:4" x14ac:dyDescent="0.25">
      <c r="C13" s="11"/>
    </row>
    <row r="14" spans="1:4" x14ac:dyDescent="0.25">
      <c r="C14" s="14">
        <f>SUM(Table12[Amount])</f>
        <v>1364120</v>
      </c>
    </row>
    <row r="17" spans="2:4" x14ac:dyDescent="0.25">
      <c r="B17" t="s">
        <v>56</v>
      </c>
    </row>
    <row r="18" spans="2:4" x14ac:dyDescent="0.25">
      <c r="B18" t="s">
        <v>57</v>
      </c>
      <c r="C18" t="s">
        <v>58</v>
      </c>
      <c r="D18" t="s">
        <v>59</v>
      </c>
    </row>
    <row r="19" spans="2:4" x14ac:dyDescent="0.25">
      <c r="B19" t="s">
        <v>47</v>
      </c>
      <c r="C19">
        <f>388+236+100+288</f>
        <v>1012</v>
      </c>
      <c r="D19" t="s">
        <v>60</v>
      </c>
    </row>
    <row r="20" spans="2:4" x14ac:dyDescent="0.25">
      <c r="B20" t="s">
        <v>61</v>
      </c>
      <c r="C20">
        <v>100</v>
      </c>
      <c r="D20" t="s">
        <v>62</v>
      </c>
    </row>
    <row r="21" spans="2:4" x14ac:dyDescent="0.25">
      <c r="B21" t="s">
        <v>63</v>
      </c>
      <c r="C21">
        <v>75</v>
      </c>
      <c r="D21" t="s">
        <v>62</v>
      </c>
    </row>
    <row r="22" spans="2:4" x14ac:dyDescent="0.25">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5" x14ac:dyDescent="0.25"/>
  <cols>
    <col min="2" max="2" width="11.7109375" customWidth="1"/>
    <col min="3" max="3" width="13" bestFit="1" customWidth="1"/>
    <col min="6" max="6" width="11.140625" customWidth="1"/>
    <col min="8" max="8" width="10.28515625" bestFit="1" customWidth="1"/>
  </cols>
  <sheetData>
    <row r="2" spans="1:3" x14ac:dyDescent="0.25">
      <c r="B2" s="11" t="s">
        <v>66</v>
      </c>
      <c r="C2" s="11" t="s">
        <v>67</v>
      </c>
    </row>
    <row r="3" spans="1:3" x14ac:dyDescent="0.25">
      <c r="B3" s="11" t="s">
        <v>0</v>
      </c>
      <c r="C3" s="11">
        <f ca="1">Billing!C23 + SUMIFS(Table14[Credit], Table14[Party], "Transport")</f>
        <v>601939.46598390653</v>
      </c>
    </row>
    <row r="4" spans="1:3" x14ac:dyDescent="0.25">
      <c r="B4" s="11" t="s">
        <v>44</v>
      </c>
      <c r="C4" s="11">
        <f>Table12[[#Totals],[Amount]]</f>
        <v>1364120</v>
      </c>
    </row>
    <row r="5" spans="1:3" x14ac:dyDescent="0.25">
      <c r="A5" s="6"/>
      <c r="B5" s="15" t="s">
        <v>68</v>
      </c>
      <c r="C5" s="15">
        <f ca="1">C3-C4</f>
        <v>-762180.53401609347</v>
      </c>
    </row>
    <row r="10" spans="1:3" ht="15.75" thickBot="1" x14ac:dyDescent="0.3">
      <c r="B10" t="s">
        <v>66</v>
      </c>
      <c r="C10" s="14" t="s">
        <v>67</v>
      </c>
    </row>
    <row r="11" spans="1:3" x14ac:dyDescent="0.25">
      <c r="B11" s="56" t="s">
        <v>0</v>
      </c>
      <c r="C11" s="57">
        <f ca="1">C3</f>
        <v>601939.46598390653</v>
      </c>
    </row>
    <row r="12" spans="1:3" x14ac:dyDescent="0.25">
      <c r="B12" s="58" t="s">
        <v>69</v>
      </c>
      <c r="C12" s="59">
        <f ca="1">SUM(Table14[Credit])</f>
        <v>107352</v>
      </c>
    </row>
    <row r="13" spans="1:3" ht="15.75" thickBot="1" x14ac:dyDescent="0.3">
      <c r="B13" s="74" t="s">
        <v>96</v>
      </c>
      <c r="C13" s="73">
        <f ca="1">(C11-C12)</f>
        <v>494587.46598390653</v>
      </c>
    </row>
    <row r="14" spans="1:3" ht="15.75" thickBot="1" x14ac:dyDescent="0.3">
      <c r="B14" s="58"/>
      <c r="C14" s="59"/>
    </row>
    <row r="15" spans="1:3" x14ac:dyDescent="0.25">
      <c r="B15" s="56" t="s">
        <v>44</v>
      </c>
      <c r="C15" s="57">
        <f>C4</f>
        <v>1364120</v>
      </c>
    </row>
    <row r="16" spans="1:3" x14ac:dyDescent="0.25">
      <c r="B16" s="58" t="s">
        <v>70</v>
      </c>
      <c r="C16" s="59">
        <f>SUM(Table14[Debit])</f>
        <v>800</v>
      </c>
    </row>
    <row r="17" spans="2:6" ht="15.75" thickBot="1" x14ac:dyDescent="0.3">
      <c r="B17" s="74" t="s">
        <v>71</v>
      </c>
      <c r="C17" s="73">
        <f>C15-C16</f>
        <v>1363320</v>
      </c>
    </row>
    <row r="18" spans="2:6" ht="15.75" thickBot="1" x14ac:dyDescent="0.3">
      <c r="B18" s="58"/>
      <c r="C18" s="59"/>
    </row>
    <row r="19" spans="2:6" ht="15.75" thickBot="1" x14ac:dyDescent="0.3">
      <c r="B19" s="75" t="s">
        <v>72</v>
      </c>
      <c r="C19" s="76">
        <f ca="1">Table18[[#Totals],[amount]]</f>
        <v>106552</v>
      </c>
    </row>
    <row r="20" spans="2:6" ht="15.75" thickBot="1" x14ac:dyDescent="0.3">
      <c r="B20" s="71"/>
      <c r="C20" s="72"/>
    </row>
    <row r="21" spans="2:6" ht="15.75" thickBot="1" x14ac:dyDescent="0.3">
      <c r="B21" s="60" t="s">
        <v>73</v>
      </c>
      <c r="C21" s="61">
        <f ca="1">(C13-C17)+C19</f>
        <v>-762180.53401609347</v>
      </c>
      <c r="E21" s="79" t="s">
        <v>74</v>
      </c>
      <c r="F21" s="80">
        <f ca="1">C5*0.05</f>
        <v>-38109.026700804672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5" x14ac:dyDescent="0.25"/>
  <cols>
    <col min="2" max="2" width="10.28515625" bestFit="1" customWidth="1"/>
    <col min="4" max="4" width="9.28515625" customWidth="1"/>
  </cols>
  <sheetData>
    <row r="2" spans="2:6" x14ac:dyDescent="0.25">
      <c r="B2" t="s">
        <v>75</v>
      </c>
      <c r="C2" t="s">
        <v>45</v>
      </c>
      <c r="D2" t="s">
        <v>70</v>
      </c>
      <c r="E2" t="s">
        <v>69</v>
      </c>
      <c r="F2" t="s">
        <v>76</v>
      </c>
    </row>
    <row r="3" spans="2:6" x14ac:dyDescent="0.25">
      <c r="B3" s="1">
        <v>45946</v>
      </c>
      <c r="D3">
        <f>SUMIFS(Table14[Debit], Table14[Date], Table13[[#This Row],[Date]], Table14[Party], "Transport")</f>
        <v>0</v>
      </c>
      <c r="E3">
        <f ca="1">SUMIFS(Table14[Credit], Table14[Date], Table13[[#This Row],[Date]], Table14[Party], "Transport")</f>
        <v>0</v>
      </c>
    </row>
    <row r="4" spans="2:6" x14ac:dyDescent="0.25">
      <c r="B4" s="1">
        <v>45947</v>
      </c>
      <c r="D4">
        <f>SUMIFS(Table14[Debit], Table14[Date], Table13[[#This Row],[Date]], Table14[Party], "Transport")</f>
        <v>0</v>
      </c>
      <c r="E4">
        <f ca="1">SUMIFS(Table14[Credit], Table14[Date], Table13[[#This Row],[Date]], Table14[Party], "Transport")</f>
        <v>0</v>
      </c>
    </row>
    <row r="5" spans="2:6" x14ac:dyDescent="0.25">
      <c r="B5" s="1">
        <v>45948</v>
      </c>
      <c r="D5">
        <f>SUMIFS(Table14[Debit], Table14[Date], Table13[[#This Row],[Date]], Table14[Party], "Transport")</f>
        <v>0</v>
      </c>
      <c r="E5">
        <f ca="1">SUMIFS(Table14[Credit], Table14[Date], Table13[[#This Row],[Date]], Table14[Party], "Transport")</f>
        <v>0</v>
      </c>
    </row>
    <row r="6" spans="2:6" x14ac:dyDescent="0.25">
      <c r="B6" s="1">
        <v>45949</v>
      </c>
      <c r="D6">
        <f>SUMIFS(Table14[Debit], Table14[Date], Table13[[#This Row],[Date]], Table14[Party], "Transport")</f>
        <v>0</v>
      </c>
      <c r="E6">
        <f ca="1">SUMIFS(Table14[Credit], Table14[Date], Table13[[#This Row],[Date]], Table14[Party], "Transport")</f>
        <v>0</v>
      </c>
    </row>
    <row r="7" spans="2:6" x14ac:dyDescent="0.25">
      <c r="B7" s="1">
        <v>45950</v>
      </c>
      <c r="D7">
        <f>SUMIFS(Table14[Debit], Table14[Date], Table13[[#This Row],[Date]], Table14[Party], "Transport")</f>
        <v>0</v>
      </c>
      <c r="E7">
        <f ca="1">SUMIFS(Table14[Credit], Table14[Date], Table13[[#This Row],[Date]], Table14[Party], "Transport")</f>
        <v>0</v>
      </c>
    </row>
    <row r="8" spans="2:6" x14ac:dyDescent="0.25">
      <c r="B8" s="1">
        <v>45951</v>
      </c>
      <c r="D8">
        <f>SUMIFS(Table14[Debit], Table14[Date], Table13[[#This Row],[Date]], Table14[Party], "Transport")</f>
        <v>0</v>
      </c>
      <c r="E8">
        <f ca="1">SUMIFS(Table14[Credit], Table14[Date], Table13[[#This Row],[Date]], Table14[Party], "Transport")</f>
        <v>0</v>
      </c>
    </row>
    <row r="9" spans="2:6" x14ac:dyDescent="0.25">
      <c r="B9" s="1">
        <v>45952</v>
      </c>
      <c r="D9">
        <f>SUMIFS(Table14[Debit], Table14[Date], Table13[[#This Row],[Date]], Table14[Party], "Transport")</f>
        <v>0</v>
      </c>
      <c r="E9">
        <f ca="1">SUMIFS(Table14[Credit], Table14[Date], Table13[[#This Row],[Date]], Table14[Party], "Transport")</f>
        <v>0</v>
      </c>
    </row>
    <row r="10" spans="2:6" x14ac:dyDescent="0.25">
      <c r="B10" s="1">
        <v>45953</v>
      </c>
      <c r="D10">
        <f>SUMIFS(Table14[Debit], Table14[Date], Table13[[#This Row],[Date]], Table14[Party], "Transport")</f>
        <v>0</v>
      </c>
      <c r="E10">
        <f ca="1">SUMIFS(Table14[Credit], Table14[Date], Table13[[#This Row],[Date]], Table14[Party], "Transport")</f>
        <v>0</v>
      </c>
    </row>
    <row r="11" spans="2:6" x14ac:dyDescent="0.25">
      <c r="B11" s="1">
        <v>45954</v>
      </c>
      <c r="D11">
        <f>SUMIFS(Table14[Debit], Table14[Date], Table13[[#This Row],[Date]], Table14[Party], "Transport")</f>
        <v>0</v>
      </c>
      <c r="E11">
        <f ca="1">SUMIFS(Table14[Credit], Table14[Date], Table13[[#This Row],[Date]], Table14[Party], "Transport")</f>
        <v>0</v>
      </c>
    </row>
    <row r="12" spans="2:6" x14ac:dyDescent="0.25">
      <c r="B12" s="1">
        <v>45955</v>
      </c>
      <c r="D12">
        <f>SUMIFS(Table14[Debit], Table14[Date], Table13[[#This Row],[Date]], Table14[Party], "Transport")</f>
        <v>0</v>
      </c>
      <c r="E12">
        <f ca="1">SUMIFS(Table14[Credit], Table14[Date], Table13[[#This Row],[Date]], Table14[Party], "Transport")</f>
        <v>0</v>
      </c>
    </row>
    <row r="13" spans="2:6" x14ac:dyDescent="0.25">
      <c r="B13" s="1">
        <v>45956</v>
      </c>
      <c r="D13">
        <f>SUMIFS(Table14[Debit], Table14[Date], Table13[[#This Row],[Date]], Table14[Party], "Transport")</f>
        <v>0</v>
      </c>
      <c r="E13">
        <f ca="1">SUMIFS(Table14[Credit], Table14[Date], Table13[[#This Row],[Date]], Table14[Party], "Transport")</f>
        <v>0</v>
      </c>
    </row>
    <row r="14" spans="2:6" x14ac:dyDescent="0.25">
      <c r="B14" s="1">
        <v>45957</v>
      </c>
      <c r="D14">
        <f>SUMIFS(Table14[Debit], Table14[Date], Table13[[#This Row],[Date]], Table14[Party], "Transport")</f>
        <v>0</v>
      </c>
      <c r="E14">
        <f ca="1">SUMIFS(Table14[Credit], Table14[Date], Table13[[#This Row],[Date]], Table14[Party], "Transport")</f>
        <v>0</v>
      </c>
    </row>
    <row r="15" spans="2:6" x14ac:dyDescent="0.25">
      <c r="B15" s="1">
        <v>45958</v>
      </c>
      <c r="D15">
        <f>SUMIFS(Table14[Debit], Table14[Date], Table13[[#This Row],[Date]], Table14[Party], "Transport")</f>
        <v>0</v>
      </c>
      <c r="E15">
        <f ca="1">SUMIFS(Table14[Credit], Table14[Date], Table13[[#This Row],[Date]], Table14[Party], "Transport")</f>
        <v>0</v>
      </c>
    </row>
    <row r="16" spans="2:6" x14ac:dyDescent="0.25">
      <c r="B16" s="1">
        <v>45959</v>
      </c>
      <c r="D16">
        <f>SUMIFS(Table14[Debit], Table14[Date], Table13[[#This Row],[Date]], Table14[Party], "Transport")</f>
        <v>0</v>
      </c>
      <c r="E16">
        <f ca="1">SUMIFS(Table14[Credit], Table14[Date], Table13[[#This Row],[Date]], Table14[Party], "Transport")</f>
        <v>0</v>
      </c>
    </row>
    <row r="17" spans="2:5" x14ac:dyDescent="0.25">
      <c r="B17" s="1">
        <v>45960</v>
      </c>
      <c r="D17">
        <f>SUMIFS(Table14[Debit], Table14[Date], Table13[[#This Row],[Date]], Table14[Party], "Transport")</f>
        <v>0</v>
      </c>
      <c r="E17">
        <f ca="1">SUMIFS(Table14[Credit], Table14[Date], Table13[[#This Row],[Date]], Table14[Party], "Transport")</f>
        <v>0</v>
      </c>
    </row>
    <row r="18" spans="2:5" x14ac:dyDescent="0.25">
      <c r="B18" s="1">
        <v>45961</v>
      </c>
      <c r="D18">
        <f>SUMIFS(Table14[Debit], Table14[Date], Table13[[#This Row],[Date]], Table14[Party], "Transport")</f>
        <v>0</v>
      </c>
      <c r="E18">
        <f ca="1">SUMIFS(Table14[Credit], Table14[Date], Table13[[#This Row],[Date]], Table14[Party], "Transport")</f>
        <v>0</v>
      </c>
    </row>
    <row r="19" spans="2:5" x14ac:dyDescent="0.25">
      <c r="B19" s="1">
        <v>45962</v>
      </c>
      <c r="D19">
        <f>SUMIFS(Table14[Debit], Table14[Date], Table13[[#This Row],[Date]], Table14[Party], "Transport")</f>
        <v>0</v>
      </c>
      <c r="E19">
        <f ca="1">SUMIFS(Table14[Credit], Table14[Date], Table13[[#This Row],[Date]], Table14[Party], "Transport")</f>
        <v>0</v>
      </c>
    </row>
    <row r="20" spans="2:5" x14ac:dyDescent="0.25">
      <c r="B20" s="1">
        <v>45963</v>
      </c>
      <c r="D20">
        <f>SUMIFS(Table14[Debit], Table14[Date], Table13[[#This Row],[Date]], Table14[Party], "Transport")</f>
        <v>0</v>
      </c>
      <c r="E20">
        <f ca="1">SUMIFS(Table14[Credit], Table14[Date], Table13[[#This Row],[Date]], Table14[Party], "Transport")</f>
        <v>0</v>
      </c>
    </row>
    <row r="21" spans="2:5" x14ac:dyDescent="0.25">
      <c r="B21" s="1">
        <v>45964</v>
      </c>
      <c r="D21">
        <f>SUMIFS(Table14[Debit], Table14[Date], Table13[[#This Row],[Date]], Table14[Party], "Transport")</f>
        <v>0</v>
      </c>
      <c r="E21">
        <f ca="1">SUMIFS(Table14[Credit], Table14[Date], Table13[[#This Row],[Date]], Table14[Party], "Transport")</f>
        <v>0</v>
      </c>
    </row>
    <row r="22" spans="2:5" x14ac:dyDescent="0.25">
      <c r="B22" s="1">
        <v>45965</v>
      </c>
      <c r="D22">
        <f>SUMIFS(Table14[Debit], Table14[Date], Table13[[#This Row],[Date]], Table14[Party], "Transport")</f>
        <v>0</v>
      </c>
      <c r="E22">
        <f ca="1">SUMIFS(Table14[Credit], Table14[Date], Table13[[#This Row],[Date]], Table14[Party], "Transport")</f>
        <v>0</v>
      </c>
    </row>
    <row r="23" spans="2:5" x14ac:dyDescent="0.25">
      <c r="B23" s="1">
        <v>45966</v>
      </c>
      <c r="D23">
        <f>SUMIFS(Table14[Debit], Table14[Date], Table13[[#This Row],[Date]], Table14[Party], "Transport")</f>
        <v>0</v>
      </c>
      <c r="E23">
        <f ca="1">SUMIFS(Table14[Credit], Table14[Date], Table13[[#This Row],[Date]], Table14[Party], "Transport")</f>
        <v>0</v>
      </c>
    </row>
    <row r="24" spans="2:5" x14ac:dyDescent="0.25">
      <c r="B24" s="1">
        <v>45967</v>
      </c>
      <c r="D24">
        <f>SUMIFS(Table14[Debit], Table14[Date], Table13[[#This Row],[Date]], Table14[Party], "Transport")</f>
        <v>0</v>
      </c>
      <c r="E24">
        <f ca="1">SUMIFS(Table14[Credit], Table14[Date], Table13[[#This Row],[Date]], Table14[Party], "Transport")</f>
        <v>0</v>
      </c>
    </row>
    <row r="25" spans="2:5" x14ac:dyDescent="0.25">
      <c r="B25" s="1">
        <v>45968</v>
      </c>
      <c r="D25">
        <f>SUMIFS(Table14[Debit], Table14[Date], Table13[[#This Row],[Date]], Table14[Party], "Transport")</f>
        <v>0</v>
      </c>
      <c r="E25">
        <f ca="1">SUMIFS(Table14[Credit], Table14[Date], Table13[[#This Row],[Date]], Table14[Party], "Transport")</f>
        <v>0</v>
      </c>
    </row>
    <row r="26" spans="2:5" x14ac:dyDescent="0.25">
      <c r="B26" s="1">
        <v>45969</v>
      </c>
      <c r="D26">
        <f>SUMIFS(Table14[Debit], Table14[Date], Table13[[#This Row],[Date]], Table14[Party], "Transport")</f>
        <v>0</v>
      </c>
      <c r="E26">
        <f ca="1">SUMIFS(Table14[Credit], Table14[Date], Table13[[#This Row],[Date]], Table14[Party], "Transport")</f>
        <v>0</v>
      </c>
    </row>
    <row r="27" spans="2:5" x14ac:dyDescent="0.25">
      <c r="B27" s="1">
        <v>45970</v>
      </c>
      <c r="D27">
        <f>SUMIFS(Table14[Debit], Table14[Date], Table13[[#This Row],[Date]], Table14[Party], "Transport")</f>
        <v>0</v>
      </c>
      <c r="E27">
        <f ca="1">SUMIFS(Table14[Credit], Table14[Date], Table13[[#This Row],[Date]], Table14[Party], "Transport")</f>
        <v>0</v>
      </c>
    </row>
    <row r="28" spans="2:5" x14ac:dyDescent="0.25">
      <c r="B28" s="1">
        <v>45971</v>
      </c>
      <c r="D28">
        <f>SUMIFS(Table14[Debit], Table14[Date], Table13[[#This Row],[Date]], Table14[Party], "Transport")</f>
        <v>0</v>
      </c>
      <c r="E28">
        <f ca="1">SUMIFS(Table14[Credit], Table14[Date], Table13[[#This Row],[Date]], Table14[Party], "Transport")</f>
        <v>0</v>
      </c>
    </row>
    <row r="29" spans="2:5" x14ac:dyDescent="0.25">
      <c r="B29" s="1">
        <v>45972</v>
      </c>
      <c r="D29">
        <f>SUMIFS(Table14[Debit], Table14[Date], Table13[[#This Row],[Date]], Table14[Party], "Transport")</f>
        <v>0</v>
      </c>
      <c r="E29">
        <f ca="1">SUMIFS(Table14[Credit], Table14[Date], Table13[[#This Row],[Date]], Table14[Party], "Transport")</f>
        <v>0</v>
      </c>
    </row>
    <row r="30" spans="2:5" x14ac:dyDescent="0.25">
      <c r="B30" s="1">
        <v>45973</v>
      </c>
      <c r="D30">
        <f>SUMIFS(Table14[Debit], Table14[Date], Table13[[#This Row],[Date]], Table14[Party], "Transport")</f>
        <v>0</v>
      </c>
      <c r="E30">
        <f ca="1">SUMIFS(Table14[Credit], Table14[Date], Table13[[#This Row],[Date]], Table14[Party], "Transport")</f>
        <v>0</v>
      </c>
    </row>
    <row r="31" spans="2:5" x14ac:dyDescent="0.25">
      <c r="B31" s="1">
        <v>45974</v>
      </c>
      <c r="D31">
        <f>SUMIFS(Table14[Debit], Table14[Date], Table13[[#This Row],[Date]], Table14[Party], "Transport")</f>
        <v>0</v>
      </c>
      <c r="E31">
        <f ca="1">SUMIFS(Table14[Credit], Table14[Date], Table13[[#This Row],[Date]], Table14[Party], "Transport")</f>
        <v>0</v>
      </c>
    </row>
    <row r="32" spans="2:5" x14ac:dyDescent="0.25">
      <c r="B32" s="1">
        <v>45975</v>
      </c>
      <c r="D32">
        <f>SUMIFS(Table14[Debit], Table14[Date], Table13[[#This Row],[Date]], Table14[Party], "Transport")</f>
        <v>0</v>
      </c>
      <c r="E32">
        <f ca="1">SUMIFS(Table14[Credit], Table14[Date], Table13[[#This Row],[Date]], Table14[Party], "Transport")</f>
        <v>0</v>
      </c>
    </row>
    <row r="33" spans="2:6" x14ac:dyDescent="0.25">
      <c r="B33" s="1">
        <v>45976</v>
      </c>
      <c r="D33">
        <f>SUMIFS(Table14[Debit], Table14[Date], Table13[[#This Row],[Date]], Table14[Party], "Transport")</f>
        <v>0</v>
      </c>
      <c r="E33">
        <f ca="1">SUMIFS(Table14[Credit], Table14[Date], Table13[[#This Row],[Date]], Table14[Party], "Transport")</f>
        <v>0</v>
      </c>
    </row>
    <row r="34" spans="2:6" x14ac:dyDescent="0.25">
      <c r="B34" s="1">
        <v>45977</v>
      </c>
      <c r="D34">
        <f>SUMIFS(Table14[Debit], Table14[Date], Table13[[#This Row],[Date]], Table14[Party], "Transport")</f>
        <v>0</v>
      </c>
      <c r="E34">
        <f ca="1">SUMIFS(Table14[Credit], Table14[Date], Table13[[#This Row],[Date]], Table14[Party], "Transport")</f>
        <v>0</v>
      </c>
    </row>
    <row r="35" spans="2:6" x14ac:dyDescent="0.25">
      <c r="B35" s="1"/>
      <c r="D35">
        <f>SUBTOTAL(109,Table13[Debit])</f>
        <v>0</v>
      </c>
      <c r="E35">
        <f ca="1">SUBTOTAL(109,Table13[Credit])</f>
        <v>0</v>
      </c>
      <c r="F35">
        <f ca="1">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opLeftCell="A82" zoomScale="90" zoomScaleNormal="90" workbookViewId="0">
      <selection activeCell="C100" sqref="C100"/>
    </sheetView>
  </sheetViews>
  <sheetFormatPr defaultColWidth="8.85546875" defaultRowHeight="15" x14ac:dyDescent="0.25"/>
  <cols>
    <col min="1" max="1" width="16.5703125" style="10" bestFit="1" customWidth="1"/>
    <col min="2" max="2" width="16.140625" style="10" bestFit="1" customWidth="1"/>
    <col min="3" max="3" width="20.7109375" style="10" customWidth="1"/>
    <col min="4" max="4" width="19.28515625" style="10" bestFit="1" customWidth="1"/>
    <col min="5" max="5" width="16.7109375" style="10" bestFit="1" customWidth="1"/>
    <col min="6" max="6" width="19.140625" style="10" bestFit="1" customWidth="1"/>
    <col min="7" max="7" width="13.42578125" style="10" bestFit="1" customWidth="1"/>
    <col min="8" max="8" width="18" style="10" bestFit="1" customWidth="1"/>
    <col min="9" max="9" width="13.42578125" style="10" customWidth="1"/>
    <col min="10" max="10" width="19.140625" style="10" bestFit="1" customWidth="1"/>
    <col min="11" max="11" width="13.42578125" style="10" bestFit="1" customWidth="1"/>
    <col min="12" max="12" width="15.5703125" style="10" bestFit="1" customWidth="1"/>
    <col min="13" max="13" width="15.85546875" style="10" bestFit="1" customWidth="1"/>
    <col min="14" max="15" width="15.5703125" style="10" bestFit="1" customWidth="1"/>
    <col min="16" max="16" width="16.5703125" style="10" bestFit="1" customWidth="1"/>
    <col min="17" max="17" width="16.140625" style="10" bestFit="1" customWidth="1"/>
    <col min="18" max="18" width="18" style="10" bestFit="1" customWidth="1"/>
    <col min="19" max="19" width="12.7109375" style="10" bestFit="1" customWidth="1"/>
    <col min="20" max="20" width="17.42578125" style="10" bestFit="1" customWidth="1"/>
    <col min="21" max="21" width="13" style="10" bestFit="1" customWidth="1"/>
    <col min="22" max="22" width="18" style="10" bestFit="1" customWidth="1"/>
    <col min="23" max="23" width="12.7109375" style="10" bestFit="1" customWidth="1"/>
    <col min="24" max="25" width="17.28515625" style="10" bestFit="1" customWidth="1"/>
    <col min="26" max="26" width="20.85546875" style="10" bestFit="1" customWidth="1"/>
    <col min="27" max="27" width="20.28515625" style="10" bestFit="1" customWidth="1"/>
    <col min="28" max="28" width="21.7109375" style="10" bestFit="1" customWidth="1"/>
    <col min="29" max="16384" width="8.85546875" style="10"/>
  </cols>
  <sheetData>
    <row r="1" spans="1:28" x14ac:dyDescent="0.25">
      <c r="A1" s="114" t="s">
        <v>75</v>
      </c>
      <c r="B1" s="114" t="s">
        <v>2</v>
      </c>
      <c r="C1" s="114" t="s">
        <v>77</v>
      </c>
      <c r="D1" s="114" t="s">
        <v>78</v>
      </c>
      <c r="E1" s="114" t="s">
        <v>79</v>
      </c>
      <c r="F1" s="114" t="s">
        <v>80</v>
      </c>
      <c r="G1" s="114" t="s">
        <v>81</v>
      </c>
      <c r="H1" s="27" t="s">
        <v>82</v>
      </c>
      <c r="I1" s="27" t="s">
        <v>83</v>
      </c>
      <c r="J1" s="27" t="s">
        <v>84</v>
      </c>
      <c r="K1" s="27" t="s">
        <v>41</v>
      </c>
    </row>
    <row r="2" spans="1:28" x14ac:dyDescent="0.25">
      <c r="A2" s="115">
        <v>45979</v>
      </c>
      <c r="B2" s="24" t="s">
        <v>21</v>
      </c>
      <c r="C2" s="116" t="s">
        <v>262</v>
      </c>
      <c r="D2" s="116" t="s">
        <v>85</v>
      </c>
      <c r="E2" s="117"/>
      <c r="F2" s="37"/>
      <c r="G2" s="37"/>
      <c r="H2" s="118" t="e">
        <f>_xlfn.XLOOKUP(Table1[[#This Row],[Shipment Number]], 'pivot '!A:A,'pivot '!G:G, "NF")</f>
        <v>#DIV/0!</v>
      </c>
      <c r="I2" s="118">
        <f>_xlfn.XLOOKUP(Table1[[#This Row],[Party Name]],
[1]Billing!$Q$5:$Q$25,
[1]Billing!$T$5:$T$25)</f>
        <v>1895402.3408924653</v>
      </c>
      <c r="J2" s="118">
        <f>_xlfn.XLOOKUP(Table1[[#This Row],[Party Name]],
[1]Billing!$Q$5:$Q$25,
[1]Billing!$V$5:$V$25)</f>
        <v>18954023.408924658</v>
      </c>
      <c r="K2" s="116"/>
    </row>
    <row r="3" spans="1:28" x14ac:dyDescent="0.25">
      <c r="A3" s="115">
        <v>45979</v>
      </c>
      <c r="B3" s="24" t="s">
        <v>22</v>
      </c>
      <c r="C3" s="116" t="s">
        <v>262</v>
      </c>
      <c r="D3" s="116" t="s">
        <v>85</v>
      </c>
      <c r="E3" s="117"/>
      <c r="F3" s="37"/>
      <c r="G3" s="37"/>
      <c r="H3" s="118" t="e">
        <f>_xlfn.XLOOKUP(Table1[[#This Row],[Shipment Number]], 'pivot '!A:A,'pivot '!G:G, "NF")</f>
        <v>#DIV/0!</v>
      </c>
      <c r="I3" s="118">
        <f>_xlfn.XLOOKUP(Table1[[#This Row],[Party Name]],
[1]Billing!$Q$5:$Q$25,
[1]Billing!$T$5:$T$25)</f>
        <v>148145.57425018289</v>
      </c>
      <c r="J3" s="118">
        <f>_xlfn.XLOOKUP(Table1[[#This Row],[Party Name]],
[1]Billing!$Q$5:$Q$25,
[1]Billing!$V$5:$V$25)</f>
        <v>1481455.7425018288</v>
      </c>
      <c r="K3" s="116"/>
    </row>
    <row r="4" spans="1:28" x14ac:dyDescent="0.25">
      <c r="A4" s="115">
        <v>45979</v>
      </c>
      <c r="B4" s="24" t="s">
        <v>9</v>
      </c>
      <c r="C4" s="116" t="s">
        <v>262</v>
      </c>
      <c r="D4" s="116" t="s">
        <v>85</v>
      </c>
      <c r="E4" s="117"/>
      <c r="F4" s="37"/>
      <c r="G4" s="37"/>
      <c r="H4" s="118" t="e">
        <f>_xlfn.XLOOKUP(Table1[[#This Row],[Shipment Number]], 'pivot '!A:A,'pivot '!G:G, "NF")</f>
        <v>#DIV/0!</v>
      </c>
      <c r="I4" s="118">
        <f>_xlfn.XLOOKUP(Table1[[#This Row],[Party Name]],
[1]Billing!$Q$5:$Q$25,
[1]Billing!$T$5:$T$25)</f>
        <v>392581.38258961233</v>
      </c>
      <c r="J4" s="118">
        <f>_xlfn.XLOOKUP(Table1[[#This Row],[Party Name]],
[1]Billing!$Q$5:$Q$25,
[1]Billing!$V$5:$V$25)</f>
        <v>3925813.8258961234</v>
      </c>
      <c r="K4" s="116"/>
    </row>
    <row r="5" spans="1:28" x14ac:dyDescent="0.25">
      <c r="A5" s="115">
        <v>45979</v>
      </c>
      <c r="B5" s="24" t="s">
        <v>23</v>
      </c>
      <c r="C5" s="116" t="s">
        <v>262</v>
      </c>
      <c r="D5" s="116" t="s">
        <v>85</v>
      </c>
      <c r="E5" s="117"/>
      <c r="F5" s="37"/>
      <c r="G5" s="37"/>
      <c r="H5" s="118" t="e">
        <f>_xlfn.XLOOKUP(Table1[[#This Row],[Shipment Number]], 'pivot '!A:A,'pivot '!G:G, "NF")</f>
        <v>#DIV/0!</v>
      </c>
      <c r="I5" s="118">
        <f>_xlfn.XLOOKUP(Table1[[#This Row],[Party Name]],
[1]Billing!$Q$5:$Q$25,
[1]Billing!$T$5:$T$25)</f>
        <v>123086.13752743235</v>
      </c>
      <c r="J5" s="118">
        <f>_xlfn.XLOOKUP(Table1[[#This Row],[Party Name]],
[1]Billing!$Q$5:$Q$25,
[1]Billing!$V$5:$V$25)</f>
        <v>1269270.3440380397</v>
      </c>
      <c r="K5" s="116"/>
    </row>
    <row r="6" spans="1:28" x14ac:dyDescent="0.25">
      <c r="A6" s="115">
        <v>45979</v>
      </c>
      <c r="B6" s="24" t="s">
        <v>24</v>
      </c>
      <c r="C6" s="116" t="s">
        <v>262</v>
      </c>
      <c r="D6" s="116" t="s">
        <v>85</v>
      </c>
      <c r="E6" s="117"/>
      <c r="F6" s="37"/>
      <c r="G6" s="37"/>
      <c r="H6" s="118" t="e">
        <f>_xlfn.XLOOKUP(Table1[[#This Row],[Shipment Number]], 'pivot '!A:A,'pivot '!G:G, "NF")</f>
        <v>#DIV/0!</v>
      </c>
      <c r="I6" s="118">
        <f>_xlfn.XLOOKUP(Table1[[#This Row],[Party Name]],
[1]Billing!$Q$5:$Q$25,
[1]Billing!$T$5:$T$25)</f>
        <v>599330.65106071695</v>
      </c>
      <c r="J6" s="118">
        <f>_xlfn.XLOOKUP(Table1[[#This Row],[Party Name]],
[1]Billing!$Q$5:$Q$25,
[1]Billing!$V$5:$V$25)</f>
        <v>5408917.8595464528</v>
      </c>
      <c r="K6" s="116"/>
      <c r="X6"/>
      <c r="Y6"/>
      <c r="Z6"/>
      <c r="AA6"/>
      <c r="AB6"/>
    </row>
    <row r="7" spans="1:28" x14ac:dyDescent="0.25">
      <c r="A7" s="115">
        <v>45979</v>
      </c>
      <c r="B7" s="24" t="s">
        <v>25</v>
      </c>
      <c r="C7" s="116" t="s">
        <v>262</v>
      </c>
      <c r="D7" s="116" t="s">
        <v>85</v>
      </c>
      <c r="E7" s="117"/>
      <c r="F7" s="37"/>
      <c r="G7" s="37"/>
      <c r="H7" s="118" t="e">
        <f>_xlfn.XLOOKUP(Table1[[#This Row],[Shipment Number]], 'pivot '!A:A,'pivot '!G:G, "NF")</f>
        <v>#DIV/0!</v>
      </c>
      <c r="I7" s="118">
        <f>_xlfn.XLOOKUP(Table1[[#This Row],[Party Name]],
[1]Billing!$Q$5:$Q$25,
[1]Billing!$T$5:$T$25)</f>
        <v>547436.90563277248</v>
      </c>
      <c r="J7" s="118">
        <f>_xlfn.XLOOKUP(Table1[[#This Row],[Party Name]],
[1]Billing!$Q$5:$Q$25,
[1]Billing!$V$5:$V$25)</f>
        <v>5474369.0563277248</v>
      </c>
      <c r="K7" s="116"/>
      <c r="X7"/>
      <c r="Y7"/>
      <c r="Z7"/>
      <c r="AA7"/>
      <c r="AB7"/>
    </row>
    <row r="8" spans="1:28" x14ac:dyDescent="0.25">
      <c r="A8" s="115">
        <v>45979</v>
      </c>
      <c r="B8" s="24" t="s">
        <v>26</v>
      </c>
      <c r="C8" s="116" t="s">
        <v>262</v>
      </c>
      <c r="D8" s="116" t="s">
        <v>85</v>
      </c>
      <c r="E8" s="117"/>
      <c r="F8" s="37"/>
      <c r="G8" s="37"/>
      <c r="H8" s="118" t="e">
        <f>_xlfn.XLOOKUP(Table1[[#This Row],[Shipment Number]], 'pivot '!A:A,'pivot '!G:G, "NF")</f>
        <v>#DIV/0!</v>
      </c>
      <c r="I8" s="118">
        <f>_xlfn.XLOOKUP(Table1[[#This Row],[Party Name]],
[1]Billing!$Q$5:$Q$25,
[1]Billing!$T$5:$T$25)</f>
        <v>92278.712509144127</v>
      </c>
      <c r="J8" s="118">
        <f>_xlfn.XLOOKUP(Table1[[#This Row],[Party Name]],
[1]Billing!$Q$5:$Q$25,
[1]Billing!$V$5:$V$25)</f>
        <v>922787.12509144121</v>
      </c>
      <c r="K8" s="116"/>
      <c r="X8"/>
      <c r="Y8"/>
      <c r="Z8"/>
      <c r="AA8"/>
      <c r="AB8"/>
    </row>
    <row r="9" spans="1:28" x14ac:dyDescent="0.25">
      <c r="A9" s="115">
        <v>45979</v>
      </c>
      <c r="B9" s="24" t="s">
        <v>155</v>
      </c>
      <c r="C9" s="116" t="s">
        <v>262</v>
      </c>
      <c r="D9" s="116" t="s">
        <v>85</v>
      </c>
      <c r="E9" s="117"/>
      <c r="F9" s="37"/>
      <c r="G9" s="37"/>
      <c r="H9" s="118" t="e">
        <f>_xlfn.XLOOKUP(Table1[[#This Row],[Shipment Number]], 'pivot '!A:A,'pivot '!G:G, "NF")</f>
        <v>#DIV/0!</v>
      </c>
      <c r="I9" s="118">
        <f>_xlfn.XLOOKUP(Table1[[#This Row],[Party Name]],
[1]Billing!$Q$5:$Q$25,
[1]Billing!$T$5:$T$25)</f>
        <v>161808.70519385519</v>
      </c>
      <c r="J9" s="118">
        <f>_xlfn.XLOOKUP(Table1[[#This Row],[Party Name]],
[1]Billing!$Q$5:$Q$25,
[1]Billing!$V$5:$V$25)</f>
        <v>1618087.0519385519</v>
      </c>
      <c r="K9" s="116"/>
      <c r="X9"/>
      <c r="Y9"/>
      <c r="Z9"/>
      <c r="AA9"/>
      <c r="AB9"/>
    </row>
    <row r="10" spans="1:28" x14ac:dyDescent="0.25">
      <c r="A10" s="115">
        <v>45979</v>
      </c>
      <c r="B10" s="24" t="s">
        <v>35</v>
      </c>
      <c r="C10" s="116" t="s">
        <v>262</v>
      </c>
      <c r="D10" s="116" t="s">
        <v>85</v>
      </c>
      <c r="E10" s="117"/>
      <c r="F10" s="37"/>
      <c r="G10" s="37"/>
      <c r="H10" s="118" t="e">
        <f>_xlfn.XLOOKUP(Table1[[#This Row],[Shipment Number]], 'pivot '!A:A,'pivot '!G:G, "NF")</f>
        <v>#DIV/0!</v>
      </c>
      <c r="I10" s="118">
        <f>_xlfn.XLOOKUP(Table1[[#This Row],[Party Name]],
[1]Billing!$Q$5:$Q$25,
[1]Billing!$T$5:$T$25)</f>
        <v>46132.955376737387</v>
      </c>
      <c r="J10" s="118">
        <f>_xlfn.XLOOKUP(Table1[[#This Row],[Party Name]],
[1]Billing!$Q$5:$Q$25,
[1]Billing!$V$5:$V$25)</f>
        <v>461329.5537673739</v>
      </c>
      <c r="K10" s="116"/>
      <c r="X10"/>
      <c r="Y10"/>
    </row>
    <row r="11" spans="1:28" x14ac:dyDescent="0.25">
      <c r="A11" s="115">
        <v>45979</v>
      </c>
      <c r="B11" s="24" t="s">
        <v>151</v>
      </c>
      <c r="C11" s="116" t="s">
        <v>262</v>
      </c>
      <c r="D11" s="116" t="s">
        <v>86</v>
      </c>
      <c r="E11" s="117"/>
      <c r="F11" s="37"/>
      <c r="G11" s="37"/>
      <c r="H11" s="118" t="e">
        <f>_xlfn.XLOOKUP(Table1[[#This Row],[Shipment Number]], 'pivot '!A:A,'pivot '!G:G, "NF")</f>
        <v>#DIV/0!</v>
      </c>
      <c r="I11" s="118">
        <f>_xlfn.XLOOKUP(Table1[[#This Row],[Party Name]],
[1]Billing!$Q$5:$Q$25,
[1]Billing!$T$5:$T$25)</f>
        <v>21310.35113386979</v>
      </c>
      <c r="J11" s="118">
        <f>_xlfn.XLOOKUP(Table1[[#This Row],[Party Name]],
[1]Billing!$Q$5:$Q$25,
[1]Billing!$V$5:$V$25)</f>
        <v>255724.21360643749</v>
      </c>
      <c r="K11" s="116"/>
      <c r="P11"/>
      <c r="Q11"/>
      <c r="R11"/>
      <c r="S11"/>
      <c r="T11"/>
      <c r="U11"/>
      <c r="V11"/>
      <c r="W11"/>
      <c r="X11"/>
      <c r="Y11"/>
    </row>
    <row r="12" spans="1:28" x14ac:dyDescent="0.25">
      <c r="A12" s="115">
        <v>45979</v>
      </c>
      <c r="B12" s="24" t="s">
        <v>27</v>
      </c>
      <c r="C12" s="116" t="s">
        <v>262</v>
      </c>
      <c r="D12" s="116" t="s">
        <v>85</v>
      </c>
      <c r="E12" s="117"/>
      <c r="F12" s="37"/>
      <c r="G12" s="37"/>
      <c r="H12" s="118" t="e">
        <f>_xlfn.XLOOKUP(Table1[[#This Row],[Shipment Number]], 'pivot '!A:A,'pivot '!G:G, "NF")</f>
        <v>#DIV/0!</v>
      </c>
      <c r="I12" s="118">
        <f>_xlfn.XLOOKUP(Table1[[#This Row],[Party Name]],
[1]Billing!$Q$5:$Q$25,
[1]Billing!$T$5:$T$25)</f>
        <v>121151.24359912217</v>
      </c>
      <c r="J12" s="118">
        <f>_xlfn.XLOOKUP(Table1[[#This Row],[Party Name]],
[1]Billing!$Q$5:$Q$25,
[1]Billing!$V$5:$V$25)</f>
        <v>1211512.4359912218</v>
      </c>
      <c r="K12" s="116"/>
      <c r="P12"/>
      <c r="Q12"/>
      <c r="R12"/>
      <c r="S12"/>
      <c r="T12"/>
      <c r="U12"/>
      <c r="V12"/>
      <c r="W12"/>
      <c r="X12"/>
      <c r="Y12"/>
    </row>
    <row r="13" spans="1:28" x14ac:dyDescent="0.25">
      <c r="A13" s="115">
        <v>45979</v>
      </c>
      <c r="B13" s="24" t="s">
        <v>169</v>
      </c>
      <c r="C13" s="116" t="s">
        <v>262</v>
      </c>
      <c r="D13" s="116" t="s">
        <v>85</v>
      </c>
      <c r="E13" s="37"/>
      <c r="F13" s="37"/>
      <c r="G13" s="37"/>
      <c r="H13" s="118" t="e">
        <f>_xlfn.XLOOKUP(Table1[[#This Row],[Shipment Number]], 'pivot '!A:A,'pivot '!G:G, "NF")</f>
        <v>#DIV/0!</v>
      </c>
      <c r="I13" s="118">
        <f>_xlfn.XLOOKUP(Table1[[#This Row],[Party Name]],
[1]Billing!$Q$5:$Q$25,
[1]Billing!$T$5:$T$25)</f>
        <v>341790.4169714704</v>
      </c>
      <c r="J13" s="118">
        <f>_xlfn.XLOOKUP(Table1[[#This Row],[Party Name]],
[1]Billing!$Q$5:$Q$25,
[1]Billing!$V$5:$V$25)</f>
        <v>3417904.1697147042</v>
      </c>
      <c r="K13" s="116"/>
      <c r="P13"/>
      <c r="Q13"/>
      <c r="R13"/>
      <c r="S13"/>
      <c r="T13"/>
      <c r="U13"/>
      <c r="V13"/>
      <c r="W13"/>
      <c r="X13"/>
      <c r="Y13"/>
    </row>
    <row r="14" spans="1:28" x14ac:dyDescent="0.25">
      <c r="A14" s="115">
        <v>45979</v>
      </c>
      <c r="B14" s="24" t="s">
        <v>172</v>
      </c>
      <c r="C14" s="116" t="s">
        <v>262</v>
      </c>
      <c r="D14" s="116" t="s">
        <v>85</v>
      </c>
      <c r="E14" s="37"/>
      <c r="F14" s="37"/>
      <c r="G14" s="37"/>
      <c r="H14" s="118" t="e">
        <f>_xlfn.XLOOKUP(Table1[[#This Row],[Shipment Number]], 'pivot '!A:A,'pivot '!G:G, "NF")</f>
        <v>#DIV/0!</v>
      </c>
      <c r="I14" s="118">
        <f>_xlfn.XLOOKUP(Table1[[#This Row],[Party Name]],
[1]Billing!$Q$5:$Q$25,
[1]Billing!$T$5:$T$25)</f>
        <v>0</v>
      </c>
      <c r="J14" s="118">
        <f>_xlfn.XLOOKUP(Table1[[#This Row],[Party Name]],
[1]Billing!$Q$5:$Q$25,
[1]Billing!$V$5:$V$25)</f>
        <v>0</v>
      </c>
      <c r="K14" s="116"/>
      <c r="P14"/>
      <c r="Q14"/>
      <c r="R14"/>
      <c r="S14"/>
      <c r="T14"/>
      <c r="U14"/>
      <c r="V14"/>
      <c r="W14"/>
      <c r="X14"/>
      <c r="Y14"/>
    </row>
    <row r="15" spans="1:28" x14ac:dyDescent="0.25">
      <c r="A15" s="115">
        <v>45979</v>
      </c>
      <c r="B15" s="24" t="s">
        <v>179</v>
      </c>
      <c r="C15" s="116" t="s">
        <v>262</v>
      </c>
      <c r="D15" s="116" t="s">
        <v>85</v>
      </c>
      <c r="E15" s="37"/>
      <c r="F15" s="37"/>
      <c r="G15" s="37"/>
      <c r="H15" s="118" t="e">
        <f>_xlfn.XLOOKUP(Table1[[#This Row],[Shipment Number]], 'pivot '!A:A,'pivot '!G:G, "NF")</f>
        <v>#DIV/0!</v>
      </c>
      <c r="I15" s="118">
        <f>_xlfn.XLOOKUP(Table1[[#This Row],[Party Name]],
[1]Billing!$Q$5:$Q$25,
[1]Billing!$T$5:$T$25)</f>
        <v>48385.149963423559</v>
      </c>
      <c r="J15" s="118">
        <f>_xlfn.XLOOKUP(Table1[[#This Row],[Party Name]],
[1]Billing!$Q$5:$Q$25,
[1]Billing!$V$5:$V$25)</f>
        <v>483851.49963423557</v>
      </c>
      <c r="K15" s="116"/>
      <c r="P15"/>
      <c r="Q15"/>
      <c r="R15"/>
      <c r="S15"/>
      <c r="T15"/>
      <c r="U15"/>
      <c r="V15"/>
      <c r="W15"/>
      <c r="X15"/>
      <c r="Y15"/>
    </row>
    <row r="16" spans="1:28" x14ac:dyDescent="0.25">
      <c r="A16" s="115">
        <v>45979</v>
      </c>
      <c r="B16" s="24" t="s">
        <v>180</v>
      </c>
      <c r="C16" s="116" t="s">
        <v>262</v>
      </c>
      <c r="D16" s="116" t="s">
        <v>85</v>
      </c>
      <c r="E16" s="37"/>
      <c r="F16" s="37"/>
      <c r="G16" s="37"/>
      <c r="H16" s="118" t="e">
        <f>_xlfn.XLOOKUP(Table1[[#This Row],[Shipment Number]], 'pivot '!A:A,'pivot '!G:G, "NF")</f>
        <v>#DIV/0!</v>
      </c>
      <c r="I16" s="118">
        <f>_xlfn.XLOOKUP(Table1[[#This Row],[Party Name]],
[1]Billing!$Q$5:$Q$25,
[1]Billing!$T$5:$T$25)</f>
        <v>8915.5084125822978</v>
      </c>
      <c r="J16" s="118">
        <f>_xlfn.XLOOKUP(Table1[[#This Row],[Party Name]],
[1]Billing!$Q$5:$Q$25,
[1]Billing!$V$5:$V$25)</f>
        <v>89155.084125822978</v>
      </c>
      <c r="K16" s="116"/>
      <c r="P16"/>
      <c r="Q16"/>
      <c r="R16"/>
      <c r="S16"/>
      <c r="T16"/>
      <c r="U16"/>
      <c r="V16"/>
      <c r="W16"/>
      <c r="X16"/>
      <c r="Y16"/>
    </row>
    <row r="17" spans="1:25" x14ac:dyDescent="0.25">
      <c r="A17" s="115">
        <v>45979</v>
      </c>
      <c r="B17" s="24" t="s">
        <v>182</v>
      </c>
      <c r="C17" s="116" t="s">
        <v>262</v>
      </c>
      <c r="D17" s="116" t="s">
        <v>85</v>
      </c>
      <c r="E17" s="37"/>
      <c r="F17" s="37"/>
      <c r="G17" s="37"/>
      <c r="H17" s="118" t="e">
        <f>_xlfn.XLOOKUP(Table1[[#This Row],[Shipment Number]], 'pivot '!A:A,'pivot '!G:G, "NF")</f>
        <v>#DIV/0!</v>
      </c>
      <c r="I17" s="118">
        <f>_xlfn.XLOOKUP(Table1[[#This Row],[Party Name]],
[1]Billing!$Q$5:$Q$25,
[1]Billing!$T$5:$T$25)</f>
        <v>56670.629114850046</v>
      </c>
      <c r="J17" s="118">
        <f>_xlfn.XLOOKUP(Table1[[#This Row],[Party Name]],
[1]Billing!$Q$5:$Q$25,
[1]Billing!$V$5:$V$25)</f>
        <v>566706.29114850052</v>
      </c>
      <c r="K17" s="116"/>
      <c r="P17"/>
      <c r="Q17"/>
      <c r="R17"/>
      <c r="S17"/>
      <c r="T17"/>
      <c r="U17"/>
      <c r="V17"/>
      <c r="W17"/>
      <c r="X17"/>
      <c r="Y17"/>
    </row>
    <row r="18" spans="1:25" x14ac:dyDescent="0.25">
      <c r="A18" s="115">
        <v>45979</v>
      </c>
      <c r="B18" s="24" t="s">
        <v>193</v>
      </c>
      <c r="C18" s="116" t="s">
        <v>262</v>
      </c>
      <c r="D18" s="116" t="s">
        <v>85</v>
      </c>
      <c r="E18" s="37"/>
      <c r="F18" s="37"/>
      <c r="G18" s="37"/>
      <c r="H18" s="118" t="e">
        <f>_xlfn.XLOOKUP(Table1[[#This Row],[Shipment Number]], 'pivot '!A:A,'pivot '!G:G, "NF")</f>
        <v>#DIV/0!</v>
      </c>
      <c r="I18" s="118">
        <f>_xlfn.XLOOKUP(Table1[[#This Row],[Party Name]],
[1]Billing!$Q$5:$Q$25,
[1]Billing!$T$5:$T$25)</f>
        <v>0</v>
      </c>
      <c r="J18" s="118">
        <f>_xlfn.XLOOKUP(Table1[[#This Row],[Party Name]],
[1]Billing!$Q$5:$Q$25,
[1]Billing!$V$5:$V$25)</f>
        <v>0</v>
      </c>
      <c r="K18" s="116"/>
      <c r="P18"/>
      <c r="Q18"/>
      <c r="R18"/>
      <c r="S18"/>
      <c r="T18"/>
      <c r="U18"/>
      <c r="V18"/>
      <c r="W18"/>
      <c r="X18"/>
      <c r="Y18"/>
    </row>
    <row r="19" spans="1:25" x14ac:dyDescent="0.25">
      <c r="A19" s="115">
        <v>45979</v>
      </c>
      <c r="B19" s="24" t="s">
        <v>202</v>
      </c>
      <c r="C19" s="116" t="s">
        <v>262</v>
      </c>
      <c r="D19" s="116" t="s">
        <v>85</v>
      </c>
      <c r="E19" s="37"/>
      <c r="F19" s="37"/>
      <c r="G19" s="37"/>
      <c r="H19" s="118" t="e">
        <f>_xlfn.XLOOKUP(Table1[[#This Row],[Shipment Number]], 'pivot '!A:A,'pivot '!G:G, "NF")</f>
        <v>#DIV/0!</v>
      </c>
      <c r="I19" s="118">
        <f>_xlfn.XLOOKUP(Table1[[#This Row],[Party Name]],
[1]Billing!$Q$5:$Q$25,
[1]Billing!$T$5:$T$25)</f>
        <v>64300.475493782011</v>
      </c>
      <c r="J19" s="118">
        <f>_xlfn.XLOOKUP(Table1[[#This Row],[Party Name]],
[1]Billing!$Q$5:$Q$25,
[1]Billing!$V$5:$V$25)</f>
        <v>643004.75493782014</v>
      </c>
      <c r="K19" s="116"/>
      <c r="P19"/>
      <c r="Q19"/>
      <c r="R19"/>
      <c r="S19"/>
      <c r="T19"/>
      <c r="U19"/>
      <c r="V19"/>
      <c r="W19"/>
      <c r="X19"/>
      <c r="Y19"/>
    </row>
    <row r="20" spans="1:25" x14ac:dyDescent="0.25">
      <c r="A20" s="115">
        <v>45979</v>
      </c>
      <c r="B20" s="24" t="s">
        <v>207</v>
      </c>
      <c r="C20" s="116" t="s">
        <v>262</v>
      </c>
      <c r="D20" s="116" t="s">
        <v>85</v>
      </c>
      <c r="E20" s="37"/>
      <c r="F20" s="37"/>
      <c r="G20" s="37"/>
      <c r="H20" s="118" t="e">
        <f>_xlfn.XLOOKUP(Table1[[#This Row],[Shipment Number]], 'pivot '!A:A,'pivot '!G:G, "NF")</f>
        <v>#DIV/0!</v>
      </c>
      <c r="I20" s="118">
        <f>_xlfn.XLOOKUP(Table1[[#This Row],[Party Name]],
[1]Billing!$Q$5:$Q$25,
[1]Billing!$U$5:$U$25)</f>
        <v>43834.125822970011</v>
      </c>
      <c r="J20" s="118">
        <f>_xlfn.XLOOKUP(Table1[[#This Row],[Party Name]],
[1]Billing!$Q$5:$Q$25,
[1]Billing!$V$5:$V$25)</f>
        <v>552414.04535479157</v>
      </c>
      <c r="K20" s="116"/>
      <c r="P20"/>
      <c r="Q20"/>
      <c r="R20"/>
      <c r="S20"/>
      <c r="T20"/>
      <c r="U20"/>
      <c r="V20"/>
      <c r="W20"/>
      <c r="X20"/>
      <c r="Y20"/>
    </row>
    <row r="21" spans="1:25" x14ac:dyDescent="0.25">
      <c r="A21" s="115">
        <v>45979</v>
      </c>
      <c r="B21" s="24" t="s">
        <v>258</v>
      </c>
      <c r="C21" s="116" t="s">
        <v>262</v>
      </c>
      <c r="D21" s="116" t="s">
        <v>85</v>
      </c>
      <c r="E21" s="37"/>
      <c r="F21" s="37"/>
      <c r="G21" s="37"/>
      <c r="H21" s="118" t="e">
        <f>_xlfn.XLOOKUP(Table1[[#This Row],[Shipment Number]], 'pivot '!A:A,'pivot '!G:G, "NF")</f>
        <v>#DIV/0!</v>
      </c>
      <c r="I21" s="118">
        <f>_xlfn.XLOOKUP(Table1[[#This Row],[Party Name]],
[1]Billing!$Q$5:$Q$25,
[1]Billing!$U$5:$U$25)</f>
        <v>0</v>
      </c>
      <c r="J21" s="118">
        <f>_xlfn.XLOOKUP(Table1[[#This Row],[Party Name]],
[1]Billing!$Q$5:$Q$25,
[1]Billing!$V$5:$V$25)</f>
        <v>0</v>
      </c>
      <c r="K21" s="116"/>
      <c r="P21"/>
      <c r="Q21"/>
      <c r="R21"/>
      <c r="S21"/>
      <c r="T21"/>
      <c r="U21"/>
      <c r="V21"/>
      <c r="W21"/>
      <c r="X21"/>
      <c r="Y21"/>
    </row>
    <row r="22" spans="1:25" x14ac:dyDescent="0.25">
      <c r="A22" s="115">
        <v>45979</v>
      </c>
      <c r="B22" s="24" t="s">
        <v>21</v>
      </c>
      <c r="C22" s="116" t="s">
        <v>262</v>
      </c>
      <c r="D22" s="116" t="s">
        <v>87</v>
      </c>
      <c r="E22" s="37"/>
      <c r="F22" s="37"/>
      <c r="G22" s="37"/>
      <c r="H22" s="118" t="e">
        <f>_xlfn.XLOOKUP(Table1[[#This Row],[Shipment Number]], 'pivot '!A:A,'pivot '!G:G, "NF")</f>
        <v>#DIV/0!</v>
      </c>
      <c r="I22" s="118">
        <f>_xlfn.XLOOKUP(Table1[[#This Row],[Party Name]],
[1]Billing!$Q$5:$Q$25,
[1]Billing!$U$5:$U$25)</f>
        <v>121247.2567666423</v>
      </c>
      <c r="J22" s="118">
        <f>_xlfn.XLOOKUP(Table1[[#This Row],[Party Name]],
[1]Billing!$Q$5:$Q$25,
[1]Billing!$W$5:$W$25)</f>
        <v>1487858.4491587421</v>
      </c>
      <c r="K22" s="116"/>
      <c r="P22"/>
      <c r="Q22"/>
      <c r="R22"/>
      <c r="S22"/>
      <c r="T22"/>
      <c r="U22"/>
      <c r="V22"/>
      <c r="W22"/>
      <c r="X22"/>
      <c r="Y22"/>
    </row>
    <row r="23" spans="1:25" x14ac:dyDescent="0.25">
      <c r="A23" s="115">
        <v>45979</v>
      </c>
      <c r="B23" s="24" t="s">
        <v>22</v>
      </c>
      <c r="C23" s="116" t="s">
        <v>262</v>
      </c>
      <c r="D23" s="116" t="s">
        <v>87</v>
      </c>
      <c r="E23" s="37"/>
      <c r="F23" s="37"/>
      <c r="G23" s="37"/>
      <c r="H23" s="118" t="e">
        <f>_xlfn.XLOOKUP(Table1[[#This Row],[Shipment Number]], 'pivot '!A:A,'pivot '!G:G, "NF")</f>
        <v>#DIV/0!</v>
      </c>
      <c r="I23" s="118">
        <f>_xlfn.XLOOKUP(Table1[[#This Row],[Party Name]],
[1]Billing!$Q$5:$Q$25,
[1]Billing!$U$5:$U$25)</f>
        <v>105915.32553035846</v>
      </c>
      <c r="J23" s="118">
        <f>_xlfn.XLOOKUP(Table1[[#This Row],[Party Name]],
[1]Billing!$Q$5:$Q$25,
[1]Billing!$W$5:$W$25)</f>
        <v>1317755.1207022679</v>
      </c>
      <c r="K23" s="116"/>
      <c r="P23"/>
      <c r="Q23"/>
      <c r="R23"/>
      <c r="S23"/>
      <c r="T23"/>
      <c r="U23"/>
      <c r="V23"/>
      <c r="W23"/>
      <c r="X23"/>
      <c r="Y23"/>
    </row>
    <row r="24" spans="1:25" x14ac:dyDescent="0.25">
      <c r="A24" s="115">
        <v>45979</v>
      </c>
      <c r="B24" s="24" t="s">
        <v>9</v>
      </c>
      <c r="C24" s="116" t="s">
        <v>262</v>
      </c>
      <c r="D24" s="116" t="s">
        <v>87</v>
      </c>
      <c r="E24" s="37"/>
      <c r="F24" s="37"/>
      <c r="G24" s="37"/>
      <c r="H24" s="118" t="e">
        <f>_xlfn.XLOOKUP(Table1[[#This Row],[Shipment Number]], 'pivot '!A:A,'pivot '!G:G, "NF")</f>
        <v>#DIV/0!</v>
      </c>
      <c r="I24" s="118">
        <f>_xlfn.XLOOKUP(Table1[[#This Row],[Party Name]],
[1]Billing!$Q$5:$Q$25,
[1]Billing!$U$5:$U$25)</f>
        <v>14794.257498171179</v>
      </c>
      <c r="J24" s="118">
        <f>_xlfn.XLOOKUP(Table1[[#This Row],[Party Name]],
[1]Billing!$Q$5:$Q$25,
[1]Billing!$W$5:$W$25)</f>
        <v>177531.08997805414</v>
      </c>
      <c r="K24" s="116"/>
      <c r="P24"/>
      <c r="Q24"/>
      <c r="R24"/>
      <c r="S24"/>
      <c r="T24"/>
      <c r="U24"/>
      <c r="V24"/>
      <c r="W24"/>
      <c r="X24"/>
      <c r="Y24"/>
    </row>
    <row r="25" spans="1:25" x14ac:dyDescent="0.25">
      <c r="A25" s="115">
        <v>45979</v>
      </c>
      <c r="B25" s="24" t="s">
        <v>23</v>
      </c>
      <c r="C25" s="116" t="s">
        <v>262</v>
      </c>
      <c r="D25" s="116" t="s">
        <v>87</v>
      </c>
      <c r="E25" s="37"/>
      <c r="F25" s="37"/>
      <c r="G25" s="37"/>
      <c r="H25" s="118" t="e">
        <f>_xlfn.XLOOKUP(Table1[[#This Row],[Shipment Number]], 'pivot '!A:A,'pivot '!G:G, "NF")</f>
        <v>#DIV/0!</v>
      </c>
      <c r="I25" s="118">
        <f>_xlfn.XLOOKUP(Table1[[#This Row],[Party Name]],
[1]Billing!$Q$5:$Q$25,
[1]Billing!$U$5:$U$25)</f>
        <v>0</v>
      </c>
      <c r="J25" s="118">
        <f>_xlfn.XLOOKUP(Table1[[#This Row],[Party Name]],
[1]Billing!$Q$5:$Q$25,
[1]Billing!$W$5:$W$25)</f>
        <v>0</v>
      </c>
      <c r="K25" s="116"/>
      <c r="P25"/>
      <c r="Q25"/>
      <c r="R25"/>
      <c r="S25"/>
      <c r="T25"/>
      <c r="U25"/>
      <c r="V25"/>
      <c r="W25"/>
      <c r="X25"/>
      <c r="Y25"/>
    </row>
    <row r="26" spans="1:25" x14ac:dyDescent="0.25">
      <c r="A26" s="115">
        <v>45979</v>
      </c>
      <c r="B26" s="24" t="s">
        <v>24</v>
      </c>
      <c r="C26" s="116" t="s">
        <v>262</v>
      </c>
      <c r="D26" s="116" t="s">
        <v>87</v>
      </c>
      <c r="E26" s="37"/>
      <c r="F26" s="37"/>
      <c r="G26" s="37"/>
      <c r="H26" s="118" t="e">
        <f>_xlfn.XLOOKUP(Table1[[#This Row],[Shipment Number]], 'pivot '!A:A,'pivot '!G:G, "NF")</f>
        <v>#DIV/0!</v>
      </c>
      <c r="I26" s="118">
        <f>_xlfn.XLOOKUP(Table1[[#This Row],[Party Name]],
[1]Billing!$Q$5:$Q$25,
[1]Billing!$U$5:$U$25)</f>
        <v>485823.88441843458</v>
      </c>
      <c r="J26" s="118">
        <f>_xlfn.XLOOKUP(Table1[[#This Row],[Party Name]],
[1]Billing!$Q$5:$Q$25,
[1]Billing!$W$5:$W$25)</f>
        <v>5829886.6130212145</v>
      </c>
      <c r="K26" s="116"/>
      <c r="P26"/>
      <c r="Q26"/>
      <c r="R26"/>
      <c r="S26"/>
      <c r="T26"/>
      <c r="U26"/>
      <c r="V26"/>
      <c r="W26"/>
      <c r="X26"/>
      <c r="Y26"/>
    </row>
    <row r="27" spans="1:25" x14ac:dyDescent="0.25">
      <c r="A27" s="115">
        <v>45979</v>
      </c>
      <c r="B27" s="24" t="s">
        <v>25</v>
      </c>
      <c r="C27" s="116" t="s">
        <v>262</v>
      </c>
      <c r="D27" s="116" t="s">
        <v>87</v>
      </c>
      <c r="E27" s="37"/>
      <c r="F27" s="37"/>
      <c r="G27" s="37"/>
      <c r="H27" s="118" t="e">
        <f>_xlfn.XLOOKUP(Table1[[#This Row],[Shipment Number]], 'pivot '!A:A,'pivot '!G:G, "NF")</f>
        <v>#DIV/0!</v>
      </c>
      <c r="I27" s="118">
        <f>_xlfn.XLOOKUP(Table1[[#This Row],[Party Name]],
[1]Billing!$Q$5:$Q$25,
[1]Billing!$U$5:$U$25)</f>
        <v>0</v>
      </c>
      <c r="J27" s="118">
        <f>_xlfn.XLOOKUP(Table1[[#This Row],[Party Name]],
[1]Billing!$Q$5:$Q$25,
[1]Billing!$W$5:$W$25)</f>
        <v>0</v>
      </c>
      <c r="K27" s="116"/>
      <c r="P27"/>
      <c r="Q27"/>
      <c r="R27"/>
      <c r="S27"/>
      <c r="T27"/>
      <c r="U27"/>
      <c r="V27"/>
      <c r="W27"/>
      <c r="X27"/>
      <c r="Y27"/>
    </row>
    <row r="28" spans="1:25" x14ac:dyDescent="0.25">
      <c r="A28" s="115">
        <v>45979</v>
      </c>
      <c r="B28" s="24" t="s">
        <v>26</v>
      </c>
      <c r="C28" s="116" t="s">
        <v>262</v>
      </c>
      <c r="D28" s="116" t="s">
        <v>87</v>
      </c>
      <c r="E28" s="37"/>
      <c r="F28" s="37"/>
      <c r="G28" s="37"/>
      <c r="H28" s="118" t="e">
        <f>_xlfn.XLOOKUP(Table1[[#This Row],[Shipment Number]], 'pivot '!A:A,'pivot '!G:G, "NF")</f>
        <v>#DIV/0!</v>
      </c>
      <c r="I28" s="118">
        <f>_xlfn.XLOOKUP(Table1[[#This Row],[Party Name]],
[1]Billing!$Q$5:$Q$25,
[1]Billing!$U$5:$U$25)</f>
        <v>0</v>
      </c>
      <c r="J28" s="118">
        <f>_xlfn.XLOOKUP(Table1[[#This Row],[Party Name]],
[1]Billing!$Q$5:$Q$25,
[1]Billing!$W$5:$W$25)</f>
        <v>0</v>
      </c>
      <c r="K28" s="116"/>
      <c r="P28"/>
      <c r="Q28"/>
      <c r="R28"/>
      <c r="S28"/>
      <c r="T28"/>
      <c r="U28"/>
      <c r="V28"/>
      <c r="W28"/>
      <c r="X28"/>
      <c r="Y28"/>
    </row>
    <row r="29" spans="1:25" x14ac:dyDescent="0.25">
      <c r="A29" s="115">
        <v>45979</v>
      </c>
      <c r="B29" s="24" t="s">
        <v>155</v>
      </c>
      <c r="C29" s="116" t="s">
        <v>262</v>
      </c>
      <c r="D29" s="116" t="s">
        <v>87</v>
      </c>
      <c r="E29" s="37"/>
      <c r="F29" s="37"/>
      <c r="G29" s="37"/>
      <c r="H29" s="118" t="e">
        <f>_xlfn.XLOOKUP(Table1[[#This Row],[Shipment Number]], 'pivot '!A:A,'pivot '!G:G, "NF")</f>
        <v>#DIV/0!</v>
      </c>
      <c r="I29" s="118">
        <f>_xlfn.XLOOKUP(Table1[[#This Row],[Party Name]],
[1]Billing!$Q$5:$Q$25,
[1]Billing!$U$5:$U$25)</f>
        <v>25188.368690563279</v>
      </c>
      <c r="J29" s="118">
        <f>_xlfn.XLOOKUP(Table1[[#This Row],[Party Name]],
[1]Billing!$Q$5:$Q$25,
[1]Billing!$W$5:$W$25)</f>
        <v>327448.79297732259</v>
      </c>
      <c r="K29" s="116"/>
      <c r="P29"/>
      <c r="Q29"/>
      <c r="R29"/>
      <c r="S29"/>
      <c r="T29"/>
      <c r="U29"/>
      <c r="V29"/>
      <c r="W29"/>
      <c r="X29"/>
      <c r="Y29"/>
    </row>
    <row r="30" spans="1:25" x14ac:dyDescent="0.25">
      <c r="A30" s="115">
        <v>45979</v>
      </c>
      <c r="B30" s="24" t="s">
        <v>35</v>
      </c>
      <c r="C30" s="116" t="s">
        <v>262</v>
      </c>
      <c r="D30" s="116" t="s">
        <v>87</v>
      </c>
      <c r="E30" s="37"/>
      <c r="F30" s="37"/>
      <c r="G30" s="37"/>
      <c r="H30" s="118" t="e">
        <f>_xlfn.XLOOKUP(Table1[[#This Row],[Shipment Number]], 'pivot '!A:A,'pivot '!G:G, "NF")</f>
        <v>#DIV/0!</v>
      </c>
      <c r="I30" s="118">
        <f>_xlfn.XLOOKUP(Table1[[#This Row],[Party Name]],
[1]Billing!$Q$5:$Q$25,
[1]Billing!$U$5:$U$25)</f>
        <v>14995.427944403806</v>
      </c>
      <c r="J30" s="118">
        <f>_xlfn.XLOOKUP(Table1[[#This Row],[Party Name]],
[1]Billing!$Q$5:$Q$25,
[1]Billing!$W$5:$W$25)</f>
        <v>179945.13533284568</v>
      </c>
      <c r="K30" s="116"/>
      <c r="P30"/>
      <c r="Q30"/>
      <c r="R30"/>
      <c r="S30"/>
      <c r="T30"/>
      <c r="U30"/>
      <c r="V30"/>
      <c r="W30"/>
      <c r="X30"/>
      <c r="Y30"/>
    </row>
    <row r="31" spans="1:25" x14ac:dyDescent="0.25">
      <c r="A31" s="115">
        <v>45979</v>
      </c>
      <c r="B31" s="24" t="s">
        <v>151</v>
      </c>
      <c r="C31" s="116" t="s">
        <v>262</v>
      </c>
      <c r="D31" s="116" t="s">
        <v>87</v>
      </c>
      <c r="E31" s="37"/>
      <c r="F31" s="37"/>
      <c r="G31" s="37"/>
      <c r="H31" s="118" t="e">
        <f>_xlfn.XLOOKUP(Table1[[#This Row],[Shipment Number]], 'pivot '!A:A,'pivot '!G:G, "NF")</f>
        <v>#DIV/0!</v>
      </c>
      <c r="I31" s="118">
        <f>_xlfn.XLOOKUP(Table1[[#This Row],[Party Name]],
[1]Billing!$Q$5:$Q$25,
[1]Billing!$U$5:$U$25)</f>
        <v>0</v>
      </c>
      <c r="J31" s="118">
        <f>_xlfn.XLOOKUP(Table1[[#This Row],[Party Name]],
[1]Billing!$Q$5:$Q$25,
[1]Billing!$W$5:$W$25)</f>
        <v>0</v>
      </c>
      <c r="K31" s="116"/>
      <c r="P31"/>
      <c r="Q31"/>
      <c r="R31"/>
      <c r="S31"/>
      <c r="T31"/>
      <c r="U31"/>
      <c r="V31"/>
      <c r="W31"/>
      <c r="X31"/>
      <c r="Y31"/>
    </row>
    <row r="32" spans="1:25" x14ac:dyDescent="0.25">
      <c r="A32" s="115">
        <v>45979</v>
      </c>
      <c r="B32" s="24" t="s">
        <v>27</v>
      </c>
      <c r="C32" s="116" t="s">
        <v>262</v>
      </c>
      <c r="D32" s="116" t="s">
        <v>87</v>
      </c>
      <c r="E32" s="37"/>
      <c r="F32" s="37"/>
      <c r="G32" s="37"/>
      <c r="H32" s="118" t="e">
        <f>_xlfn.XLOOKUP(Table1[[#This Row],[Shipment Number]], 'pivot '!A:A,'pivot '!G:G, "NF")</f>
        <v>#DIV/0!</v>
      </c>
      <c r="I32" s="118">
        <f>_xlfn.XLOOKUP(Table1[[#This Row],[Party Name]],
[1]Billing!$Q$5:$Q$25,
[1]Billing!$U$5:$U$25)</f>
        <v>0</v>
      </c>
      <c r="J32" s="118">
        <f>_xlfn.XLOOKUP(Table1[[#This Row],[Party Name]],
[1]Billing!$Q$5:$Q$25,
[1]Billing!$W$5:$W$25)</f>
        <v>0</v>
      </c>
      <c r="K32" s="116"/>
      <c r="P32"/>
      <c r="Q32"/>
      <c r="R32"/>
      <c r="S32"/>
      <c r="T32"/>
      <c r="U32"/>
      <c r="V32"/>
      <c r="W32"/>
      <c r="X32"/>
      <c r="Y32"/>
    </row>
    <row r="33" spans="1:25" x14ac:dyDescent="0.25">
      <c r="A33" s="115">
        <v>45979</v>
      </c>
      <c r="B33" s="24" t="s">
        <v>169</v>
      </c>
      <c r="C33" s="116" t="s">
        <v>262</v>
      </c>
      <c r="D33" s="116" t="s">
        <v>87</v>
      </c>
      <c r="E33" s="37"/>
      <c r="F33" s="37"/>
      <c r="G33" s="37"/>
      <c r="H33" s="118" t="e">
        <f>_xlfn.XLOOKUP(Table1[[#This Row],[Shipment Number]], 'pivot '!A:A,'pivot '!G:G, "NF")</f>
        <v>#DIV/0!</v>
      </c>
      <c r="I33" s="118">
        <f>_xlfn.XLOOKUP(Table1[[#This Row],[Party Name]],
[1]Billing!$Q$5:$Q$25,
[1]Billing!$U$5:$U$25)</f>
        <v>63154.718361375279</v>
      </c>
      <c r="J33" s="118">
        <f>_xlfn.XLOOKUP(Table1[[#This Row],[Party Name]],
[1]Billing!$Q$5:$Q$25,
[1]Billing!$W$5:$W$25)</f>
        <v>757856.62033650337</v>
      </c>
      <c r="K33" s="116"/>
      <c r="P33"/>
      <c r="Q33"/>
      <c r="R33"/>
      <c r="S33"/>
      <c r="T33"/>
      <c r="U33"/>
      <c r="V33"/>
      <c r="W33"/>
      <c r="X33"/>
      <c r="Y33"/>
    </row>
    <row r="34" spans="1:25" x14ac:dyDescent="0.25">
      <c r="A34" s="115">
        <v>45979</v>
      </c>
      <c r="B34" s="24" t="s">
        <v>172</v>
      </c>
      <c r="C34" s="116" t="s">
        <v>262</v>
      </c>
      <c r="D34" s="116" t="s">
        <v>87</v>
      </c>
      <c r="E34" s="37"/>
      <c r="F34" s="37"/>
      <c r="G34" s="37"/>
      <c r="H34" s="118" t="e">
        <f>_xlfn.XLOOKUP(Table1[[#This Row],[Shipment Number]], 'pivot '!A:A,'pivot '!G:G, "NF")</f>
        <v>#DIV/0!</v>
      </c>
      <c r="I34" s="118">
        <f>_xlfn.XLOOKUP(Table1[[#This Row],[Party Name]],
[1]Billing!$Q$5:$Q$25,
[1]Billing!$U$5:$U$25)</f>
        <v>0</v>
      </c>
      <c r="J34" s="118">
        <f>_xlfn.XLOOKUP(Table1[[#This Row],[Party Name]],
[1]Billing!$Q$5:$Q$25,
[1]Billing!$W$5:$W$25)</f>
        <v>0</v>
      </c>
      <c r="K34" s="116"/>
      <c r="P34"/>
      <c r="Q34"/>
      <c r="R34"/>
      <c r="S34"/>
      <c r="T34"/>
      <c r="U34"/>
      <c r="V34"/>
      <c r="W34"/>
      <c r="X34"/>
      <c r="Y34"/>
    </row>
    <row r="35" spans="1:25" x14ac:dyDescent="0.25">
      <c r="A35" s="115">
        <v>45979</v>
      </c>
      <c r="B35" s="24" t="s">
        <v>179</v>
      </c>
      <c r="C35" s="116" t="s">
        <v>262</v>
      </c>
      <c r="D35" s="116" t="s">
        <v>87</v>
      </c>
      <c r="E35" s="37"/>
      <c r="F35" s="37"/>
      <c r="G35" s="37"/>
      <c r="H35" s="118" t="e">
        <f>_xlfn.XLOOKUP(Table1[[#This Row],[Shipment Number]], 'pivot '!A:A,'pivot '!G:G, "NF")</f>
        <v>#DIV/0!</v>
      </c>
      <c r="I35" s="118">
        <f>_xlfn.XLOOKUP(Table1[[#This Row],[Party Name]],
[1]Billing!$Q$5:$Q$25,
[1]Billing!$U$5:$U$25)</f>
        <v>0</v>
      </c>
      <c r="J35" s="118">
        <f>_xlfn.XLOOKUP(Table1[[#This Row],[Party Name]],
[1]Billing!$Q$5:$Q$25,
[1]Billing!$W$5:$W$25)</f>
        <v>0</v>
      </c>
      <c r="K35" s="116"/>
      <c r="P35"/>
      <c r="Q35"/>
      <c r="R35"/>
      <c r="S35"/>
      <c r="T35"/>
      <c r="U35"/>
      <c r="V35"/>
      <c r="W35"/>
      <c r="X35"/>
      <c r="Y35"/>
    </row>
    <row r="36" spans="1:25" x14ac:dyDescent="0.25">
      <c r="A36" s="115">
        <v>45979</v>
      </c>
      <c r="B36" s="24" t="s">
        <v>180</v>
      </c>
      <c r="C36" s="116" t="s">
        <v>262</v>
      </c>
      <c r="D36" s="116" t="s">
        <v>87</v>
      </c>
      <c r="E36" s="37"/>
      <c r="F36" s="37"/>
      <c r="G36" s="37"/>
      <c r="H36" s="118" t="e">
        <f>_xlfn.XLOOKUP(Table1[[#This Row],[Shipment Number]], 'pivot '!A:A,'pivot '!G:G, "NF")</f>
        <v>#DIV/0!</v>
      </c>
      <c r="I36" s="118">
        <f>_xlfn.XLOOKUP(Table1[[#This Row],[Party Name]],
[1]Billing!$Q$5:$Q$25,
[1]Billing!$U$5:$U$25)</f>
        <v>0</v>
      </c>
      <c r="J36" s="118">
        <f>_xlfn.XLOOKUP(Table1[[#This Row],[Party Name]],
[1]Billing!$Q$5:$Q$25,
[1]Billing!$W$5:$W$25)</f>
        <v>0</v>
      </c>
      <c r="K36" s="116"/>
      <c r="P36"/>
      <c r="Q36"/>
      <c r="R36"/>
      <c r="S36"/>
      <c r="T36"/>
      <c r="U36"/>
      <c r="V36"/>
      <c r="W36"/>
      <c r="X36"/>
      <c r="Y36"/>
    </row>
    <row r="37" spans="1:25" x14ac:dyDescent="0.25">
      <c r="A37" s="115">
        <v>45979</v>
      </c>
      <c r="B37" s="24" t="s">
        <v>182</v>
      </c>
      <c r="C37" s="116" t="s">
        <v>262</v>
      </c>
      <c r="D37" s="116" t="s">
        <v>87</v>
      </c>
      <c r="E37" s="37"/>
      <c r="F37" s="37"/>
      <c r="G37" s="37"/>
      <c r="H37" s="118" t="e">
        <f>_xlfn.XLOOKUP(Table1[[#This Row],[Shipment Number]], 'pivot '!A:A,'pivot '!G:G, "NF")</f>
        <v>#DIV/0!</v>
      </c>
      <c r="I37" s="118">
        <f>_xlfn.XLOOKUP(Table1[[#This Row],[Party Name]],
[1]Billing!$Q$5:$Q$25,
[1]Billing!$U$5:$U$25)</f>
        <v>0</v>
      </c>
      <c r="J37" s="118">
        <f>_xlfn.XLOOKUP(Table1[[#This Row],[Party Name]],
[1]Billing!$Q$5:$Q$25,
[1]Billing!$W$5:$W$25)</f>
        <v>0</v>
      </c>
      <c r="K37" s="116"/>
      <c r="P37"/>
      <c r="Q37"/>
      <c r="R37"/>
      <c r="S37"/>
      <c r="T37"/>
      <c r="U37"/>
      <c r="V37"/>
      <c r="W37"/>
      <c r="X37"/>
      <c r="Y37"/>
    </row>
    <row r="38" spans="1:25" x14ac:dyDescent="0.25">
      <c r="A38" s="115">
        <v>45979</v>
      </c>
      <c r="B38" s="24" t="s">
        <v>193</v>
      </c>
      <c r="C38" s="116" t="s">
        <v>262</v>
      </c>
      <c r="D38" s="116" t="s">
        <v>87</v>
      </c>
      <c r="E38" s="37"/>
      <c r="F38" s="37"/>
      <c r="G38" s="37"/>
      <c r="H38" s="118"/>
      <c r="I38" s="118">
        <f>_xlfn.XLOOKUP(Table1[[#This Row],[Party Name]],
[1]Billing!$Q$5:$Q$25,
[1]Billing!$U$5:$U$25)</f>
        <v>200198.42721287493</v>
      </c>
      <c r="J38" s="118">
        <f>_xlfn.XLOOKUP(Table1[[#This Row],[Party Name]],
[1]Billing!$Q$5:$Q$25,
[1]Billing!$W$5:$W$25)</f>
        <v>2602579.5537673743</v>
      </c>
      <c r="K38" s="116"/>
      <c r="P38"/>
      <c r="Q38"/>
      <c r="R38"/>
      <c r="S38"/>
      <c r="T38"/>
      <c r="U38"/>
      <c r="V38"/>
      <c r="W38"/>
      <c r="X38"/>
      <c r="Y38"/>
    </row>
    <row r="39" spans="1:25" x14ac:dyDescent="0.25">
      <c r="A39" s="115">
        <v>45979</v>
      </c>
      <c r="B39" s="24" t="s">
        <v>202</v>
      </c>
      <c r="C39" s="116" t="s">
        <v>262</v>
      </c>
      <c r="D39" s="116" t="s">
        <v>87</v>
      </c>
      <c r="E39" s="37"/>
      <c r="F39" s="37"/>
      <c r="G39" s="37"/>
      <c r="H39" s="118"/>
      <c r="I39" s="118">
        <f>_xlfn.XLOOKUP(Table1[[#This Row],[Party Name]],
[1]Billing!$Q$5:$Q$25,
[1]Billing!$U$5:$U$25)</f>
        <v>7565.8376005852242</v>
      </c>
      <c r="J39" s="118">
        <f>_xlfn.XLOOKUP(Table1[[#This Row],[Party Name]],
[1]Billing!$Q$5:$Q$25,
[1]Billing!$W$5:$W$25)</f>
        <v>98355.888807607917</v>
      </c>
      <c r="K39" s="116"/>
      <c r="P39"/>
      <c r="Q39"/>
      <c r="R39"/>
      <c r="S39"/>
      <c r="T39"/>
      <c r="U39"/>
      <c r="V39"/>
      <c r="W39"/>
      <c r="X39"/>
      <c r="Y39"/>
    </row>
    <row r="40" spans="1:25" x14ac:dyDescent="0.25">
      <c r="A40" s="115">
        <v>45979</v>
      </c>
      <c r="B40" s="24" t="s">
        <v>207</v>
      </c>
      <c r="C40" s="116" t="s">
        <v>262</v>
      </c>
      <c r="D40" s="116" t="s">
        <v>87</v>
      </c>
      <c r="E40" s="37"/>
      <c r="F40" s="37"/>
      <c r="G40" s="37"/>
      <c r="H40" s="118"/>
      <c r="I40" s="118">
        <f>_xlfn.XLOOKUP(Table1[[#This Row],[Party Name]],
[1]Billing!$Q$5:$Q$25,
[1]Billing!$U$5:$U$25)</f>
        <v>43834.125822970011</v>
      </c>
      <c r="J40" s="118">
        <f>_xlfn.XLOOKUP(Table1[[#This Row],[Party Name]],
[1]Billing!$Q$5:$Q$25,
[1]Billing!$W$5:$W$25)</f>
        <v>569843.63569861022</v>
      </c>
      <c r="K40" s="116"/>
      <c r="P40"/>
      <c r="Q40"/>
      <c r="R40"/>
      <c r="S40"/>
      <c r="T40"/>
      <c r="U40"/>
      <c r="V40"/>
      <c r="W40"/>
      <c r="X40"/>
      <c r="Y40"/>
    </row>
    <row r="41" spans="1:25" x14ac:dyDescent="0.25">
      <c r="A41" s="115">
        <v>45979</v>
      </c>
      <c r="B41" s="24" t="s">
        <v>258</v>
      </c>
      <c r="C41" s="116" t="s">
        <v>262</v>
      </c>
      <c r="D41" s="116" t="s">
        <v>87</v>
      </c>
      <c r="E41" s="37"/>
      <c r="F41" s="37"/>
      <c r="G41" s="37"/>
      <c r="H41" s="118"/>
      <c r="I41" s="118">
        <f>_xlfn.XLOOKUP(Table1[[#This Row],[Party Name]],
[1]Billing!$Q$5:$Q$25,
[1]Billing!$U$5:$U$25)</f>
        <v>0</v>
      </c>
      <c r="J41" s="118">
        <f>_xlfn.XLOOKUP(Table1[[#This Row],[Party Name]],
[1]Billing!$Q$5:$Q$25,
[1]Billing!$W$5:$W$25)</f>
        <v>0</v>
      </c>
      <c r="K41" s="116"/>
      <c r="P41"/>
      <c r="Q41"/>
      <c r="R41"/>
      <c r="S41"/>
      <c r="T41"/>
      <c r="U41"/>
      <c r="V41"/>
      <c r="W41"/>
      <c r="X41"/>
      <c r="Y41"/>
    </row>
    <row r="42" spans="1:25" x14ac:dyDescent="0.25">
      <c r="A42" s="115">
        <v>45979</v>
      </c>
      <c r="B42" s="24" t="s">
        <v>21</v>
      </c>
      <c r="C42" s="116" t="s">
        <v>262</v>
      </c>
      <c r="D42" s="116" t="s">
        <v>260</v>
      </c>
      <c r="E42" s="37"/>
      <c r="F42" s="37"/>
      <c r="G42" s="37"/>
      <c r="H42" s="118"/>
      <c r="I42" s="118"/>
      <c r="J42" s="118">
        <f>_xlfn.XLOOKUP(Table1[[#This Row],[Party Name]],
[1]Billing!$Q$5:$Q$25,
[1]Billing!$X$5:$X$25)</f>
        <v>0</v>
      </c>
      <c r="K42" s="116"/>
      <c r="P42"/>
      <c r="Q42"/>
      <c r="R42"/>
      <c r="S42"/>
      <c r="T42"/>
      <c r="U42"/>
      <c r="V42"/>
      <c r="W42"/>
      <c r="X42"/>
      <c r="Y42"/>
    </row>
    <row r="43" spans="1:25" x14ac:dyDescent="0.25">
      <c r="A43" s="115">
        <v>45979</v>
      </c>
      <c r="B43" s="24" t="s">
        <v>22</v>
      </c>
      <c r="C43" s="116" t="s">
        <v>262</v>
      </c>
      <c r="D43" s="116" t="s">
        <v>260</v>
      </c>
      <c r="E43" s="37"/>
      <c r="F43" s="37"/>
      <c r="G43" s="37"/>
      <c r="H43" s="118"/>
      <c r="I43" s="118"/>
      <c r="J43" s="118">
        <f>_xlfn.XLOOKUP(Table1[[#This Row],[Party Name]],
[1]Billing!$Q$5:$Q$25,
[1]Billing!$X$5:$X$25)</f>
        <v>0</v>
      </c>
      <c r="K43" s="116"/>
      <c r="P43"/>
      <c r="Q43"/>
      <c r="R43"/>
      <c r="S43"/>
      <c r="T43"/>
      <c r="U43"/>
      <c r="V43"/>
      <c r="W43"/>
      <c r="X43"/>
      <c r="Y43"/>
    </row>
    <row r="44" spans="1:25" x14ac:dyDescent="0.25">
      <c r="A44" s="115">
        <v>45979</v>
      </c>
      <c r="B44" s="24" t="s">
        <v>9</v>
      </c>
      <c r="C44" s="116" t="s">
        <v>262</v>
      </c>
      <c r="D44" s="116" t="s">
        <v>260</v>
      </c>
      <c r="E44" s="37"/>
      <c r="F44" s="37"/>
      <c r="G44" s="37"/>
      <c r="H44" s="118"/>
      <c r="I44" s="118"/>
      <c r="J44" s="118">
        <f>_xlfn.XLOOKUP(Table1[[#This Row],[Party Name]],
[1]Billing!$Q$5:$Q$25,
[1]Billing!$X$5:$X$25)</f>
        <v>0</v>
      </c>
      <c r="K44" s="116"/>
      <c r="P44"/>
      <c r="Q44"/>
      <c r="R44"/>
      <c r="S44"/>
      <c r="T44"/>
      <c r="U44"/>
      <c r="V44"/>
      <c r="W44"/>
      <c r="X44"/>
      <c r="Y44"/>
    </row>
    <row r="45" spans="1:25" x14ac:dyDescent="0.25">
      <c r="A45" s="115">
        <v>45979</v>
      </c>
      <c r="B45" s="24" t="s">
        <v>23</v>
      </c>
      <c r="C45" s="116" t="s">
        <v>262</v>
      </c>
      <c r="D45" s="116" t="s">
        <v>260</v>
      </c>
      <c r="E45" s="37"/>
      <c r="F45" s="37"/>
      <c r="G45" s="37"/>
      <c r="H45" s="118"/>
      <c r="I45" s="118"/>
      <c r="J45" s="118">
        <f>_xlfn.XLOOKUP(Table1[[#This Row],[Party Name]],
[1]Billing!$Q$5:$Q$25,
[1]Billing!$X$5:$X$25)</f>
        <v>0</v>
      </c>
      <c r="K45" s="116"/>
      <c r="P45"/>
      <c r="Q45"/>
      <c r="R45"/>
      <c r="S45"/>
      <c r="T45"/>
      <c r="U45"/>
      <c r="V45"/>
      <c r="W45"/>
      <c r="X45"/>
      <c r="Y45"/>
    </row>
    <row r="46" spans="1:25" x14ac:dyDescent="0.25">
      <c r="A46" s="115">
        <v>45979</v>
      </c>
      <c r="B46" s="24" t="s">
        <v>24</v>
      </c>
      <c r="C46" s="116" t="s">
        <v>262</v>
      </c>
      <c r="D46" s="116" t="s">
        <v>260</v>
      </c>
      <c r="E46" s="37"/>
      <c r="F46" s="37"/>
      <c r="G46" s="37"/>
      <c r="H46" s="118" t="e">
        <f>_xlfn.XLOOKUP(Table1[[#This Row],[Shipment Number]], 'pivot '!A:A,'pivot '!G:G, "NF")</f>
        <v>#DIV/0!</v>
      </c>
      <c r="I46" s="118"/>
      <c r="J46" s="118">
        <f>_xlfn.XLOOKUP(Table1[[#This Row],[Party Name]],
[1]Billing!$Q$5:$Q$25,
[1]Billing!$X$5:$X$25)</f>
        <v>0</v>
      </c>
      <c r="K46" s="116"/>
      <c r="P46"/>
      <c r="Q46"/>
      <c r="R46"/>
      <c r="S46"/>
      <c r="T46"/>
      <c r="U46"/>
      <c r="V46"/>
      <c r="W46"/>
      <c r="X46"/>
      <c r="Y46"/>
    </row>
    <row r="47" spans="1:25" x14ac:dyDescent="0.25">
      <c r="A47" s="115">
        <v>45979</v>
      </c>
      <c r="B47" s="24" t="s">
        <v>25</v>
      </c>
      <c r="C47" s="116" t="s">
        <v>262</v>
      </c>
      <c r="D47" s="116" t="s">
        <v>260</v>
      </c>
      <c r="E47" s="37"/>
      <c r="F47" s="37"/>
      <c r="G47" s="37"/>
      <c r="H47" s="118" t="e">
        <f>_xlfn.XLOOKUP(Table1[[#This Row],[Shipment Number]], 'pivot '!A:A,'pivot '!G:G, "NF")</f>
        <v>#DIV/0!</v>
      </c>
      <c r="I47" s="118"/>
      <c r="J47" s="118">
        <f>_xlfn.XLOOKUP(Table1[[#This Row],[Party Name]],
[1]Billing!$Q$5:$Q$25,
[1]Billing!$X$5:$X$25)</f>
        <v>71359.729334308722</v>
      </c>
      <c r="K47" s="116"/>
      <c r="P47"/>
      <c r="Q47"/>
      <c r="R47"/>
      <c r="S47"/>
      <c r="T47"/>
      <c r="U47"/>
      <c r="V47"/>
      <c r="W47"/>
      <c r="X47"/>
      <c r="Y47"/>
    </row>
    <row r="48" spans="1:25" x14ac:dyDescent="0.25">
      <c r="A48" s="115">
        <v>45979</v>
      </c>
      <c r="B48" s="24" t="s">
        <v>26</v>
      </c>
      <c r="C48" s="116" t="s">
        <v>262</v>
      </c>
      <c r="D48" s="116" t="s">
        <v>260</v>
      </c>
      <c r="E48" s="37"/>
      <c r="F48" s="37"/>
      <c r="G48" s="37"/>
      <c r="H48" s="118" t="e">
        <f>_xlfn.XLOOKUP(Table1[[#This Row],[Shipment Number]], 'pivot '!A:A,'pivot '!G:G, "NF")</f>
        <v>#DIV/0!</v>
      </c>
      <c r="I48" s="118"/>
      <c r="J48" s="118">
        <f>_xlfn.XLOOKUP(Table1[[#This Row],[Party Name]],
[1]Billing!$Q$5:$Q$25,
[1]Billing!$X$5:$X$25)</f>
        <v>0</v>
      </c>
      <c r="K48" s="116"/>
      <c r="P48"/>
      <c r="Q48"/>
      <c r="R48"/>
      <c r="S48"/>
      <c r="T48"/>
      <c r="U48"/>
      <c r="V48"/>
      <c r="W48"/>
      <c r="X48"/>
      <c r="Y48"/>
    </row>
    <row r="49" spans="1:25" x14ac:dyDescent="0.25">
      <c r="A49" s="115">
        <v>45979</v>
      </c>
      <c r="B49" s="24" t="s">
        <v>155</v>
      </c>
      <c r="C49" s="116" t="s">
        <v>262</v>
      </c>
      <c r="D49" s="116" t="s">
        <v>260</v>
      </c>
      <c r="E49" s="37"/>
      <c r="F49" s="37"/>
      <c r="G49" s="37"/>
      <c r="H49" s="118" t="e">
        <f>_xlfn.XLOOKUP(Table1[[#This Row],[Shipment Number]], 'pivot '!A:A,'pivot '!G:G, "NF")</f>
        <v>#DIV/0!</v>
      </c>
      <c r="I49" s="118"/>
      <c r="J49" s="118">
        <f>_xlfn.XLOOKUP(Table1[[#This Row],[Party Name]],
[1]Billing!$Q$5:$Q$25,
[1]Billing!$X$5:$X$25)</f>
        <v>0</v>
      </c>
      <c r="K49" s="116"/>
      <c r="P49"/>
      <c r="Q49"/>
      <c r="R49"/>
      <c r="S49"/>
      <c r="T49"/>
      <c r="U49"/>
      <c r="V49"/>
      <c r="W49"/>
      <c r="X49"/>
      <c r="Y49"/>
    </row>
    <row r="50" spans="1:25" x14ac:dyDescent="0.25">
      <c r="A50" s="115">
        <v>45979</v>
      </c>
      <c r="B50" s="24" t="s">
        <v>35</v>
      </c>
      <c r="C50" s="116" t="s">
        <v>262</v>
      </c>
      <c r="D50" s="116" t="s">
        <v>260</v>
      </c>
      <c r="E50" s="37"/>
      <c r="F50" s="37"/>
      <c r="G50" s="37"/>
      <c r="H50" s="118" t="e">
        <f>_xlfn.XLOOKUP(Table1[[#This Row],[Shipment Number]], 'pivot '!A:A,'pivot '!G:G, "NF")</f>
        <v>#DIV/0!</v>
      </c>
      <c r="I50" s="118"/>
      <c r="J50" s="118">
        <f>_xlfn.XLOOKUP(Table1[[#This Row],[Party Name]],
[1]Billing!$Q$5:$Q$25,
[1]Billing!$X$5:$X$25)</f>
        <v>0</v>
      </c>
      <c r="K50" s="116"/>
      <c r="P50"/>
      <c r="Q50"/>
      <c r="R50"/>
      <c r="S50"/>
      <c r="T50"/>
      <c r="U50"/>
      <c r="V50"/>
      <c r="W50"/>
      <c r="X50"/>
      <c r="Y50"/>
    </row>
    <row r="51" spans="1:25" x14ac:dyDescent="0.25">
      <c r="A51" s="115">
        <v>45979</v>
      </c>
      <c r="B51" s="24" t="s">
        <v>151</v>
      </c>
      <c r="C51" s="116" t="s">
        <v>262</v>
      </c>
      <c r="D51" s="116" t="s">
        <v>260</v>
      </c>
      <c r="E51" s="37"/>
      <c r="F51" s="37"/>
      <c r="G51" s="37"/>
      <c r="H51" s="118" t="e">
        <f>_xlfn.XLOOKUP(Table1[[#This Row],[Shipment Number]], 'pivot '!A:A,'pivot '!G:G, "NF")</f>
        <v>#DIV/0!</v>
      </c>
      <c r="I51" s="118"/>
      <c r="J51" s="118">
        <f>_xlfn.XLOOKUP(Table1[[#This Row],[Party Name]],
[1]Billing!$Q$5:$Q$25,
[1]Billing!$X$5:$X$25)</f>
        <v>0</v>
      </c>
      <c r="K51" s="116"/>
      <c r="P51"/>
      <c r="Q51"/>
      <c r="R51"/>
      <c r="S51"/>
      <c r="T51"/>
      <c r="U51"/>
      <c r="V51"/>
      <c r="W51"/>
      <c r="X51"/>
      <c r="Y51"/>
    </row>
    <row r="52" spans="1:25" x14ac:dyDescent="0.25">
      <c r="A52" s="115">
        <v>45979</v>
      </c>
      <c r="B52" s="24" t="s">
        <v>27</v>
      </c>
      <c r="C52" s="116" t="s">
        <v>262</v>
      </c>
      <c r="D52" s="116" t="s">
        <v>260</v>
      </c>
      <c r="E52" s="37"/>
      <c r="F52" s="37"/>
      <c r="G52" s="37"/>
      <c r="H52" s="118" t="e">
        <f>_xlfn.XLOOKUP(Table1[[#This Row],[Shipment Number]], 'pivot '!A:A,'pivot '!G:G, "NF")</f>
        <v>#DIV/0!</v>
      </c>
      <c r="I52" s="118"/>
      <c r="J52" s="118">
        <f>_xlfn.XLOOKUP(Table1[[#This Row],[Party Name]],
[1]Billing!$Q$5:$Q$25,
[1]Billing!$X$5:$X$25)</f>
        <v>0</v>
      </c>
      <c r="K52" s="116"/>
      <c r="P52"/>
      <c r="Q52"/>
      <c r="R52"/>
      <c r="S52"/>
      <c r="T52"/>
      <c r="U52"/>
      <c r="V52"/>
      <c r="W52"/>
      <c r="X52"/>
      <c r="Y52"/>
    </row>
    <row r="53" spans="1:25" x14ac:dyDescent="0.25">
      <c r="A53" s="115">
        <v>45979</v>
      </c>
      <c r="B53" s="24" t="s">
        <v>169</v>
      </c>
      <c r="C53" s="116" t="s">
        <v>262</v>
      </c>
      <c r="D53" s="116" t="s">
        <v>260</v>
      </c>
      <c r="E53" s="37"/>
      <c r="F53" s="37"/>
      <c r="G53" s="37"/>
      <c r="H53" s="118" t="e">
        <f>_xlfn.XLOOKUP(Table1[[#This Row],[Shipment Number]], 'pivot '!A:A,'pivot '!G:G, "NF")</f>
        <v>#DIV/0!</v>
      </c>
      <c r="I53" s="118"/>
      <c r="J53" s="118">
        <f>_xlfn.XLOOKUP(Table1[[#This Row],[Party Name]],
[1]Billing!$Q$5:$Q$25,
[1]Billing!$X$5:$X$25)</f>
        <v>0</v>
      </c>
      <c r="K53" s="116"/>
      <c r="P53"/>
      <c r="Q53"/>
      <c r="R53"/>
      <c r="S53"/>
      <c r="T53"/>
      <c r="U53"/>
      <c r="V53"/>
      <c r="W53"/>
      <c r="X53"/>
      <c r="Y53"/>
    </row>
    <row r="54" spans="1:25" x14ac:dyDescent="0.25">
      <c r="A54" s="115">
        <v>45979</v>
      </c>
      <c r="B54" s="24" t="s">
        <v>172</v>
      </c>
      <c r="C54" s="116" t="s">
        <v>262</v>
      </c>
      <c r="D54" s="116" t="s">
        <v>260</v>
      </c>
      <c r="E54" s="37"/>
      <c r="F54" s="37"/>
      <c r="G54" s="37"/>
      <c r="H54" s="118" t="e">
        <f>_xlfn.XLOOKUP(Table1[[#This Row],[Shipment Number]], 'pivot '!A:A,'pivot '!G:G, "NF")</f>
        <v>#DIV/0!</v>
      </c>
      <c r="I54" s="118"/>
      <c r="J54" s="118">
        <f>_xlfn.XLOOKUP(Table1[[#This Row],[Party Name]],
[1]Billing!$Q$5:$Q$25,
[1]Billing!$X$5:$X$25)</f>
        <v>0</v>
      </c>
      <c r="K54" s="116"/>
      <c r="P54"/>
      <c r="Q54"/>
      <c r="R54"/>
      <c r="S54"/>
      <c r="T54"/>
      <c r="U54"/>
      <c r="V54"/>
      <c r="W54"/>
      <c r="X54"/>
      <c r="Y54"/>
    </row>
    <row r="55" spans="1:25" x14ac:dyDescent="0.25">
      <c r="A55" s="115">
        <v>45979</v>
      </c>
      <c r="B55" s="24" t="s">
        <v>179</v>
      </c>
      <c r="C55" s="116" t="s">
        <v>262</v>
      </c>
      <c r="D55" s="116" t="s">
        <v>260</v>
      </c>
      <c r="E55" s="37"/>
      <c r="F55" s="37"/>
      <c r="G55" s="37"/>
      <c r="H55" s="118" t="e">
        <f>_xlfn.XLOOKUP(Table1[[#This Row],[Shipment Number]], 'pivot '!A:A,'pivot '!G:G, "NF")</f>
        <v>#DIV/0!</v>
      </c>
      <c r="I55" s="118"/>
      <c r="J55" s="118">
        <f>_xlfn.XLOOKUP(Table1[[#This Row],[Party Name]],
[1]Billing!$Q$5:$Q$25,
[1]Billing!$X$5:$X$25)</f>
        <v>0</v>
      </c>
      <c r="K55" s="116"/>
      <c r="P55"/>
      <c r="Q55"/>
      <c r="R55"/>
      <c r="S55"/>
      <c r="T55"/>
      <c r="U55"/>
      <c r="V55"/>
      <c r="W55"/>
      <c r="X55"/>
      <c r="Y55"/>
    </row>
    <row r="56" spans="1:25" x14ac:dyDescent="0.25">
      <c r="A56" s="115">
        <v>45979</v>
      </c>
      <c r="B56" s="24" t="s">
        <v>180</v>
      </c>
      <c r="C56" s="116" t="s">
        <v>262</v>
      </c>
      <c r="D56" s="116" t="s">
        <v>260</v>
      </c>
      <c r="E56" s="37"/>
      <c r="F56" s="37"/>
      <c r="G56" s="37"/>
      <c r="H56" s="118" t="e">
        <f>_xlfn.XLOOKUP(Table1[[#This Row],[Shipment Number]], 'pivot '!A:A,'pivot '!G:G, "NF")</f>
        <v>#DIV/0!</v>
      </c>
      <c r="I56" s="118"/>
      <c r="J56" s="118">
        <f>_xlfn.XLOOKUP(Table1[[#This Row],[Party Name]],
[1]Billing!$Q$5:$Q$25,
[1]Billing!$X$5:$X$25)</f>
        <v>0</v>
      </c>
      <c r="K56" s="116"/>
      <c r="P56"/>
      <c r="Q56"/>
      <c r="R56"/>
      <c r="S56"/>
      <c r="T56"/>
      <c r="U56"/>
      <c r="V56"/>
      <c r="W56"/>
      <c r="X56"/>
      <c r="Y56"/>
    </row>
    <row r="57" spans="1:25" x14ac:dyDescent="0.25">
      <c r="A57" s="115">
        <v>45979</v>
      </c>
      <c r="B57" s="24" t="s">
        <v>182</v>
      </c>
      <c r="C57" s="116" t="s">
        <v>262</v>
      </c>
      <c r="D57" s="116" t="s">
        <v>260</v>
      </c>
      <c r="E57" s="37"/>
      <c r="F57" s="37"/>
      <c r="G57" s="37"/>
      <c r="H57" s="118" t="e">
        <f>_xlfn.XLOOKUP(Table1[[#This Row],[Shipment Number]], 'pivot '!A:A,'pivot '!G:G, "NF")</f>
        <v>#DIV/0!</v>
      </c>
      <c r="I57" s="118"/>
      <c r="J57" s="118">
        <f>_xlfn.XLOOKUP(Table1[[#This Row],[Party Name]],
[1]Billing!$Q$5:$Q$25,
[1]Billing!$X$5:$X$25)</f>
        <v>0</v>
      </c>
      <c r="K57" s="116"/>
      <c r="P57"/>
      <c r="Q57"/>
      <c r="R57"/>
      <c r="S57"/>
      <c r="T57"/>
      <c r="U57"/>
      <c r="V57"/>
      <c r="W57"/>
      <c r="X57"/>
      <c r="Y57"/>
    </row>
    <row r="58" spans="1:25" x14ac:dyDescent="0.25">
      <c r="A58" s="115">
        <v>45979</v>
      </c>
      <c r="B58" s="24" t="s">
        <v>193</v>
      </c>
      <c r="C58" s="116" t="s">
        <v>262</v>
      </c>
      <c r="D58" s="116" t="s">
        <v>260</v>
      </c>
      <c r="E58" s="37"/>
      <c r="F58" s="37"/>
      <c r="G58" s="37"/>
      <c r="H58" s="118" t="e">
        <f>_xlfn.XLOOKUP(Table1[[#This Row],[Shipment Number]], 'pivot '!A:A,'pivot '!G:G, "NF")</f>
        <v>#DIV/0!</v>
      </c>
      <c r="I58" s="118"/>
      <c r="J58" s="118">
        <f>_xlfn.XLOOKUP(Table1[[#This Row],[Party Name]],
[1]Billing!$Q$5:$Q$25,
[1]Billing!$X$5:$X$25)</f>
        <v>44550.109729334312</v>
      </c>
      <c r="K58" s="116"/>
      <c r="P58"/>
      <c r="Q58"/>
      <c r="R58"/>
      <c r="S58"/>
      <c r="T58"/>
      <c r="U58"/>
      <c r="V58"/>
      <c r="W58"/>
    </row>
    <row r="59" spans="1:25" x14ac:dyDescent="0.25">
      <c r="A59" s="115">
        <v>45979</v>
      </c>
      <c r="B59" s="24" t="s">
        <v>202</v>
      </c>
      <c r="C59" s="116" t="s">
        <v>262</v>
      </c>
      <c r="D59" s="116" t="s">
        <v>260</v>
      </c>
      <c r="E59" s="37"/>
      <c r="F59" s="37"/>
      <c r="G59" s="37"/>
      <c r="H59" s="118" t="e">
        <f>_xlfn.XLOOKUP(Table1[[#This Row],[Shipment Number]], 'pivot '!A:A,'pivot '!G:G, "NF")</f>
        <v>#DIV/0!</v>
      </c>
      <c r="I59" s="118"/>
      <c r="J59" s="118">
        <f>_xlfn.XLOOKUP(Table1[[#This Row],[Party Name]],
[1]Billing!$Q$5:$Q$25,
[1]Billing!$X$5:$X$25)</f>
        <v>0</v>
      </c>
      <c r="K59" s="116"/>
      <c r="P59"/>
      <c r="Q59"/>
      <c r="R59"/>
      <c r="S59"/>
      <c r="T59"/>
      <c r="U59"/>
    </row>
    <row r="60" spans="1:25" x14ac:dyDescent="0.25">
      <c r="A60" s="115">
        <v>45979</v>
      </c>
      <c r="B60" s="24" t="s">
        <v>207</v>
      </c>
      <c r="C60" s="116" t="s">
        <v>262</v>
      </c>
      <c r="D60" s="116" t="s">
        <v>260</v>
      </c>
      <c r="E60" s="37"/>
      <c r="F60" s="37"/>
      <c r="G60" s="37"/>
      <c r="H60" s="118" t="e">
        <f>_xlfn.XLOOKUP(Table1[[#This Row],[Shipment Number]], 'pivot '!A:A,'pivot '!G:G, "NF")</f>
        <v>#DIV/0!</v>
      </c>
      <c r="I60" s="118"/>
      <c r="J60" s="118">
        <f>_xlfn.XLOOKUP(Table1[[#This Row],[Party Name]],
[1]Billing!$Q$5:$Q$25,
[1]Billing!$X$5:$X$25)</f>
        <v>0</v>
      </c>
      <c r="K60" s="116"/>
      <c r="M60"/>
      <c r="P60"/>
      <c r="Q60"/>
      <c r="R60"/>
      <c r="S60"/>
      <c r="T60"/>
      <c r="U60"/>
    </row>
    <row r="61" spans="1:25" x14ac:dyDescent="0.25">
      <c r="A61" s="115">
        <v>45979</v>
      </c>
      <c r="B61" s="24" t="s">
        <v>258</v>
      </c>
      <c r="C61" s="116" t="s">
        <v>262</v>
      </c>
      <c r="D61" s="116" t="s">
        <v>260</v>
      </c>
      <c r="E61" s="37"/>
      <c r="F61" s="37"/>
      <c r="G61" s="37"/>
      <c r="H61" s="118" t="e">
        <f>_xlfn.XLOOKUP(Table1[[#This Row],[Shipment Number]], 'pivot '!A:A,'pivot '!G:G, "NF")</f>
        <v>#DIV/0!</v>
      </c>
      <c r="I61" s="118"/>
      <c r="J61" s="118">
        <f>_xlfn.XLOOKUP(Table1[[#This Row],[Party Name]],
[1]Billing!$Q$5:$Q$25,
[1]Billing!$X$5:$X$25)</f>
        <v>0</v>
      </c>
      <c r="K61" s="116"/>
      <c r="M61"/>
      <c r="P61"/>
      <c r="Q61"/>
      <c r="R61"/>
      <c r="S61"/>
    </row>
    <row r="62" spans="1:25" x14ac:dyDescent="0.25">
      <c r="A62" s="115">
        <v>45979</v>
      </c>
      <c r="B62" s="24" t="s">
        <v>21</v>
      </c>
      <c r="C62" s="116" t="s">
        <v>262</v>
      </c>
      <c r="D62" s="116" t="s">
        <v>261</v>
      </c>
      <c r="E62" s="37"/>
      <c r="F62" s="37"/>
      <c r="G62" s="37"/>
      <c r="H62" s="118" t="e">
        <f>_xlfn.XLOOKUP(Table1[[#This Row],[Shipment Number]], 'pivot '!A:A,'pivot '!G:G, "NF")</f>
        <v>#DIV/0!</v>
      </c>
      <c r="I62" s="118"/>
      <c r="J62" s="118">
        <f>_xlfn.XLOOKUP(Table1[[#This Row],[Party Name]],
[1]Billing!$Q$5:$Q$25,
[1]Billing!$Y$5:$Y$25)</f>
        <v>0</v>
      </c>
      <c r="K62" s="116"/>
      <c r="M62"/>
      <c r="P62"/>
      <c r="Q62"/>
      <c r="R62"/>
      <c r="S62"/>
    </row>
    <row r="63" spans="1:25" x14ac:dyDescent="0.25">
      <c r="A63" s="115">
        <v>45979</v>
      </c>
      <c r="B63" s="24" t="s">
        <v>22</v>
      </c>
      <c r="C63" s="116" t="s">
        <v>262</v>
      </c>
      <c r="D63" s="116" t="s">
        <v>261</v>
      </c>
      <c r="E63" s="37"/>
      <c r="F63" s="37"/>
      <c r="G63" s="37"/>
      <c r="H63" s="118" t="e">
        <f>_xlfn.XLOOKUP(Table1[[#This Row],[Shipment Number]], 'pivot '!A:A,'pivot '!G:G, "NF")</f>
        <v>#DIV/0!</v>
      </c>
      <c r="I63" s="118"/>
      <c r="J63" s="118">
        <f>_xlfn.XLOOKUP(Table1[[#This Row],[Party Name]],
[1]Billing!$Q$5:$Q$25,
[1]Billing!$Y$5:$Y$25)</f>
        <v>0</v>
      </c>
      <c r="K63" s="116"/>
      <c r="S63"/>
    </row>
    <row r="64" spans="1:25" x14ac:dyDescent="0.25">
      <c r="A64" s="115">
        <v>45979</v>
      </c>
      <c r="B64" s="24" t="s">
        <v>9</v>
      </c>
      <c r="C64" s="116" t="s">
        <v>262</v>
      </c>
      <c r="D64" s="116" t="s">
        <v>261</v>
      </c>
      <c r="E64" s="37"/>
      <c r="F64" s="37"/>
      <c r="G64" s="37"/>
      <c r="H64" s="118" t="e">
        <f>_xlfn.XLOOKUP(Table1[[#This Row],[Shipment Number]], 'pivot '!A:A,'pivot '!G:G, "NF")</f>
        <v>#DIV/0!</v>
      </c>
      <c r="I64" s="118"/>
      <c r="J64" s="118">
        <f>_xlfn.XLOOKUP(Table1[[#This Row],[Party Name]],
[1]Billing!$Q$5:$Q$25,
[1]Billing!$Y$5:$Y$25)</f>
        <v>0</v>
      </c>
      <c r="K64" s="116"/>
      <c r="S64"/>
    </row>
    <row r="65" spans="1:19" x14ac:dyDescent="0.25">
      <c r="A65" s="115">
        <v>45979</v>
      </c>
      <c r="B65" s="24" t="s">
        <v>23</v>
      </c>
      <c r="C65" s="116" t="s">
        <v>262</v>
      </c>
      <c r="D65" s="116" t="s">
        <v>261</v>
      </c>
      <c r="E65" s="37"/>
      <c r="F65" s="37"/>
      <c r="G65" s="37"/>
      <c r="H65" s="118" t="e">
        <f>_xlfn.XLOOKUP(Table1[[#This Row],[Shipment Number]], 'pivot '!A:A,'pivot '!G:G, "NF")</f>
        <v>#DIV/0!</v>
      </c>
      <c r="I65" s="118"/>
      <c r="J65" s="118">
        <f>_xlfn.XLOOKUP(Table1[[#This Row],[Party Name]],
[1]Billing!$Q$5:$Q$25,
[1]Billing!$Y$5:$Y$25)</f>
        <v>0</v>
      </c>
      <c r="K65" s="116"/>
      <c r="S65"/>
    </row>
    <row r="66" spans="1:19" x14ac:dyDescent="0.25">
      <c r="A66" s="115">
        <v>45979</v>
      </c>
      <c r="B66" s="24" t="s">
        <v>24</v>
      </c>
      <c r="C66" s="116" t="s">
        <v>262</v>
      </c>
      <c r="D66" s="116" t="s">
        <v>261</v>
      </c>
      <c r="E66" s="37"/>
      <c r="F66" s="37"/>
      <c r="G66" s="37"/>
      <c r="H66" s="118" t="e">
        <f>_xlfn.XLOOKUP(Table1[[#This Row],[Shipment Number]], 'pivot '!A:A,'pivot '!G:G, "NF")</f>
        <v>#DIV/0!</v>
      </c>
      <c r="I66" s="118"/>
      <c r="J66" s="118">
        <f>_xlfn.XLOOKUP(Table1[[#This Row],[Party Name]],
[1]Billing!$Q$5:$Q$25,
[1]Billing!$Y$5:$Y$25)</f>
        <v>0</v>
      </c>
      <c r="K66" s="116"/>
      <c r="S66"/>
    </row>
    <row r="67" spans="1:19" x14ac:dyDescent="0.25">
      <c r="A67" s="115">
        <v>45979</v>
      </c>
      <c r="B67" s="24" t="s">
        <v>25</v>
      </c>
      <c r="C67" s="116" t="s">
        <v>262</v>
      </c>
      <c r="D67" s="116" t="s">
        <v>261</v>
      </c>
      <c r="E67" s="37"/>
      <c r="F67" s="37"/>
      <c r="G67" s="37"/>
      <c r="H67" s="118" t="e">
        <f>_xlfn.XLOOKUP(Table1[[#This Row],[Shipment Number]], 'pivot '!A:A,'pivot '!G:G, "NF")</f>
        <v>#DIV/0!</v>
      </c>
      <c r="I67" s="118"/>
      <c r="J67" s="118">
        <f>_xlfn.XLOOKUP(Table1[[#This Row],[Party Name]],
[1]Billing!$Q$5:$Q$25,
[1]Billing!$Y$5:$Y$25)</f>
        <v>0</v>
      </c>
      <c r="K67" s="116"/>
      <c r="S67"/>
    </row>
    <row r="68" spans="1:19" x14ac:dyDescent="0.25">
      <c r="A68" s="115">
        <v>45979</v>
      </c>
      <c r="B68" s="24" t="s">
        <v>26</v>
      </c>
      <c r="C68" s="116" t="s">
        <v>262</v>
      </c>
      <c r="D68" s="116" t="s">
        <v>261</v>
      </c>
      <c r="E68" s="37"/>
      <c r="F68" s="37"/>
      <c r="G68" s="37"/>
      <c r="H68" s="118" t="e">
        <f>_xlfn.XLOOKUP(Table1[[#This Row],[Shipment Number]], 'pivot '!A:A,'pivot '!G:G, "NF")</f>
        <v>#DIV/0!</v>
      </c>
      <c r="I68" s="118"/>
      <c r="J68" s="118">
        <f>_xlfn.XLOOKUP(Table1[[#This Row],[Party Name]],
[1]Billing!$Q$5:$Q$25,
[1]Billing!$Y$5:$Y$25)</f>
        <v>0</v>
      </c>
      <c r="K68" s="116"/>
      <c r="S68"/>
    </row>
    <row r="69" spans="1:19" x14ac:dyDescent="0.25">
      <c r="A69" s="115">
        <v>45979</v>
      </c>
      <c r="B69" s="24" t="s">
        <v>155</v>
      </c>
      <c r="C69" s="116" t="s">
        <v>262</v>
      </c>
      <c r="D69" s="116" t="s">
        <v>261</v>
      </c>
      <c r="E69" s="37"/>
      <c r="F69" s="37"/>
      <c r="G69" s="37"/>
      <c r="H69" s="118" t="e">
        <f>_xlfn.XLOOKUP(Table1[[#This Row],[Shipment Number]], 'pivot '!A:A,'pivot '!G:G, "NF")</f>
        <v>#DIV/0!</v>
      </c>
      <c r="I69" s="118"/>
      <c r="J69" s="118">
        <f>_xlfn.XLOOKUP(Table1[[#This Row],[Party Name]],
[1]Billing!$Q$5:$Q$25,
[1]Billing!$Y$5:$Y$25)</f>
        <v>0</v>
      </c>
      <c r="K69" s="116"/>
      <c r="S69"/>
    </row>
    <row r="70" spans="1:19" x14ac:dyDescent="0.25">
      <c r="A70" s="115">
        <v>45979</v>
      </c>
      <c r="B70" s="24" t="s">
        <v>35</v>
      </c>
      <c r="C70" s="116" t="s">
        <v>262</v>
      </c>
      <c r="D70" s="116" t="s">
        <v>261</v>
      </c>
      <c r="E70" s="37"/>
      <c r="F70" s="37"/>
      <c r="G70" s="37"/>
      <c r="H70" s="118" t="e">
        <f>_xlfn.XLOOKUP(Table1[[#This Row],[Shipment Number]], 'pivot '!A:A,'pivot '!G:G, "NF")</f>
        <v>#DIV/0!</v>
      </c>
      <c r="I70" s="118"/>
      <c r="J70" s="118">
        <f>_xlfn.XLOOKUP(Table1[[#This Row],[Party Name]],
[1]Billing!$Q$5:$Q$25,
[1]Billing!$Y$5:$Y$25)</f>
        <v>0</v>
      </c>
      <c r="K70" s="116"/>
      <c r="S70"/>
    </row>
    <row r="71" spans="1:19" x14ac:dyDescent="0.25">
      <c r="A71" s="115">
        <v>45979</v>
      </c>
      <c r="B71" s="24" t="s">
        <v>151</v>
      </c>
      <c r="C71" s="116" t="s">
        <v>262</v>
      </c>
      <c r="D71" s="116" t="s">
        <v>261</v>
      </c>
      <c r="E71" s="37"/>
      <c r="F71" s="37"/>
      <c r="G71" s="37"/>
      <c r="H71" s="118" t="e">
        <f>_xlfn.XLOOKUP(Table1[[#This Row],[Shipment Number]], 'pivot '!A:A,'pivot '!G:G, "NF")</f>
        <v>#DIV/0!</v>
      </c>
      <c r="I71" s="118"/>
      <c r="J71" s="118">
        <f>_xlfn.XLOOKUP(Table1[[#This Row],[Party Name]],
[1]Billing!$Q$5:$Q$25,
[1]Billing!$Y$5:$Y$25)</f>
        <v>0</v>
      </c>
      <c r="K71" s="116"/>
      <c r="S71"/>
    </row>
    <row r="72" spans="1:19" x14ac:dyDescent="0.25">
      <c r="A72" s="115">
        <v>45979</v>
      </c>
      <c r="B72" s="24" t="s">
        <v>27</v>
      </c>
      <c r="C72" s="116" t="s">
        <v>262</v>
      </c>
      <c r="D72" s="116" t="s">
        <v>261</v>
      </c>
      <c r="E72" s="37"/>
      <c r="F72" s="37"/>
      <c r="G72" s="37"/>
      <c r="H72" s="118" t="e">
        <f>_xlfn.XLOOKUP(Table1[[#This Row],[Shipment Number]], 'pivot '!A:A,'pivot '!G:G, "NF")</f>
        <v>#DIV/0!</v>
      </c>
      <c r="I72" s="118"/>
      <c r="J72" s="118">
        <f>_xlfn.XLOOKUP(Table1[[#This Row],[Party Name]],
[1]Billing!$Q$5:$Q$25,
[1]Billing!$Y$5:$Y$25)</f>
        <v>0</v>
      </c>
      <c r="K72" s="116"/>
      <c r="S72"/>
    </row>
    <row r="73" spans="1:19" x14ac:dyDescent="0.25">
      <c r="A73" s="115">
        <v>45979</v>
      </c>
      <c r="B73" s="24" t="s">
        <v>169</v>
      </c>
      <c r="C73" s="116" t="s">
        <v>262</v>
      </c>
      <c r="D73" s="116" t="s">
        <v>261</v>
      </c>
      <c r="E73" s="37"/>
      <c r="F73" s="37"/>
      <c r="G73" s="37"/>
      <c r="H73" s="118" t="e">
        <f>_xlfn.XLOOKUP(Table1[[#This Row],[Shipment Number]], 'pivot '!A:A,'pivot '!G:G, "NF")</f>
        <v>#DIV/0!</v>
      </c>
      <c r="I73" s="118"/>
      <c r="J73" s="118">
        <f>_xlfn.XLOOKUP(Table1[[#This Row],[Party Name]],
[1]Billing!$Q$5:$Q$25,
[1]Billing!$Y$5:$Y$25)</f>
        <v>0</v>
      </c>
      <c r="K73" s="116"/>
    </row>
    <row r="74" spans="1:19" x14ac:dyDescent="0.25">
      <c r="A74" s="115">
        <v>45979</v>
      </c>
      <c r="B74" s="24" t="s">
        <v>172</v>
      </c>
      <c r="C74" s="116" t="s">
        <v>262</v>
      </c>
      <c r="D74" s="116" t="s">
        <v>261</v>
      </c>
      <c r="E74" s="37"/>
      <c r="F74" s="37"/>
      <c r="G74" s="37"/>
      <c r="H74" s="118" t="e">
        <f>_xlfn.XLOOKUP(Table1[[#This Row],[Shipment Number]], 'pivot '!A:A,'pivot '!G:G, "NF")</f>
        <v>#DIV/0!</v>
      </c>
      <c r="I74" s="118"/>
      <c r="J74" s="118">
        <f>_xlfn.XLOOKUP(Table1[[#This Row],[Party Name]],
[1]Billing!$Q$5:$Q$25,
[1]Billing!$Y$5:$Y$25)</f>
        <v>0</v>
      </c>
      <c r="K74" s="116"/>
    </row>
    <row r="75" spans="1:19" x14ac:dyDescent="0.25">
      <c r="A75" s="115">
        <v>45979</v>
      </c>
      <c r="B75" s="24" t="s">
        <v>179</v>
      </c>
      <c r="C75" s="116" t="s">
        <v>262</v>
      </c>
      <c r="D75" s="116" t="s">
        <v>261</v>
      </c>
      <c r="E75" s="37"/>
      <c r="F75" s="37"/>
      <c r="G75" s="37"/>
      <c r="H75" s="118" t="e">
        <f>_xlfn.XLOOKUP(Table1[[#This Row],[Shipment Number]], 'pivot '!A:A,'pivot '!G:G, "NF")</f>
        <v>#DIV/0!</v>
      </c>
      <c r="I75" s="118"/>
      <c r="J75" s="118">
        <f>_xlfn.XLOOKUP(Table1[[#This Row],[Party Name]],
[1]Billing!$Q$5:$Q$25,
[1]Billing!$Y$5:$Y$25)</f>
        <v>0</v>
      </c>
      <c r="K75" s="116"/>
    </row>
    <row r="76" spans="1:19" x14ac:dyDescent="0.25">
      <c r="A76" s="115">
        <v>45979</v>
      </c>
      <c r="B76" s="24" t="s">
        <v>180</v>
      </c>
      <c r="C76" s="116" t="s">
        <v>262</v>
      </c>
      <c r="D76" s="116" t="s">
        <v>261</v>
      </c>
      <c r="E76" s="37"/>
      <c r="F76" s="37"/>
      <c r="G76" s="37"/>
      <c r="H76" s="118" t="e">
        <f>_xlfn.XLOOKUP(Table1[[#This Row],[Shipment Number]], 'pivot '!A:A,'pivot '!G:G, "NF")</f>
        <v>#DIV/0!</v>
      </c>
      <c r="I76" s="118"/>
      <c r="J76" s="118">
        <f>_xlfn.XLOOKUP(Table1[[#This Row],[Party Name]],
[1]Billing!$Q$5:$Q$25,
[1]Billing!$Y$5:$Y$25)</f>
        <v>0</v>
      </c>
      <c r="K76" s="116"/>
    </row>
    <row r="77" spans="1:19" x14ac:dyDescent="0.25">
      <c r="A77" s="115">
        <v>45979</v>
      </c>
      <c r="B77" s="24" t="s">
        <v>182</v>
      </c>
      <c r="C77" s="116" t="s">
        <v>262</v>
      </c>
      <c r="D77" s="116" t="s">
        <v>261</v>
      </c>
      <c r="E77" s="37"/>
      <c r="F77" s="37"/>
      <c r="G77" s="37"/>
      <c r="H77" s="118" t="e">
        <f>_xlfn.XLOOKUP(Table1[[#This Row],[Shipment Number]], 'pivot '!A:A,'pivot '!G:G, "NF")</f>
        <v>#DIV/0!</v>
      </c>
      <c r="I77" s="118"/>
      <c r="J77" s="118">
        <f>_xlfn.XLOOKUP(Table1[[#This Row],[Party Name]],
[1]Billing!$Q$5:$Q$25,
[1]Billing!$Y$5:$Y$25)</f>
        <v>0</v>
      </c>
      <c r="K77" s="116"/>
    </row>
    <row r="78" spans="1:19" x14ac:dyDescent="0.25">
      <c r="A78" s="115">
        <v>45979</v>
      </c>
      <c r="B78" s="24" t="s">
        <v>193</v>
      </c>
      <c r="C78" s="116" t="s">
        <v>262</v>
      </c>
      <c r="D78" s="116" t="s">
        <v>261</v>
      </c>
      <c r="E78" s="37"/>
      <c r="F78" s="37"/>
      <c r="G78" s="37"/>
      <c r="H78" s="118" t="e">
        <f>_xlfn.XLOOKUP(Table1[[#This Row],[Shipment Number]], 'pivot '!A:A,'pivot '!G:G, "NF")</f>
        <v>#DIV/0!</v>
      </c>
      <c r="I78" s="118"/>
      <c r="J78" s="118">
        <f>_xlfn.XLOOKUP(Table1[[#This Row],[Party Name]],
[1]Billing!$Q$5:$Q$25,
[1]Billing!$Y$5:$Y$25)</f>
        <v>0</v>
      </c>
      <c r="K78" s="116"/>
    </row>
    <row r="79" spans="1:19" x14ac:dyDescent="0.25">
      <c r="A79" s="115">
        <v>45979</v>
      </c>
      <c r="B79" s="24" t="s">
        <v>202</v>
      </c>
      <c r="C79" s="116" t="s">
        <v>262</v>
      </c>
      <c r="D79" s="116" t="s">
        <v>261</v>
      </c>
      <c r="E79" s="37"/>
      <c r="F79" s="37"/>
      <c r="G79" s="37"/>
      <c r="H79" s="118" t="e">
        <f>_xlfn.XLOOKUP(Table1[[#This Row],[Shipment Number]], 'pivot '!A:A,'pivot '!G:G, "NF")</f>
        <v>#DIV/0!</v>
      </c>
      <c r="I79" s="118"/>
      <c r="J79" s="118">
        <f>_xlfn.XLOOKUP(Table1[[#This Row],[Party Name]],
[1]Billing!$Q$5:$Q$25,
[1]Billing!$Y$5:$Y$25)</f>
        <v>94656.181419166067</v>
      </c>
      <c r="K79" s="116"/>
    </row>
    <row r="80" spans="1:19" x14ac:dyDescent="0.25">
      <c r="A80" s="115">
        <v>45979</v>
      </c>
      <c r="B80" s="24" t="s">
        <v>207</v>
      </c>
      <c r="C80" s="116" t="s">
        <v>262</v>
      </c>
      <c r="D80" s="116" t="s">
        <v>261</v>
      </c>
      <c r="E80" s="37"/>
      <c r="F80" s="37"/>
      <c r="G80" s="37"/>
      <c r="H80" s="118" t="e">
        <f>_xlfn.XLOOKUP(Table1[[#This Row],[Shipment Number]], 'pivot '!A:A,'pivot '!G:G, "NF")</f>
        <v>#DIV/0!</v>
      </c>
      <c r="I80" s="118"/>
      <c r="J80" s="118">
        <f>_xlfn.XLOOKUP(Table1[[#This Row],[Party Name]],
[1]Billing!$Q$5:$Q$25,
[1]Billing!$Y$5:$Y$25)</f>
        <v>0</v>
      </c>
      <c r="K80" s="116"/>
    </row>
    <row r="81" spans="1:17" x14ac:dyDescent="0.25">
      <c r="A81" s="115">
        <v>45979</v>
      </c>
      <c r="B81" s="24" t="s">
        <v>258</v>
      </c>
      <c r="C81" s="116" t="s">
        <v>262</v>
      </c>
      <c r="D81" s="116" t="s">
        <v>261</v>
      </c>
      <c r="E81" s="37"/>
      <c r="F81" s="37"/>
      <c r="G81" s="37"/>
      <c r="H81" s="118" t="e">
        <f>_xlfn.XLOOKUP(Table1[[#This Row],[Shipment Number]], 'pivot '!A:A,'pivot '!G:G, "NF")</f>
        <v>#DIV/0!</v>
      </c>
      <c r="I81" s="118"/>
      <c r="J81" s="118">
        <f>_xlfn.XLOOKUP(Table1[[#This Row],[Party Name]],
[1]Billing!$Q$5:$Q$25,
[1]Billing!$Y$5:$Y$25)</f>
        <v>0</v>
      </c>
      <c r="K81" s="116"/>
    </row>
    <row r="82" spans="1:17" x14ac:dyDescent="0.25">
      <c r="A82" s="109">
        <v>45979</v>
      </c>
      <c r="B82" s="110" t="s">
        <v>258</v>
      </c>
      <c r="C82" s="110">
        <v>1092</v>
      </c>
      <c r="D82" s="110" t="s">
        <v>87</v>
      </c>
      <c r="E82" s="111">
        <v>1879</v>
      </c>
      <c r="F82" s="111">
        <v>15061</v>
      </c>
      <c r="G82" s="111">
        <v>8370</v>
      </c>
      <c r="H82" s="112">
        <f>_xlfn.XLOOKUP(Table1[[#This Row],[Shipment Number]], 'pivot '!A:A,'pivot '!G:G, "NF")</f>
        <v>1.5221542124693741</v>
      </c>
      <c r="I82" s="112">
        <f>Table1[[#This Row],[Tiyaar/gaz]]/1.0936</f>
        <v>7653.6210680321883</v>
      </c>
      <c r="J82" s="10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3"/>
    </row>
    <row r="83" spans="1:17" x14ac:dyDescent="0.25">
      <c r="A83" s="120">
        <v>45979</v>
      </c>
      <c r="B83" s="119" t="s">
        <v>22</v>
      </c>
      <c r="C83" s="119">
        <v>1093</v>
      </c>
      <c r="D83" s="119" t="s">
        <v>87</v>
      </c>
      <c r="E83" s="121">
        <v>1867</v>
      </c>
      <c r="F83" s="121">
        <v>15147</v>
      </c>
      <c r="G83" s="121">
        <v>16288</v>
      </c>
      <c r="H83" s="122">
        <f>_xlfn.XLOOKUP(Table1[[#This Row],[Shipment Number]], 'pivot '!A:A,'pivot '!G:G, "NF")</f>
        <v>1.6707710426602347</v>
      </c>
      <c r="I83" s="122">
        <f>Table1[[#This Row],[Tiyaar/gaz]]/1.0936</f>
        <v>14893.928310168252</v>
      </c>
      <c r="J83" s="123"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4"/>
    </row>
    <row r="84" spans="1:17" x14ac:dyDescent="0.25">
      <c r="A84" s="109">
        <v>45979</v>
      </c>
      <c r="B84" s="110" t="s">
        <v>258</v>
      </c>
      <c r="C84" s="110">
        <v>1094</v>
      </c>
      <c r="D84" s="110" t="s">
        <v>87</v>
      </c>
      <c r="E84" s="111">
        <v>1879</v>
      </c>
      <c r="F84" s="111">
        <v>15061</v>
      </c>
      <c r="G84" s="111">
        <v>7850</v>
      </c>
      <c r="H84" s="112">
        <f>_xlfn.XLOOKUP(Table1[[#This Row],[Shipment Number]], 'pivot '!A:A,'pivot '!G:G, "NF")</f>
        <v>1.5221542124693741</v>
      </c>
      <c r="I84" s="112">
        <f>Table1[[#This Row],[Tiyaar/gaz]]/1.0936</f>
        <v>7178.1272860277986</v>
      </c>
      <c r="J84" s="10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3"/>
    </row>
    <row r="85" spans="1:17" x14ac:dyDescent="0.25">
      <c r="A85" s="120">
        <v>45979</v>
      </c>
      <c r="B85" s="119" t="s">
        <v>258</v>
      </c>
      <c r="C85" s="119">
        <v>1095</v>
      </c>
      <c r="D85" s="119" t="s">
        <v>87</v>
      </c>
      <c r="E85" s="121" t="s">
        <v>259</v>
      </c>
      <c r="F85" s="121">
        <v>17020</v>
      </c>
      <c r="G85" s="121">
        <v>3280</v>
      </c>
      <c r="H85" s="122">
        <f>_xlfn.XLOOKUP(Table1[[#This Row],[Shipment Number]], 'pivot '!A:A,'pivot '!G:G, "NF")</f>
        <v>2.6007098667001287</v>
      </c>
      <c r="I85" s="122">
        <f>Table1[[#This Row],[Tiyaar/gaz]]/1.0936</f>
        <v>2999.268471104609</v>
      </c>
      <c r="J85" s="123"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4"/>
    </row>
    <row r="86" spans="1:17" x14ac:dyDescent="0.25">
      <c r="A86" s="109">
        <v>45979</v>
      </c>
      <c r="B86" s="110" t="s">
        <v>258</v>
      </c>
      <c r="C86" s="110">
        <v>1096</v>
      </c>
      <c r="D86" s="110" t="s">
        <v>87</v>
      </c>
      <c r="E86" s="111" t="s">
        <v>259</v>
      </c>
      <c r="F86" s="111">
        <v>17020</v>
      </c>
      <c r="G86" s="111">
        <v>2238</v>
      </c>
      <c r="H86" s="112">
        <f>_xlfn.XLOOKUP(Table1[[#This Row],[Shipment Number]], 'pivot '!A:A,'pivot '!G:G, "NF")</f>
        <v>2.6007098667001287</v>
      </c>
      <c r="I86" s="112">
        <f>Table1[[#This Row],[Tiyaar/gaz]]/1.0936</f>
        <v>2046.452084857352</v>
      </c>
      <c r="J86" s="10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3"/>
    </row>
    <row r="87" spans="1:17" x14ac:dyDescent="0.25">
      <c r="A87" s="120">
        <v>45979</v>
      </c>
      <c r="B87" s="119" t="s">
        <v>258</v>
      </c>
      <c r="C87" s="119">
        <v>1097</v>
      </c>
      <c r="D87" s="119" t="s">
        <v>87</v>
      </c>
      <c r="E87" s="121" t="s">
        <v>259</v>
      </c>
      <c r="F87" s="121">
        <v>17020</v>
      </c>
      <c r="G87" s="121">
        <v>7449</v>
      </c>
      <c r="H87" s="122">
        <f>_xlfn.XLOOKUP(Table1[[#This Row],[Shipment Number]], 'pivot '!A:A,'pivot '!G:G, "NF")</f>
        <v>2.6007098667001287</v>
      </c>
      <c r="I87" s="122">
        <f>Table1[[#This Row],[Tiyaar/gaz]]/1.0936</f>
        <v>6811.4484272128757</v>
      </c>
      <c r="J87" s="123"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4"/>
    </row>
    <row r="88" spans="1:17" x14ac:dyDescent="0.25">
      <c r="A88" s="109">
        <v>45979</v>
      </c>
      <c r="B88" s="110" t="s">
        <v>258</v>
      </c>
      <c r="C88" s="110">
        <v>1098</v>
      </c>
      <c r="D88" s="110" t="s">
        <v>87</v>
      </c>
      <c r="E88" s="111" t="s">
        <v>259</v>
      </c>
      <c r="F88" s="111">
        <v>17020</v>
      </c>
      <c r="G88" s="111">
        <v>5162</v>
      </c>
      <c r="H88" s="112">
        <f>_xlfn.XLOOKUP(Table1[[#This Row],[Shipment Number]], 'pivot '!A:A,'pivot '!G:G, "NF")</f>
        <v>2.6007098667001287</v>
      </c>
      <c r="I88" s="112">
        <f>Table1[[#This Row],[Tiyaar/gaz]]/1.0936</f>
        <v>4720.1901975128021</v>
      </c>
      <c r="J88" s="10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3"/>
    </row>
    <row r="89" spans="1:17" x14ac:dyDescent="0.25">
      <c r="A89"/>
      <c r="B89"/>
      <c r="C89"/>
      <c r="D89"/>
      <c r="E89" s="14"/>
      <c r="F89" s="14"/>
      <c r="G89" s="14"/>
      <c r="H89" s="43"/>
      <c r="I89" s="95" cm="1">
        <f t="array" aca="1" ref="I89" ca="1">SUMPRODUCT( SUBTOTAL(109, OFFSET(Table1[tiyar/meters], ROW(Table1[tiyar/meters])-MIN(ROW(Table1[tiyar/meters])), 0, 1)), --(Table1[Bill Number]&lt;&gt;"October Closing CF") )</f>
        <v>46303.035844915881</v>
      </c>
      <c r="J89" s="43" cm="1">
        <f t="array" aca="1" ref="J89" ca="1">SUMPRODUCT( SUBTOTAL(109, OFFSET(Table1[billing], ROW(Table1[billing])-MIN(ROW(Table1[billing])), 0, 1)), --(Table1[Bill Number]&lt;&gt;"October Closing CF") )</f>
        <v>601939.46598390641</v>
      </c>
      <c r="K89" s="14">
        <f>SUMIFS(Table1[billing], Table1[Bill Number], "&lt;&gt;October Closing CF")</f>
        <v>601939.46598390641</v>
      </c>
    </row>
    <row r="96" spans="1:17" x14ac:dyDescent="0.25">
      <c r="D96" s="3" t="s">
        <v>2</v>
      </c>
      <c r="E96" t="s">
        <v>88</v>
      </c>
      <c r="O96"/>
      <c r="P96"/>
      <c r="Q96"/>
    </row>
    <row r="97" spans="4:18" x14ac:dyDescent="0.25">
      <c r="D97" s="3" t="s">
        <v>75</v>
      </c>
      <c r="E97" t="s">
        <v>88</v>
      </c>
      <c r="O97"/>
      <c r="P97"/>
      <c r="Q97"/>
    </row>
    <row r="98" spans="4:18" x14ac:dyDescent="0.25">
      <c r="D98" s="3" t="s">
        <v>79</v>
      </c>
      <c r="E98" t="s">
        <v>88</v>
      </c>
      <c r="L98"/>
      <c r="M98"/>
      <c r="O98"/>
      <c r="P98"/>
      <c r="Q98"/>
    </row>
    <row r="99" spans="4:18" x14ac:dyDescent="0.25">
      <c r="M99"/>
      <c r="P99"/>
      <c r="Q99"/>
      <c r="R99"/>
    </row>
    <row r="100" spans="4:18" x14ac:dyDescent="0.25">
      <c r="D100" s="3" t="s">
        <v>6</v>
      </c>
      <c r="E100" t="s">
        <v>89</v>
      </c>
      <c r="F100" t="s">
        <v>90</v>
      </c>
      <c r="G100" t="s">
        <v>91</v>
      </c>
      <c r="I100" s="3" t="s">
        <v>6</v>
      </c>
      <c r="J100" t="s">
        <v>90</v>
      </c>
      <c r="K100" t="s">
        <v>91</v>
      </c>
      <c r="M100"/>
      <c r="P100"/>
      <c r="Q100"/>
      <c r="R100"/>
    </row>
    <row r="101" spans="4:18" x14ac:dyDescent="0.25">
      <c r="D101" s="16">
        <v>1092</v>
      </c>
      <c r="E101" s="125">
        <v>8370</v>
      </c>
      <c r="F101" s="28">
        <v>7653.6210680321883</v>
      </c>
      <c r="G101" s="125">
        <v>99497.073884418453</v>
      </c>
      <c r="I101" s="26">
        <v>45979</v>
      </c>
      <c r="J101" s="43">
        <v>5841581.9312362839</v>
      </c>
      <c r="K101" s="14">
        <v>60897892.848792993</v>
      </c>
      <c r="M101"/>
      <c r="P101"/>
      <c r="Q101"/>
      <c r="R101"/>
    </row>
    <row r="102" spans="4:18" x14ac:dyDescent="0.25">
      <c r="D102" s="16">
        <v>1093</v>
      </c>
      <c r="E102" s="125">
        <v>16288</v>
      </c>
      <c r="F102" s="28">
        <v>14893.928310168252</v>
      </c>
      <c r="G102" s="125">
        <v>193621.06803218729</v>
      </c>
      <c r="I102" s="26" t="s">
        <v>28</v>
      </c>
      <c r="J102" s="43">
        <v>5841581.9312362839</v>
      </c>
      <c r="K102" s="14">
        <v>60897892.848792993</v>
      </c>
      <c r="M102"/>
      <c r="P102"/>
      <c r="Q102"/>
      <c r="R102"/>
    </row>
    <row r="103" spans="4:18" x14ac:dyDescent="0.25">
      <c r="D103" s="16">
        <v>1094</v>
      </c>
      <c r="E103" s="125">
        <v>7850</v>
      </c>
      <c r="F103" s="28">
        <v>7178.1272860277986</v>
      </c>
      <c r="G103" s="125">
        <v>93315.654718361387</v>
      </c>
      <c r="I103"/>
      <c r="J103"/>
      <c r="K103"/>
      <c r="M103"/>
      <c r="P103"/>
      <c r="Q103"/>
      <c r="R103"/>
    </row>
    <row r="104" spans="4:18" x14ac:dyDescent="0.25">
      <c r="D104" s="16">
        <v>1095</v>
      </c>
      <c r="E104" s="125">
        <v>3280</v>
      </c>
      <c r="F104" s="28">
        <v>2999.268471104609</v>
      </c>
      <c r="G104" s="125">
        <v>38990.490124359916</v>
      </c>
      <c r="I104"/>
      <c r="J104"/>
      <c r="K104"/>
      <c r="M104"/>
      <c r="P104"/>
      <c r="Q104"/>
      <c r="R104"/>
    </row>
    <row r="105" spans="4:18" x14ac:dyDescent="0.25">
      <c r="D105" s="16">
        <v>1096</v>
      </c>
      <c r="E105" s="125">
        <v>2238</v>
      </c>
      <c r="F105" s="28">
        <v>2046.452084857352</v>
      </c>
      <c r="G105" s="125">
        <v>26603.877103145576</v>
      </c>
      <c r="I105"/>
      <c r="J105"/>
      <c r="K105"/>
      <c r="M105"/>
      <c r="P105"/>
      <c r="Q105"/>
      <c r="R105"/>
    </row>
    <row r="106" spans="4:18" x14ac:dyDescent="0.25">
      <c r="D106" s="16">
        <v>1097</v>
      </c>
      <c r="E106" s="125">
        <v>7449</v>
      </c>
      <c r="F106" s="28">
        <v>6811.4484272128757</v>
      </c>
      <c r="G106" s="125">
        <v>88548.829553767384</v>
      </c>
      <c r="I106"/>
      <c r="J106"/>
      <c r="K106"/>
      <c r="P106"/>
      <c r="Q106"/>
      <c r="R106"/>
    </row>
    <row r="107" spans="4:18" x14ac:dyDescent="0.25">
      <c r="D107" s="16">
        <v>1098</v>
      </c>
      <c r="E107" s="125">
        <v>5162</v>
      </c>
      <c r="F107" s="28">
        <v>4720.1901975128021</v>
      </c>
      <c r="G107" s="125">
        <v>61362.472567666424</v>
      </c>
      <c r="I107"/>
      <c r="J107"/>
      <c r="K107"/>
      <c r="L107"/>
      <c r="P107"/>
      <c r="Q107"/>
      <c r="R107"/>
    </row>
    <row r="108" spans="4:18" x14ac:dyDescent="0.25">
      <c r="D108" s="16" t="s">
        <v>262</v>
      </c>
      <c r="E108" s="125"/>
      <c r="F108" s="28">
        <v>5795278.8953913683</v>
      </c>
      <c r="G108" s="125">
        <v>60295953.38280908</v>
      </c>
      <c r="I108"/>
      <c r="J108"/>
      <c r="K108"/>
      <c r="L108"/>
      <c r="P108"/>
      <c r="Q108"/>
      <c r="R108"/>
    </row>
    <row r="109" spans="4:18" x14ac:dyDescent="0.25">
      <c r="D109" s="16" t="s">
        <v>28</v>
      </c>
      <c r="E109" s="125">
        <v>50637</v>
      </c>
      <c r="F109" s="28">
        <v>5841581.9312362839</v>
      </c>
      <c r="G109" s="125">
        <v>60897892.848792985</v>
      </c>
      <c r="I109"/>
      <c r="J109"/>
      <c r="K109"/>
      <c r="L109"/>
      <c r="O109"/>
      <c r="P109"/>
      <c r="Q109"/>
    </row>
    <row r="110" spans="4:18" x14ac:dyDescent="0.25">
      <c r="D110"/>
      <c r="E110"/>
      <c r="F110"/>
      <c r="G110"/>
      <c r="I110"/>
      <c r="J110"/>
      <c r="K110"/>
      <c r="L110"/>
      <c r="O110"/>
      <c r="P110"/>
      <c r="Q110"/>
    </row>
    <row r="111" spans="4:18" x14ac:dyDescent="0.25">
      <c r="D111"/>
      <c r="E111"/>
      <c r="F111"/>
      <c r="G111"/>
      <c r="I111"/>
      <c r="J111"/>
      <c r="K111"/>
      <c r="L111"/>
      <c r="O111"/>
      <c r="P111"/>
      <c r="Q111"/>
    </row>
    <row r="112" spans="4:18" x14ac:dyDescent="0.25">
      <c r="D112"/>
      <c r="E112"/>
      <c r="F112"/>
      <c r="G112"/>
      <c r="I112"/>
      <c r="J112"/>
      <c r="K112"/>
      <c r="L112"/>
      <c r="O112"/>
      <c r="P112"/>
      <c r="Q112"/>
    </row>
    <row r="113" spans="4:17" x14ac:dyDescent="0.25">
      <c r="D113"/>
      <c r="E113"/>
      <c r="F113"/>
      <c r="G113"/>
      <c r="I113"/>
      <c r="J113"/>
      <c r="K113"/>
      <c r="O113"/>
      <c r="P113"/>
      <c r="Q113"/>
    </row>
    <row r="114" spans="4:17" x14ac:dyDescent="0.25">
      <c r="D114"/>
      <c r="E114"/>
      <c r="F114"/>
      <c r="G114"/>
      <c r="I114"/>
      <c r="J114"/>
      <c r="K114"/>
      <c r="O114"/>
      <c r="P114"/>
      <c r="Q114"/>
    </row>
    <row r="115" spans="4:17" x14ac:dyDescent="0.25">
      <c r="D115"/>
      <c r="E115"/>
      <c r="F115"/>
      <c r="G115"/>
      <c r="I115"/>
      <c r="J115"/>
      <c r="K115"/>
      <c r="O115"/>
      <c r="P115"/>
      <c r="Q115"/>
    </row>
    <row r="116" spans="4:17" x14ac:dyDescent="0.25">
      <c r="D116"/>
      <c r="E116"/>
      <c r="F116"/>
      <c r="G116"/>
      <c r="I116"/>
      <c r="J116"/>
      <c r="K116"/>
      <c r="O116"/>
      <c r="P116"/>
      <c r="Q116"/>
    </row>
    <row r="117" spans="4:17" x14ac:dyDescent="0.25">
      <c r="D117"/>
      <c r="E117"/>
      <c r="F117"/>
      <c r="G117"/>
      <c r="I117"/>
      <c r="J117"/>
      <c r="K117"/>
      <c r="O117"/>
      <c r="P117"/>
      <c r="Q117"/>
    </row>
    <row r="118" spans="4:17" x14ac:dyDescent="0.25">
      <c r="D118"/>
      <c r="E118"/>
      <c r="F118"/>
      <c r="G118"/>
      <c r="I118"/>
      <c r="J118"/>
      <c r="K118"/>
      <c r="O118"/>
      <c r="P118"/>
      <c r="Q118"/>
    </row>
    <row r="119" spans="4:17" x14ac:dyDescent="0.25">
      <c r="D119"/>
      <c r="E119"/>
      <c r="F119"/>
      <c r="G119"/>
      <c r="I119"/>
      <c r="J119"/>
      <c r="K119"/>
      <c r="O119"/>
      <c r="P119"/>
      <c r="Q119"/>
    </row>
    <row r="120" spans="4:17" x14ac:dyDescent="0.25">
      <c r="D120"/>
      <c r="E120"/>
      <c r="F120"/>
      <c r="G120"/>
      <c r="I120"/>
      <c r="J120"/>
      <c r="K120"/>
      <c r="P120"/>
      <c r="Q120"/>
    </row>
    <row r="121" spans="4:17" x14ac:dyDescent="0.25">
      <c r="D121"/>
      <c r="E121"/>
      <c r="F121"/>
      <c r="G121"/>
      <c r="I121"/>
      <c r="J121"/>
      <c r="K121"/>
      <c r="P121"/>
      <c r="Q121"/>
    </row>
    <row r="122" spans="4:17" x14ac:dyDescent="0.25">
      <c r="D122"/>
      <c r="E122"/>
      <c r="F122"/>
      <c r="G122"/>
      <c r="I122"/>
      <c r="J122"/>
      <c r="K122"/>
      <c r="P122"/>
      <c r="Q122"/>
    </row>
    <row r="123" spans="4:17" x14ac:dyDescent="0.25">
      <c r="D123"/>
      <c r="E123"/>
      <c r="F123"/>
      <c r="G123"/>
      <c r="I123"/>
      <c r="J123"/>
      <c r="K123"/>
      <c r="P123"/>
      <c r="Q123"/>
    </row>
    <row r="124" spans="4:17" x14ac:dyDescent="0.25">
      <c r="D124"/>
      <c r="E124"/>
      <c r="F124"/>
      <c r="G124"/>
      <c r="I124"/>
      <c r="J124"/>
      <c r="K124"/>
      <c r="P124"/>
      <c r="Q124"/>
    </row>
    <row r="125" spans="4:17" x14ac:dyDescent="0.25">
      <c r="D125"/>
      <c r="E125"/>
      <c r="F125"/>
      <c r="G125"/>
      <c r="I125"/>
      <c r="J125"/>
      <c r="K125"/>
      <c r="P125"/>
      <c r="Q125"/>
    </row>
    <row r="126" spans="4:17" x14ac:dyDescent="0.25">
      <c r="D126"/>
      <c r="E126"/>
      <c r="F126"/>
      <c r="G126"/>
      <c r="I126"/>
      <c r="J126"/>
      <c r="K126"/>
      <c r="P126"/>
      <c r="Q126"/>
    </row>
    <row r="127" spans="4:17" x14ac:dyDescent="0.25">
      <c r="D127"/>
      <c r="E127"/>
      <c r="F127"/>
      <c r="G127"/>
      <c r="P127"/>
      <c r="Q127"/>
    </row>
    <row r="128" spans="4:17" x14ac:dyDescent="0.25">
      <c r="D128"/>
      <c r="E128"/>
      <c r="F128"/>
      <c r="G128"/>
      <c r="P128"/>
      <c r="Q128"/>
    </row>
    <row r="129" spans="4:17" x14ac:dyDescent="0.25">
      <c r="D129"/>
      <c r="E129"/>
      <c r="F129"/>
      <c r="G129"/>
      <c r="P129"/>
      <c r="Q129"/>
    </row>
    <row r="130" spans="4:17" x14ac:dyDescent="0.25">
      <c r="D130"/>
      <c r="E130"/>
      <c r="F130"/>
      <c r="G130"/>
      <c r="P130"/>
      <c r="Q130"/>
    </row>
    <row r="131" spans="4:17" x14ac:dyDescent="0.25">
      <c r="D131"/>
      <c r="E131"/>
      <c r="F131"/>
      <c r="G131"/>
      <c r="O131"/>
      <c r="P131"/>
      <c r="Q131"/>
    </row>
    <row r="132" spans="4:17" x14ac:dyDescent="0.25">
      <c r="D132"/>
      <c r="E132"/>
      <c r="F132"/>
      <c r="G132"/>
      <c r="L132"/>
      <c r="M132"/>
      <c r="N132"/>
    </row>
    <row r="133" spans="4:17" x14ac:dyDescent="0.25">
      <c r="D133"/>
      <c r="E133"/>
      <c r="F133"/>
      <c r="G133"/>
    </row>
    <row r="134" spans="4:17" x14ac:dyDescent="0.25">
      <c r="D134"/>
      <c r="E134"/>
      <c r="F134"/>
      <c r="G134"/>
    </row>
    <row r="135" spans="4:17" x14ac:dyDescent="0.25">
      <c r="D135"/>
      <c r="E135"/>
      <c r="F135"/>
      <c r="G135"/>
    </row>
    <row r="136" spans="4:17" x14ac:dyDescent="0.25">
      <c r="D136"/>
      <c r="E136"/>
      <c r="F136"/>
      <c r="G136"/>
    </row>
    <row r="137" spans="4:17" x14ac:dyDescent="0.25">
      <c r="D137"/>
      <c r="E137"/>
      <c r="F137"/>
      <c r="G137"/>
    </row>
    <row r="138" spans="4:17" x14ac:dyDescent="0.25">
      <c r="D138"/>
      <c r="E138"/>
      <c r="F138"/>
      <c r="G138"/>
    </row>
    <row r="139" spans="4:17" x14ac:dyDescent="0.25">
      <c r="D139"/>
      <c r="E139"/>
      <c r="F139"/>
      <c r="G139"/>
    </row>
    <row r="140" spans="4:17" x14ac:dyDescent="0.25">
      <c r="D140"/>
      <c r="E140"/>
      <c r="F140"/>
      <c r="G140"/>
    </row>
    <row r="141" spans="4:17" x14ac:dyDescent="0.25">
      <c r="D141"/>
      <c r="E141"/>
      <c r="F141"/>
      <c r="G141"/>
    </row>
    <row r="142" spans="4:17" x14ac:dyDescent="0.25">
      <c r="D142"/>
      <c r="E142"/>
      <c r="F142"/>
      <c r="G142"/>
    </row>
    <row r="143" spans="4:17" x14ac:dyDescent="0.25">
      <c r="D143"/>
      <c r="E143"/>
      <c r="F143"/>
      <c r="G143"/>
    </row>
    <row r="144" spans="4:17" x14ac:dyDescent="0.25">
      <c r="D144"/>
      <c r="E144"/>
      <c r="F144"/>
      <c r="G144"/>
    </row>
    <row r="145" spans="4:7" x14ac:dyDescent="0.25">
      <c r="D145"/>
      <c r="E145"/>
      <c r="F145"/>
      <c r="G145"/>
    </row>
    <row r="146" spans="4:7" x14ac:dyDescent="0.25">
      <c r="D146"/>
      <c r="E146"/>
      <c r="F146"/>
      <c r="G146"/>
    </row>
    <row r="147" spans="4:7" x14ac:dyDescent="0.25">
      <c r="D147"/>
      <c r="E147"/>
      <c r="F147"/>
      <c r="G147"/>
    </row>
    <row r="148" spans="4:7" x14ac:dyDescent="0.25">
      <c r="D148"/>
      <c r="E148"/>
      <c r="F148"/>
      <c r="G148"/>
    </row>
    <row r="149" spans="4:7" x14ac:dyDescent="0.25">
      <c r="D149"/>
      <c r="E149"/>
      <c r="F149"/>
      <c r="G149"/>
    </row>
    <row r="150" spans="4:7" x14ac:dyDescent="0.25">
      <c r="D150"/>
      <c r="E150"/>
      <c r="F150"/>
      <c r="G150"/>
    </row>
    <row r="151" spans="4:7" x14ac:dyDescent="0.25">
      <c r="D151"/>
      <c r="E151"/>
      <c r="F151"/>
      <c r="G151"/>
    </row>
    <row r="152" spans="4:7" x14ac:dyDescent="0.25">
      <c r="D152"/>
      <c r="E152"/>
      <c r="F152"/>
      <c r="G152"/>
    </row>
    <row r="153" spans="4:7" x14ac:dyDescent="0.25">
      <c r="D153"/>
      <c r="E153"/>
      <c r="F153"/>
      <c r="G153"/>
    </row>
    <row r="154" spans="4:7" x14ac:dyDescent="0.25">
      <c r="D154"/>
      <c r="E154"/>
      <c r="F154"/>
      <c r="G154"/>
    </row>
    <row r="155" spans="4:7" x14ac:dyDescent="0.25">
      <c r="D155"/>
      <c r="E155"/>
      <c r="F155"/>
      <c r="G155"/>
    </row>
    <row r="156" spans="4:7" x14ac:dyDescent="0.25">
      <c r="D156"/>
      <c r="E156"/>
      <c r="F156"/>
      <c r="G156"/>
    </row>
    <row r="157" spans="4:7" x14ac:dyDescent="0.25">
      <c r="D157"/>
      <c r="E157"/>
      <c r="F157"/>
      <c r="G157"/>
    </row>
    <row r="158" spans="4:7" x14ac:dyDescent="0.25">
      <c r="D158"/>
      <c r="E158"/>
      <c r="F158"/>
      <c r="G158"/>
    </row>
    <row r="159" spans="4:7" x14ac:dyDescent="0.25">
      <c r="D159"/>
      <c r="E159"/>
      <c r="F159"/>
      <c r="G159"/>
    </row>
    <row r="160" spans="4:7" x14ac:dyDescent="0.25">
      <c r="D160"/>
      <c r="E160"/>
      <c r="F160"/>
      <c r="G160"/>
    </row>
    <row r="161" spans="4:7" x14ac:dyDescent="0.25">
      <c r="D161"/>
      <c r="E161"/>
      <c r="F161"/>
      <c r="G161"/>
    </row>
    <row r="162" spans="4:7" x14ac:dyDescent="0.25">
      <c r="D162"/>
      <c r="E162"/>
      <c r="F162"/>
      <c r="G162"/>
    </row>
    <row r="163" spans="4:7" x14ac:dyDescent="0.25">
      <c r="D163"/>
      <c r="E163"/>
      <c r="F163"/>
      <c r="G163"/>
    </row>
    <row r="164" spans="4:7" x14ac:dyDescent="0.25">
      <c r="D164"/>
      <c r="E164"/>
      <c r="F164"/>
      <c r="G164"/>
    </row>
    <row r="165" spans="4:7" x14ac:dyDescent="0.25">
      <c r="D165"/>
      <c r="E165"/>
      <c r="F165"/>
      <c r="G165"/>
    </row>
    <row r="166" spans="4:7" x14ac:dyDescent="0.25">
      <c r="D166"/>
      <c r="E166"/>
      <c r="F166"/>
      <c r="G166"/>
    </row>
    <row r="167" spans="4:7" x14ac:dyDescent="0.25">
      <c r="D167"/>
      <c r="E167"/>
      <c r="F167"/>
      <c r="G167"/>
    </row>
    <row r="168" spans="4:7" x14ac:dyDescent="0.25">
      <c r="D168"/>
      <c r="E168"/>
      <c r="F168"/>
      <c r="G168"/>
    </row>
    <row r="169" spans="4:7" x14ac:dyDescent="0.25">
      <c r="D169"/>
      <c r="E169"/>
      <c r="F169"/>
      <c r="G169"/>
    </row>
    <row r="170" spans="4:7" x14ac:dyDescent="0.25">
      <c r="D170"/>
      <c r="E170"/>
      <c r="F170"/>
      <c r="G170"/>
    </row>
    <row r="171" spans="4:7" x14ac:dyDescent="0.25">
      <c r="D171"/>
      <c r="E171"/>
      <c r="F171"/>
      <c r="G171"/>
    </row>
    <row r="172" spans="4:7" x14ac:dyDescent="0.25">
      <c r="D172"/>
      <c r="E172"/>
      <c r="F172"/>
      <c r="G172"/>
    </row>
    <row r="173" spans="4:7" x14ac:dyDescent="0.25">
      <c r="D173"/>
      <c r="E173"/>
      <c r="F173"/>
      <c r="G173"/>
    </row>
    <row r="174" spans="4:7" x14ac:dyDescent="0.25">
      <c r="D174"/>
      <c r="E174"/>
      <c r="F174"/>
      <c r="G174"/>
    </row>
    <row r="175" spans="4:7" x14ac:dyDescent="0.25">
      <c r="D175"/>
      <c r="E175"/>
      <c r="F175"/>
      <c r="G175"/>
    </row>
    <row r="176" spans="4:7" x14ac:dyDescent="0.25">
      <c r="D176"/>
      <c r="E176"/>
      <c r="F176"/>
      <c r="G176"/>
    </row>
    <row r="177" spans="4:7" x14ac:dyDescent="0.25">
      <c r="D177"/>
      <c r="E177"/>
      <c r="F177"/>
      <c r="G177"/>
    </row>
    <row r="178" spans="4:7" x14ac:dyDescent="0.25">
      <c r="D178"/>
      <c r="E178"/>
      <c r="F178"/>
      <c r="G178"/>
    </row>
    <row r="179" spans="4:7" x14ac:dyDescent="0.25">
      <c r="D179"/>
      <c r="E179"/>
      <c r="F179"/>
      <c r="G179"/>
    </row>
    <row r="180" spans="4:7" x14ac:dyDescent="0.25">
      <c r="D180"/>
      <c r="E180"/>
      <c r="F180"/>
      <c r="G180"/>
    </row>
    <row r="181" spans="4:7" x14ac:dyDescent="0.25">
      <c r="D181"/>
      <c r="E181"/>
      <c r="F181"/>
      <c r="G181"/>
    </row>
    <row r="182" spans="4:7" x14ac:dyDescent="0.25">
      <c r="D182"/>
      <c r="E182"/>
      <c r="F182"/>
      <c r="G182"/>
    </row>
    <row r="183" spans="4:7" x14ac:dyDescent="0.25">
      <c r="D183"/>
      <c r="E183"/>
      <c r="F183"/>
      <c r="G183"/>
    </row>
    <row r="184" spans="4:7" x14ac:dyDescent="0.25">
      <c r="D184"/>
      <c r="E184"/>
      <c r="F184"/>
      <c r="G184"/>
    </row>
    <row r="185" spans="4:7" x14ac:dyDescent="0.25">
      <c r="D185"/>
      <c r="E185"/>
      <c r="F185"/>
      <c r="G185"/>
    </row>
    <row r="186" spans="4:7" x14ac:dyDescent="0.25">
      <c r="D186"/>
      <c r="E186"/>
      <c r="F186"/>
      <c r="G186"/>
    </row>
    <row r="187" spans="4:7" x14ac:dyDescent="0.25">
      <c r="D187"/>
      <c r="E187"/>
      <c r="F187"/>
      <c r="G187"/>
    </row>
    <row r="188" spans="4:7" x14ac:dyDescent="0.25">
      <c r="D188"/>
      <c r="E188"/>
      <c r="F188"/>
      <c r="G188"/>
    </row>
    <row r="189" spans="4:7" x14ac:dyDescent="0.25">
      <c r="D189"/>
      <c r="E189"/>
      <c r="F189"/>
      <c r="G189"/>
    </row>
    <row r="190" spans="4:7" x14ac:dyDescent="0.25">
      <c r="D190"/>
      <c r="E190"/>
      <c r="F190"/>
      <c r="G190"/>
    </row>
    <row r="191" spans="4:7" x14ac:dyDescent="0.25">
      <c r="D191"/>
      <c r="E191"/>
      <c r="F191"/>
      <c r="G191"/>
    </row>
    <row r="192" spans="4:7" x14ac:dyDescent="0.25">
      <c r="D192"/>
      <c r="E192"/>
      <c r="F192"/>
      <c r="G192"/>
    </row>
    <row r="193" spans="4:7" x14ac:dyDescent="0.25">
      <c r="D193"/>
      <c r="E193"/>
      <c r="F193"/>
      <c r="G193"/>
    </row>
    <row r="194" spans="4:7" x14ac:dyDescent="0.25">
      <c r="D194"/>
      <c r="E194"/>
      <c r="F194"/>
      <c r="G194"/>
    </row>
    <row r="195" spans="4:7" x14ac:dyDescent="0.25">
      <c r="D195"/>
      <c r="E195"/>
      <c r="F195"/>
      <c r="G195"/>
    </row>
    <row r="196" spans="4:7" x14ac:dyDescent="0.25">
      <c r="D196"/>
      <c r="E196"/>
      <c r="F196"/>
      <c r="G196"/>
    </row>
    <row r="197" spans="4:7" x14ac:dyDescent="0.25">
      <c r="D197"/>
      <c r="E197"/>
      <c r="F197"/>
      <c r="G197"/>
    </row>
    <row r="198" spans="4:7" x14ac:dyDescent="0.25">
      <c r="D198"/>
      <c r="E198"/>
      <c r="F198"/>
      <c r="G198"/>
    </row>
    <row r="199" spans="4:7" x14ac:dyDescent="0.25">
      <c r="D199"/>
      <c r="E199"/>
      <c r="F199"/>
      <c r="G199"/>
    </row>
    <row r="200" spans="4:7" x14ac:dyDescent="0.25">
      <c r="D200"/>
      <c r="E200"/>
      <c r="F200"/>
      <c r="G200"/>
    </row>
    <row r="201" spans="4:7" x14ac:dyDescent="0.25">
      <c r="D201"/>
      <c r="E201"/>
      <c r="F201"/>
      <c r="G201"/>
    </row>
    <row r="202" spans="4:7" x14ac:dyDescent="0.25">
      <c r="D202"/>
      <c r="E202"/>
      <c r="F202"/>
      <c r="G202"/>
    </row>
    <row r="203" spans="4:7" x14ac:dyDescent="0.25">
      <c r="D203"/>
      <c r="E203"/>
      <c r="F203"/>
      <c r="G203"/>
    </row>
    <row r="204" spans="4:7" x14ac:dyDescent="0.25">
      <c r="D204"/>
      <c r="E204"/>
      <c r="F204"/>
      <c r="G204"/>
    </row>
    <row r="205" spans="4:7" x14ac:dyDescent="0.25">
      <c r="D205"/>
      <c r="E205"/>
      <c r="F205"/>
      <c r="G205"/>
    </row>
    <row r="206" spans="4:7" x14ac:dyDescent="0.25">
      <c r="D206"/>
      <c r="E206"/>
      <c r="F206"/>
      <c r="G206"/>
    </row>
    <row r="207" spans="4:7" x14ac:dyDescent="0.25">
      <c r="D207"/>
      <c r="E207"/>
      <c r="F207"/>
      <c r="G207"/>
    </row>
    <row r="208" spans="4:7" x14ac:dyDescent="0.25">
      <c r="D208"/>
      <c r="E208"/>
      <c r="F208"/>
      <c r="G208"/>
    </row>
    <row r="209" spans="4:7" x14ac:dyDescent="0.25">
      <c r="D209"/>
      <c r="E209"/>
      <c r="F209"/>
      <c r="G209"/>
    </row>
    <row r="210" spans="4:7" x14ac:dyDescent="0.25">
      <c r="D210"/>
      <c r="E210"/>
      <c r="F210"/>
      <c r="G210"/>
    </row>
    <row r="211" spans="4:7" x14ac:dyDescent="0.25">
      <c r="D211"/>
      <c r="E211"/>
      <c r="F211"/>
      <c r="G211"/>
    </row>
    <row r="212" spans="4:7" x14ac:dyDescent="0.25">
      <c r="D212"/>
      <c r="E212"/>
      <c r="F212"/>
      <c r="G212"/>
    </row>
    <row r="213" spans="4:7" x14ac:dyDescent="0.25">
      <c r="D213"/>
      <c r="E213"/>
      <c r="F213"/>
      <c r="G213"/>
    </row>
    <row r="214" spans="4:7" x14ac:dyDescent="0.25">
      <c r="D214"/>
      <c r="E214"/>
      <c r="F214"/>
      <c r="G214"/>
    </row>
    <row r="215" spans="4:7" x14ac:dyDescent="0.25">
      <c r="D215"/>
      <c r="E215"/>
      <c r="F215"/>
      <c r="G215"/>
    </row>
    <row r="216" spans="4:7" x14ac:dyDescent="0.25">
      <c r="D216"/>
      <c r="E216"/>
      <c r="F216"/>
      <c r="G216"/>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zoomScale="90" zoomScaleNormal="90" workbookViewId="0">
      <selection activeCell="I8" sqref="I8"/>
    </sheetView>
  </sheetViews>
  <sheetFormatPr defaultRowHeight="15" x14ac:dyDescent="0.25"/>
  <cols>
    <col min="1" max="1" width="19.7109375" bestFit="1" customWidth="1"/>
    <col min="2" max="2" width="17.28515625" bestFit="1" customWidth="1"/>
    <col min="3" max="3" width="18.7109375" customWidth="1"/>
    <col min="4" max="4" width="10.7109375" bestFit="1" customWidth="1"/>
    <col min="5" max="5" width="20" bestFit="1" customWidth="1"/>
    <col min="6" max="6" width="13" bestFit="1" customWidth="1"/>
    <col min="7" max="7" width="12.7109375" customWidth="1"/>
    <col min="8" max="8" width="13.28515625" customWidth="1"/>
    <col min="9" max="9" width="13.85546875" bestFit="1" customWidth="1"/>
    <col min="10" max="10" width="12.85546875" customWidth="1"/>
    <col min="11" max="11" width="20" bestFit="1" customWidth="1"/>
    <col min="12" max="12" width="21.7109375" bestFit="1" customWidth="1"/>
    <col min="13" max="13" width="14.28515625" bestFit="1" customWidth="1"/>
    <col min="14" max="14" width="11.85546875" bestFit="1" customWidth="1"/>
    <col min="15" max="15" width="11.5703125" bestFit="1" customWidth="1"/>
    <col min="16" max="16" width="14.85546875" bestFit="1" customWidth="1"/>
  </cols>
  <sheetData>
    <row r="1" spans="1:16" x14ac:dyDescent="0.25">
      <c r="A1" s="8" t="s">
        <v>75</v>
      </c>
      <c r="B1" s="8" t="s">
        <v>2</v>
      </c>
      <c r="C1" s="8" t="s">
        <v>92</v>
      </c>
      <c r="D1" s="12" t="s">
        <v>93</v>
      </c>
      <c r="E1" s="12" t="s">
        <v>4</v>
      </c>
      <c r="F1" s="12" t="s">
        <v>94</v>
      </c>
      <c r="G1" s="12" t="s">
        <v>5</v>
      </c>
      <c r="H1" s="12" t="s">
        <v>95</v>
      </c>
      <c r="I1" s="13" t="s">
        <v>96</v>
      </c>
    </row>
    <row r="2" spans="1:16" x14ac:dyDescent="0.25">
      <c r="A2" s="85">
        <v>45947</v>
      </c>
      <c r="B2" s="82" t="s">
        <v>97</v>
      </c>
      <c r="C2" s="82" t="s">
        <v>98</v>
      </c>
      <c r="D2" s="83"/>
      <c r="E2" s="83"/>
      <c r="F2" s="83"/>
      <c r="G2" s="83">
        <f>D2*E2</f>
        <v>0</v>
      </c>
      <c r="H2" s="11"/>
      <c r="I2" s="84">
        <v>2567858</v>
      </c>
    </row>
    <row r="3" spans="1:16" x14ac:dyDescent="0.25">
      <c r="A3" s="85">
        <v>45947</v>
      </c>
      <c r="B3" s="82" t="s">
        <v>99</v>
      </c>
      <c r="C3" s="82" t="s">
        <v>98</v>
      </c>
      <c r="D3" s="83"/>
      <c r="E3" s="83"/>
      <c r="F3" s="83"/>
      <c r="G3" s="83">
        <f>D3*E3</f>
        <v>0</v>
      </c>
      <c r="H3" s="11">
        <v>0</v>
      </c>
      <c r="I3" s="84">
        <v>0</v>
      </c>
    </row>
    <row r="4" spans="1:16" x14ac:dyDescent="0.25">
      <c r="A4" s="85">
        <v>45947</v>
      </c>
      <c r="B4" s="82" t="s">
        <v>152</v>
      </c>
      <c r="C4" s="82" t="s">
        <v>98</v>
      </c>
      <c r="D4" s="11"/>
      <c r="E4" s="11"/>
      <c r="F4" s="11"/>
      <c r="G4" s="11">
        <f>D4*E4</f>
        <v>0</v>
      </c>
      <c r="H4" s="11">
        <v>0</v>
      </c>
      <c r="I4" s="87">
        <v>76420</v>
      </c>
    </row>
    <row r="5" spans="1:16" ht="15.75" thickBot="1" x14ac:dyDescent="0.3">
      <c r="A5" s="85">
        <v>45947</v>
      </c>
      <c r="B5" s="82" t="s">
        <v>173</v>
      </c>
      <c r="C5" s="82" t="s">
        <v>98</v>
      </c>
      <c r="D5" s="11"/>
      <c r="E5" s="11"/>
      <c r="F5" s="11"/>
      <c r="G5" s="11">
        <f t="shared" ref="G5:G6" si="0">D5*E5</f>
        <v>0</v>
      </c>
      <c r="H5" s="11"/>
      <c r="I5" s="87">
        <v>350775</v>
      </c>
    </row>
    <row r="6" spans="1:16" ht="15.75" thickTop="1" x14ac:dyDescent="0.25">
      <c r="A6" s="85">
        <v>45947</v>
      </c>
      <c r="B6" s="96" t="s">
        <v>181</v>
      </c>
      <c r="C6" s="82" t="s">
        <v>98</v>
      </c>
      <c r="D6" s="11"/>
      <c r="E6" s="11"/>
      <c r="F6" s="11"/>
      <c r="G6" s="11">
        <f t="shared" si="0"/>
        <v>0</v>
      </c>
      <c r="H6" s="11"/>
      <c r="I6" s="11">
        <v>-1000</v>
      </c>
      <c r="K6" s="17">
        <f>SUM(Table3[Total])</f>
        <v>0</v>
      </c>
      <c r="L6" s="3" t="s">
        <v>2</v>
      </c>
      <c r="M6" t="s">
        <v>88</v>
      </c>
    </row>
    <row r="7" spans="1:16" x14ac:dyDescent="0.25">
      <c r="A7" s="85">
        <v>45979</v>
      </c>
      <c r="B7" s="96" t="s">
        <v>235</v>
      </c>
      <c r="C7" s="82" t="s">
        <v>98</v>
      </c>
      <c r="D7" s="11"/>
      <c r="E7" s="11"/>
      <c r="F7" s="11"/>
      <c r="G7" s="11">
        <f>D7*E7</f>
        <v>0</v>
      </c>
      <c r="H7" s="11"/>
      <c r="I7" s="11">
        <v>330400</v>
      </c>
    </row>
    <row r="8" spans="1:16" x14ac:dyDescent="0.25">
      <c r="A8" s="1"/>
      <c r="D8" s="14"/>
      <c r="E8" s="14"/>
      <c r="F8" s="14"/>
      <c r="G8" s="14">
        <f>SUBTOTAL(109,Table3[Total])</f>
        <v>0</v>
      </c>
      <c r="H8" s="14">
        <f>SUBTOTAL(109,Table3[Paid])</f>
        <v>0</v>
      </c>
      <c r="I8" s="14">
        <f>SUBTOTAL(109,Table3[balance])</f>
        <v>3324453</v>
      </c>
      <c r="K8" s="11"/>
      <c r="L8" s="3" t="s">
        <v>101</v>
      </c>
      <c r="M8" t="s">
        <v>102</v>
      </c>
      <c r="N8" t="s">
        <v>103</v>
      </c>
      <c r="O8" t="s">
        <v>104</v>
      </c>
      <c r="P8" t="s">
        <v>105</v>
      </c>
    </row>
    <row r="9" spans="1:16" x14ac:dyDescent="0.25">
      <c r="K9" s="11"/>
      <c r="L9" s="26">
        <v>45947</v>
      </c>
      <c r="M9" s="14">
        <v>428</v>
      </c>
      <c r="N9" s="14">
        <v>292115</v>
      </c>
      <c r="O9" s="14">
        <v>0</v>
      </c>
      <c r="P9" s="14">
        <v>2808416</v>
      </c>
    </row>
    <row r="10" spans="1:16" x14ac:dyDescent="0.25">
      <c r="K10" s="11"/>
      <c r="L10" s="42" t="s">
        <v>106</v>
      </c>
      <c r="M10" s="14">
        <v>203</v>
      </c>
      <c r="N10" s="14">
        <v>117740</v>
      </c>
      <c r="O10" s="14">
        <v>0</v>
      </c>
      <c r="P10" s="14">
        <v>117740</v>
      </c>
    </row>
    <row r="11" spans="1:16" x14ac:dyDescent="0.25">
      <c r="K11" s="11"/>
      <c r="L11" s="42" t="s">
        <v>98</v>
      </c>
      <c r="M11" s="14"/>
      <c r="N11" s="14">
        <v>0</v>
      </c>
      <c r="O11" s="14">
        <v>0</v>
      </c>
      <c r="P11" s="14">
        <v>2516301</v>
      </c>
    </row>
    <row r="12" spans="1:16" x14ac:dyDescent="0.25">
      <c r="K12" s="11"/>
      <c r="L12" s="42" t="s">
        <v>196</v>
      </c>
      <c r="M12" s="14">
        <v>225</v>
      </c>
      <c r="N12" s="14">
        <v>174375</v>
      </c>
      <c r="O12" s="14"/>
      <c r="P12" s="14">
        <v>174375</v>
      </c>
    </row>
    <row r="13" spans="1:16" x14ac:dyDescent="0.25">
      <c r="K13" s="11"/>
      <c r="L13" s="26">
        <v>45948</v>
      </c>
      <c r="M13" s="14">
        <v>845</v>
      </c>
      <c r="N13" s="14">
        <v>648340</v>
      </c>
      <c r="O13" s="14">
        <v>650575</v>
      </c>
      <c r="P13" s="14">
        <v>-2235</v>
      </c>
    </row>
    <row r="14" spans="1:16" x14ac:dyDescent="0.25">
      <c r="K14" s="11"/>
      <c r="L14" s="42" t="s">
        <v>106</v>
      </c>
      <c r="M14" s="14">
        <v>157</v>
      </c>
      <c r="N14" s="14">
        <v>91060</v>
      </c>
      <c r="O14" s="14">
        <v>213475</v>
      </c>
      <c r="P14" s="14">
        <v>-122415</v>
      </c>
    </row>
    <row r="15" spans="1:16" x14ac:dyDescent="0.25">
      <c r="K15" s="11"/>
      <c r="L15" s="42" t="s">
        <v>187</v>
      </c>
      <c r="M15" s="14">
        <v>445</v>
      </c>
      <c r="N15" s="14">
        <v>360450</v>
      </c>
      <c r="O15" s="14"/>
      <c r="P15" s="14">
        <v>360450</v>
      </c>
    </row>
    <row r="16" spans="1:16" x14ac:dyDescent="0.25">
      <c r="K16" s="11"/>
      <c r="L16" s="42" t="s">
        <v>188</v>
      </c>
      <c r="M16" s="14">
        <v>243</v>
      </c>
      <c r="N16" s="14">
        <v>196830</v>
      </c>
      <c r="O16" s="14">
        <v>437100</v>
      </c>
      <c r="P16" s="14">
        <v>-240270</v>
      </c>
    </row>
    <row r="17" spans="11:16" x14ac:dyDescent="0.25">
      <c r="K17" s="11"/>
      <c r="L17" s="26">
        <v>45950</v>
      </c>
      <c r="M17" s="14">
        <v>859</v>
      </c>
      <c r="N17" s="14">
        <v>687110</v>
      </c>
      <c r="O17" s="14">
        <v>100300</v>
      </c>
      <c r="P17" s="14">
        <v>586810</v>
      </c>
    </row>
    <row r="18" spans="11:16" x14ac:dyDescent="0.25">
      <c r="L18" s="42" t="s">
        <v>106</v>
      </c>
      <c r="M18" s="14">
        <v>859</v>
      </c>
      <c r="N18" s="14">
        <v>687110</v>
      </c>
      <c r="O18" s="14">
        <v>100300</v>
      </c>
      <c r="P18" s="14">
        <v>586810</v>
      </c>
    </row>
    <row r="19" spans="11:16" x14ac:dyDescent="0.25">
      <c r="L19" s="26">
        <v>45951</v>
      </c>
      <c r="M19" s="14">
        <v>243</v>
      </c>
      <c r="N19" s="14">
        <v>188325</v>
      </c>
      <c r="O19" s="14">
        <v>403200</v>
      </c>
      <c r="P19" s="14">
        <v>-214875</v>
      </c>
    </row>
    <row r="20" spans="11:16" x14ac:dyDescent="0.25">
      <c r="L20" s="42" t="s">
        <v>106</v>
      </c>
      <c r="M20" s="14">
        <v>243</v>
      </c>
      <c r="N20" s="14">
        <v>188325</v>
      </c>
      <c r="O20" s="14">
        <v>403200</v>
      </c>
      <c r="P20" s="14">
        <v>-214875</v>
      </c>
    </row>
    <row r="21" spans="11:16" x14ac:dyDescent="0.25">
      <c r="L21" s="26">
        <v>45952</v>
      </c>
      <c r="M21" s="14"/>
      <c r="N21" s="14">
        <v>0</v>
      </c>
      <c r="O21" s="14">
        <v>394675</v>
      </c>
      <c r="P21" s="14">
        <v>-394675</v>
      </c>
    </row>
    <row r="22" spans="11:16" x14ac:dyDescent="0.25">
      <c r="L22" s="42" t="s">
        <v>106</v>
      </c>
      <c r="M22" s="14"/>
      <c r="N22" s="14">
        <v>0</v>
      </c>
      <c r="O22" s="14">
        <v>394675</v>
      </c>
      <c r="P22" s="14">
        <v>-394675</v>
      </c>
    </row>
    <row r="23" spans="11:16" x14ac:dyDescent="0.25">
      <c r="L23" s="26">
        <v>45953</v>
      </c>
      <c r="M23" s="14">
        <v>262</v>
      </c>
      <c r="N23" s="14">
        <v>212220</v>
      </c>
      <c r="O23" s="14">
        <v>295250</v>
      </c>
      <c r="P23" s="14">
        <v>-83030</v>
      </c>
    </row>
    <row r="24" spans="11:16" x14ac:dyDescent="0.25">
      <c r="L24" s="42" t="s">
        <v>210</v>
      </c>
      <c r="M24" s="14">
        <v>262</v>
      </c>
      <c r="N24" s="14">
        <v>212220</v>
      </c>
      <c r="O24" s="14">
        <v>295250</v>
      </c>
      <c r="P24" s="14">
        <v>-83030</v>
      </c>
    </row>
    <row r="25" spans="11:16" x14ac:dyDescent="0.25">
      <c r="L25" s="26">
        <v>45954</v>
      </c>
      <c r="M25" s="14">
        <v>311</v>
      </c>
      <c r="N25" s="14">
        <v>251910</v>
      </c>
      <c r="O25" s="14">
        <v>252060</v>
      </c>
      <c r="P25" s="14">
        <v>-150</v>
      </c>
    </row>
    <row r="26" spans="11:16" x14ac:dyDescent="0.25">
      <c r="L26" s="42" t="s">
        <v>214</v>
      </c>
      <c r="M26" s="14">
        <v>311</v>
      </c>
      <c r="N26" s="14">
        <v>251910</v>
      </c>
      <c r="O26" s="14">
        <v>252060</v>
      </c>
      <c r="P26" s="14">
        <v>-150</v>
      </c>
    </row>
    <row r="27" spans="11:16" x14ac:dyDescent="0.25">
      <c r="L27" s="26">
        <v>45955</v>
      </c>
      <c r="M27" s="14">
        <v>683</v>
      </c>
      <c r="N27" s="14">
        <v>553230</v>
      </c>
      <c r="O27" s="14">
        <v>426921</v>
      </c>
      <c r="P27" s="14">
        <v>126309</v>
      </c>
    </row>
    <row r="28" spans="11:16" x14ac:dyDescent="0.25">
      <c r="L28" s="42" t="s">
        <v>106</v>
      </c>
      <c r="M28" s="14"/>
      <c r="N28" s="14">
        <v>0</v>
      </c>
      <c r="O28" s="14">
        <v>100000</v>
      </c>
      <c r="P28" s="14">
        <v>-100000</v>
      </c>
    </row>
    <row r="29" spans="11:16" x14ac:dyDescent="0.25">
      <c r="K29" s="14"/>
      <c r="L29" s="42" t="s">
        <v>216</v>
      </c>
      <c r="M29" s="14">
        <v>266</v>
      </c>
      <c r="N29" s="14">
        <v>215460</v>
      </c>
      <c r="O29" s="14"/>
      <c r="P29" s="14">
        <v>215460</v>
      </c>
    </row>
    <row r="30" spans="11:16" x14ac:dyDescent="0.25">
      <c r="L30" s="42" t="s">
        <v>215</v>
      </c>
      <c r="M30" s="14">
        <v>417</v>
      </c>
      <c r="N30" s="14">
        <v>337770</v>
      </c>
      <c r="O30" s="14">
        <v>326921</v>
      </c>
      <c r="P30" s="14">
        <v>10849</v>
      </c>
    </row>
    <row r="31" spans="11:16" x14ac:dyDescent="0.25">
      <c r="L31" s="26">
        <v>45956</v>
      </c>
      <c r="M31" s="14">
        <v>772</v>
      </c>
      <c r="N31" s="14">
        <v>625320</v>
      </c>
      <c r="O31" s="14">
        <v>130550</v>
      </c>
      <c r="P31" s="14">
        <v>494770</v>
      </c>
    </row>
    <row r="32" spans="11:16" x14ac:dyDescent="0.25">
      <c r="L32" s="42" t="s">
        <v>187</v>
      </c>
      <c r="M32" s="14">
        <v>439</v>
      </c>
      <c r="N32" s="14">
        <v>355590</v>
      </c>
      <c r="O32" s="14">
        <v>130550</v>
      </c>
      <c r="P32" s="14">
        <v>225040</v>
      </c>
    </row>
    <row r="33" spans="12:16" x14ac:dyDescent="0.25">
      <c r="L33" s="42" t="s">
        <v>217</v>
      </c>
      <c r="M33" s="14">
        <v>333</v>
      </c>
      <c r="N33" s="14">
        <v>269730</v>
      </c>
      <c r="O33" s="14"/>
      <c r="P33" s="14">
        <v>269730</v>
      </c>
    </row>
    <row r="34" spans="12:16" x14ac:dyDescent="0.25">
      <c r="L34" s="26">
        <v>45957</v>
      </c>
      <c r="M34" s="14">
        <v>277</v>
      </c>
      <c r="N34" s="14">
        <v>224370</v>
      </c>
      <c r="O34" s="14">
        <v>45335</v>
      </c>
      <c r="P34" s="14">
        <v>179035</v>
      </c>
    </row>
    <row r="35" spans="12:16" x14ac:dyDescent="0.25">
      <c r="L35" s="42" t="s">
        <v>220</v>
      </c>
      <c r="M35" s="14">
        <v>277</v>
      </c>
      <c r="N35" s="14">
        <v>224370</v>
      </c>
      <c r="O35" s="14">
        <v>45335</v>
      </c>
      <c r="P35" s="14">
        <v>179035</v>
      </c>
    </row>
    <row r="36" spans="12:16" x14ac:dyDescent="0.25">
      <c r="L36" s="26">
        <v>45958</v>
      </c>
      <c r="M36" s="14">
        <v>307</v>
      </c>
      <c r="N36" s="14">
        <v>248670</v>
      </c>
      <c r="O36" s="14">
        <v>399850</v>
      </c>
      <c r="P36" s="14">
        <v>-151180</v>
      </c>
    </row>
    <row r="37" spans="12:16" x14ac:dyDescent="0.25">
      <c r="L37" s="42" t="s">
        <v>200</v>
      </c>
      <c r="M37" s="14">
        <v>307</v>
      </c>
      <c r="N37" s="14">
        <v>248670</v>
      </c>
      <c r="O37" s="14">
        <v>399850</v>
      </c>
      <c r="P37" s="14">
        <v>-151180</v>
      </c>
    </row>
    <row r="38" spans="12:16" x14ac:dyDescent="0.25">
      <c r="L38" s="26">
        <v>45959</v>
      </c>
      <c r="M38" s="14">
        <v>438</v>
      </c>
      <c r="N38" s="14">
        <v>354780</v>
      </c>
      <c r="O38" s="14">
        <v>83850</v>
      </c>
      <c r="P38" s="14">
        <v>270930</v>
      </c>
    </row>
    <row r="39" spans="12:16" x14ac:dyDescent="0.25">
      <c r="L39" s="42" t="s">
        <v>228</v>
      </c>
      <c r="M39" s="14">
        <v>301</v>
      </c>
      <c r="N39" s="14">
        <v>243810</v>
      </c>
      <c r="O39" s="14"/>
      <c r="P39" s="14">
        <v>243810</v>
      </c>
    </row>
    <row r="40" spans="12:16" x14ac:dyDescent="0.25">
      <c r="L40" s="42" t="s">
        <v>227</v>
      </c>
      <c r="M40" s="14">
        <v>137</v>
      </c>
      <c r="N40" s="14">
        <v>110970</v>
      </c>
      <c r="O40" s="14">
        <v>83850</v>
      </c>
      <c r="P40" s="14">
        <v>27120</v>
      </c>
    </row>
    <row r="41" spans="12:16" x14ac:dyDescent="0.25">
      <c r="L41" s="26">
        <v>45960</v>
      </c>
      <c r="M41" s="14"/>
      <c r="N41" s="14">
        <v>0</v>
      </c>
      <c r="O41" s="14">
        <v>300000</v>
      </c>
      <c r="P41" s="14">
        <v>-300000</v>
      </c>
    </row>
    <row r="42" spans="12:16" x14ac:dyDescent="0.25">
      <c r="L42" s="42" t="s">
        <v>106</v>
      </c>
      <c r="M42" s="14"/>
      <c r="N42" s="14">
        <v>0</v>
      </c>
      <c r="O42" s="14">
        <v>300000</v>
      </c>
      <c r="P42" s="14">
        <v>-300000</v>
      </c>
    </row>
    <row r="43" spans="12:16" x14ac:dyDescent="0.25">
      <c r="L43" s="26">
        <v>45961</v>
      </c>
      <c r="M43" s="14">
        <v>440</v>
      </c>
      <c r="N43" s="14">
        <v>356400</v>
      </c>
      <c r="O43" s="14">
        <v>275230</v>
      </c>
      <c r="P43" s="14">
        <v>81170</v>
      </c>
    </row>
    <row r="44" spans="12:16" x14ac:dyDescent="0.25">
      <c r="L44" s="42" t="s">
        <v>187</v>
      </c>
      <c r="M44" s="14">
        <v>440</v>
      </c>
      <c r="N44" s="14">
        <v>356400</v>
      </c>
      <c r="O44" s="14">
        <v>275230</v>
      </c>
      <c r="P44" s="14">
        <v>81170</v>
      </c>
    </row>
    <row r="45" spans="12:16" x14ac:dyDescent="0.25">
      <c r="L45" s="26">
        <v>45962</v>
      </c>
      <c r="M45" s="14"/>
      <c r="N45" s="14">
        <v>0</v>
      </c>
      <c r="O45" s="14">
        <v>314375</v>
      </c>
      <c r="P45" s="14">
        <v>-314375</v>
      </c>
    </row>
    <row r="46" spans="12:16" x14ac:dyDescent="0.25">
      <c r="L46" s="42" t="s">
        <v>106</v>
      </c>
      <c r="M46" s="14"/>
      <c r="N46" s="14">
        <v>0</v>
      </c>
      <c r="O46" s="14">
        <v>314375</v>
      </c>
      <c r="P46" s="14">
        <v>-314375</v>
      </c>
    </row>
    <row r="47" spans="12:16" x14ac:dyDescent="0.25">
      <c r="L47" s="26">
        <v>45964</v>
      </c>
      <c r="M47" s="14">
        <v>450</v>
      </c>
      <c r="N47" s="14">
        <v>364500</v>
      </c>
      <c r="O47" s="14">
        <v>447570</v>
      </c>
      <c r="P47" s="14">
        <v>-83070</v>
      </c>
    </row>
    <row r="48" spans="12:16" x14ac:dyDescent="0.25">
      <c r="L48" s="42" t="s">
        <v>106</v>
      </c>
      <c r="M48" s="14"/>
      <c r="N48" s="14">
        <v>0</v>
      </c>
      <c r="O48" s="14">
        <v>70000</v>
      </c>
      <c r="P48" s="14">
        <v>-70000</v>
      </c>
    </row>
    <row r="49" spans="12:16" x14ac:dyDescent="0.25">
      <c r="L49" s="42" t="s">
        <v>187</v>
      </c>
      <c r="M49" s="14">
        <v>450</v>
      </c>
      <c r="N49" s="14">
        <v>364500</v>
      </c>
      <c r="O49" s="14">
        <v>377570</v>
      </c>
      <c r="P49" s="14">
        <v>-13070</v>
      </c>
    </row>
    <row r="50" spans="12:16" x14ac:dyDescent="0.25">
      <c r="L50" s="26">
        <v>45965</v>
      </c>
      <c r="M50" s="14">
        <v>443</v>
      </c>
      <c r="N50" s="14">
        <v>358830</v>
      </c>
      <c r="O50" s="14">
        <v>317950</v>
      </c>
      <c r="P50" s="14">
        <v>40880</v>
      </c>
    </row>
    <row r="51" spans="12:16" x14ac:dyDescent="0.25">
      <c r="L51" s="42" t="s">
        <v>232</v>
      </c>
      <c r="M51" s="14">
        <v>443</v>
      </c>
      <c r="N51" s="14">
        <v>358830</v>
      </c>
      <c r="O51" s="14">
        <v>317950</v>
      </c>
      <c r="P51" s="14">
        <v>40880</v>
      </c>
    </row>
    <row r="52" spans="12:16" x14ac:dyDescent="0.25">
      <c r="L52" s="26">
        <v>45966</v>
      </c>
      <c r="M52" s="14"/>
      <c r="N52" s="14">
        <v>0</v>
      </c>
      <c r="O52" s="14">
        <v>265000</v>
      </c>
      <c r="P52" s="14">
        <v>-265000</v>
      </c>
    </row>
    <row r="53" spans="12:16" x14ac:dyDescent="0.25">
      <c r="L53" s="42" t="s">
        <v>106</v>
      </c>
      <c r="M53" s="14"/>
      <c r="N53" s="14">
        <v>0</v>
      </c>
      <c r="O53" s="14">
        <v>265000</v>
      </c>
      <c r="P53" s="14">
        <v>-265000</v>
      </c>
    </row>
    <row r="54" spans="12:16" x14ac:dyDescent="0.25">
      <c r="L54" s="26">
        <v>45967</v>
      </c>
      <c r="M54" s="14">
        <v>245</v>
      </c>
      <c r="N54" s="14">
        <v>189875</v>
      </c>
      <c r="O54" s="14">
        <v>191200</v>
      </c>
      <c r="P54" s="14">
        <v>-1325</v>
      </c>
    </row>
    <row r="55" spans="12:16" x14ac:dyDescent="0.25">
      <c r="L55" s="42" t="s">
        <v>106</v>
      </c>
      <c r="M55" s="14">
        <v>245</v>
      </c>
      <c r="N55" s="14">
        <v>189875</v>
      </c>
      <c r="O55" s="14">
        <v>191200</v>
      </c>
      <c r="P55" s="14">
        <v>-1325</v>
      </c>
    </row>
    <row r="56" spans="12:16" x14ac:dyDescent="0.25">
      <c r="L56" s="26">
        <v>45968</v>
      </c>
      <c r="M56" s="14">
        <v>528</v>
      </c>
      <c r="N56" s="14">
        <v>425060</v>
      </c>
      <c r="O56" s="14">
        <v>318400</v>
      </c>
      <c r="P56" s="14">
        <v>106660</v>
      </c>
    </row>
    <row r="57" spans="12:16" x14ac:dyDescent="0.25">
      <c r="L57" s="42" t="s">
        <v>220</v>
      </c>
      <c r="M57" s="14">
        <v>266</v>
      </c>
      <c r="N57" s="14">
        <v>215460</v>
      </c>
      <c r="O57" s="14">
        <v>293400</v>
      </c>
      <c r="P57" s="14">
        <v>-77940</v>
      </c>
    </row>
    <row r="58" spans="12:16" x14ac:dyDescent="0.25">
      <c r="L58" s="42" t="s">
        <v>236</v>
      </c>
      <c r="M58" s="14">
        <v>262</v>
      </c>
      <c r="N58" s="14">
        <v>209600</v>
      </c>
      <c r="O58" s="14">
        <v>25000</v>
      </c>
      <c r="P58" s="14">
        <v>184600</v>
      </c>
    </row>
    <row r="59" spans="12:16" x14ac:dyDescent="0.25">
      <c r="L59" s="26">
        <v>45969</v>
      </c>
      <c r="M59" s="14">
        <v>618</v>
      </c>
      <c r="N59" s="14">
        <v>495855</v>
      </c>
      <c r="O59" s="14">
        <v>375250</v>
      </c>
      <c r="P59" s="14">
        <v>120605</v>
      </c>
    </row>
    <row r="60" spans="12:16" x14ac:dyDescent="0.25">
      <c r="L60" s="42" t="s">
        <v>232</v>
      </c>
      <c r="M60" s="14">
        <v>483</v>
      </c>
      <c r="N60" s="14">
        <v>391230</v>
      </c>
      <c r="O60" s="14">
        <v>375250</v>
      </c>
      <c r="P60" s="14">
        <v>15980</v>
      </c>
    </row>
    <row r="61" spans="12:16" x14ac:dyDescent="0.25">
      <c r="L61" s="42" t="s">
        <v>249</v>
      </c>
      <c r="M61" s="14">
        <v>135</v>
      </c>
      <c r="N61" s="14">
        <v>104625</v>
      </c>
      <c r="O61" s="14">
        <v>0</v>
      </c>
      <c r="P61" s="14">
        <v>104625</v>
      </c>
    </row>
    <row r="62" spans="12:16" x14ac:dyDescent="0.25">
      <c r="L62" s="26">
        <v>45939</v>
      </c>
      <c r="M62" s="14">
        <v>431</v>
      </c>
      <c r="N62" s="14">
        <v>349110</v>
      </c>
      <c r="O62" s="14">
        <v>0</v>
      </c>
      <c r="P62" s="14">
        <v>349110</v>
      </c>
    </row>
    <row r="63" spans="12:16" x14ac:dyDescent="0.25">
      <c r="L63" s="42" t="s">
        <v>187</v>
      </c>
      <c r="M63" s="14">
        <v>431</v>
      </c>
      <c r="N63" s="14">
        <v>349110</v>
      </c>
      <c r="O63" s="14">
        <v>0</v>
      </c>
      <c r="P63" s="14">
        <v>349110</v>
      </c>
    </row>
    <row r="64" spans="12:16" x14ac:dyDescent="0.25">
      <c r="L64" s="26">
        <v>45971</v>
      </c>
      <c r="M64" s="14">
        <v>272</v>
      </c>
      <c r="N64" s="14">
        <v>217600</v>
      </c>
      <c r="O64" s="14">
        <v>114835</v>
      </c>
      <c r="P64" s="14">
        <v>102765</v>
      </c>
    </row>
    <row r="65" spans="12:16" x14ac:dyDescent="0.25">
      <c r="L65" s="42" t="s">
        <v>106</v>
      </c>
      <c r="M65" s="14"/>
      <c r="N65" s="14">
        <v>0</v>
      </c>
      <c r="O65" s="14">
        <v>74835</v>
      </c>
      <c r="P65" s="14">
        <v>-74835</v>
      </c>
    </row>
    <row r="66" spans="12:16" x14ac:dyDescent="0.25">
      <c r="L66" s="42" t="s">
        <v>246</v>
      </c>
      <c r="M66" s="14">
        <v>272</v>
      </c>
      <c r="N66" s="14">
        <v>217600</v>
      </c>
      <c r="O66" s="14">
        <v>40000</v>
      </c>
      <c r="P66" s="14">
        <v>177600</v>
      </c>
    </row>
    <row r="67" spans="12:16" x14ac:dyDescent="0.25">
      <c r="L67" s="26">
        <v>45972</v>
      </c>
      <c r="M67" s="14">
        <v>451</v>
      </c>
      <c r="N67" s="14">
        <v>365310</v>
      </c>
      <c r="O67" s="14">
        <v>450000</v>
      </c>
      <c r="P67" s="14">
        <v>-84690</v>
      </c>
    </row>
    <row r="68" spans="12:16" x14ac:dyDescent="0.25">
      <c r="L68" s="42" t="s">
        <v>106</v>
      </c>
      <c r="M68" s="14"/>
      <c r="N68" s="14">
        <v>0</v>
      </c>
      <c r="O68" s="14">
        <v>50000</v>
      </c>
      <c r="P68" s="14">
        <v>-50000</v>
      </c>
    </row>
    <row r="69" spans="12:16" x14ac:dyDescent="0.25">
      <c r="L69" s="42" t="s">
        <v>247</v>
      </c>
      <c r="M69" s="14">
        <v>451</v>
      </c>
      <c r="N69" s="14">
        <v>365310</v>
      </c>
      <c r="O69" s="14">
        <v>400000</v>
      </c>
      <c r="P69" s="14">
        <v>-34690</v>
      </c>
    </row>
    <row r="70" spans="12:16" x14ac:dyDescent="0.25">
      <c r="L70" s="26">
        <v>45973</v>
      </c>
      <c r="M70" s="14">
        <v>517</v>
      </c>
      <c r="N70" s="14">
        <v>416280</v>
      </c>
      <c r="O70" s="14">
        <v>151370</v>
      </c>
      <c r="P70" s="14">
        <v>264910</v>
      </c>
    </row>
    <row r="71" spans="12:16" x14ac:dyDescent="0.25">
      <c r="L71" s="42" t="s">
        <v>246</v>
      </c>
      <c r="M71" s="14">
        <v>249</v>
      </c>
      <c r="N71" s="14">
        <v>199200</v>
      </c>
      <c r="O71" s="14">
        <v>30000</v>
      </c>
      <c r="P71" s="14">
        <v>169200</v>
      </c>
    </row>
    <row r="72" spans="12:16" x14ac:dyDescent="0.25">
      <c r="L72" s="42" t="s">
        <v>248</v>
      </c>
      <c r="M72" s="14">
        <v>268</v>
      </c>
      <c r="N72" s="14">
        <v>217080</v>
      </c>
      <c r="O72" s="14">
        <v>121370</v>
      </c>
      <c r="P72" s="14">
        <v>95710</v>
      </c>
    </row>
    <row r="73" spans="12:16" x14ac:dyDescent="0.25">
      <c r="L73" s="26">
        <v>45975</v>
      </c>
      <c r="M73" s="14"/>
      <c r="N73" s="14">
        <v>0</v>
      </c>
      <c r="O73" s="14">
        <v>250100</v>
      </c>
      <c r="P73" s="14">
        <v>-250100</v>
      </c>
    </row>
    <row r="74" spans="12:16" x14ac:dyDescent="0.25">
      <c r="L74" s="42" t="s">
        <v>106</v>
      </c>
      <c r="M74" s="14"/>
      <c r="N74" s="14">
        <v>0</v>
      </c>
      <c r="O74" s="14">
        <v>250100</v>
      </c>
      <c r="P74" s="14">
        <v>-250100</v>
      </c>
    </row>
    <row r="75" spans="12:16" x14ac:dyDescent="0.25">
      <c r="L75" s="26">
        <v>45978</v>
      </c>
      <c r="M75" s="14">
        <v>897</v>
      </c>
      <c r="N75" s="14">
        <v>726570</v>
      </c>
      <c r="O75" s="14">
        <v>146400</v>
      </c>
      <c r="P75" s="14">
        <v>580170</v>
      </c>
    </row>
    <row r="76" spans="12:16" x14ac:dyDescent="0.25">
      <c r="L76" s="42" t="s">
        <v>187</v>
      </c>
      <c r="M76" s="14">
        <v>429</v>
      </c>
      <c r="N76" s="14">
        <v>347490</v>
      </c>
      <c r="O76" s="14"/>
      <c r="P76" s="14">
        <v>347490</v>
      </c>
    </row>
    <row r="77" spans="12:16" x14ac:dyDescent="0.25">
      <c r="L77" s="42" t="s">
        <v>232</v>
      </c>
      <c r="M77" s="14">
        <v>468</v>
      </c>
      <c r="N77" s="14">
        <v>379080</v>
      </c>
      <c r="O77" s="14">
        <v>146400</v>
      </c>
      <c r="P77" s="14">
        <v>232680</v>
      </c>
    </row>
    <row r="78" spans="12:16" x14ac:dyDescent="0.25">
      <c r="L78" s="26">
        <v>45979</v>
      </c>
      <c r="M78" s="14"/>
      <c r="N78" s="14">
        <v>0</v>
      </c>
      <c r="O78" s="14">
        <v>440082</v>
      </c>
      <c r="P78" s="14">
        <v>-440082</v>
      </c>
    </row>
    <row r="79" spans="12:16" x14ac:dyDescent="0.25">
      <c r="L79" s="42" t="s">
        <v>106</v>
      </c>
      <c r="M79" s="14"/>
      <c r="N79" s="14">
        <v>0</v>
      </c>
      <c r="O79" s="14">
        <v>440082</v>
      </c>
      <c r="P79" s="14">
        <v>-440082</v>
      </c>
    </row>
    <row r="80" spans="12:16" x14ac:dyDescent="0.25">
      <c r="L80" s="26">
        <v>45982</v>
      </c>
      <c r="M80" s="14"/>
      <c r="N80" s="14">
        <v>0</v>
      </c>
      <c r="O80" s="14">
        <v>0</v>
      </c>
      <c r="P80" s="14">
        <v>0</v>
      </c>
    </row>
    <row r="81" spans="12:16" x14ac:dyDescent="0.25">
      <c r="L81" s="42" t="s">
        <v>106</v>
      </c>
      <c r="M81" s="14"/>
      <c r="N81" s="14">
        <v>0</v>
      </c>
      <c r="O81" s="14">
        <v>0</v>
      </c>
      <c r="P81" s="14">
        <v>0</v>
      </c>
    </row>
    <row r="82" spans="12:16" x14ac:dyDescent="0.25">
      <c r="L82" s="26"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06"/>
  <sheetViews>
    <sheetView tabSelected="1" zoomScale="132" workbookViewId="0">
      <selection activeCell="A5" sqref="A5"/>
    </sheetView>
  </sheetViews>
  <sheetFormatPr defaultRowHeight="15" x14ac:dyDescent="0.25"/>
  <cols>
    <col min="1" max="1" width="12.140625" customWidth="1"/>
    <col min="2" max="2" width="19.7109375" bestFit="1" customWidth="1"/>
    <col min="3" max="3" width="13.5703125" bestFit="1" customWidth="1"/>
    <col min="4" max="4" width="12.7109375" bestFit="1" customWidth="1"/>
    <col min="5" max="5" width="14.85546875" customWidth="1"/>
    <col min="6" max="6" width="13.28515625" bestFit="1" customWidth="1"/>
    <col min="7" max="7" width="14.7109375" bestFit="1" customWidth="1"/>
    <col min="8" max="8" width="16.140625" customWidth="1"/>
    <col min="9" max="9" width="14.42578125" bestFit="1" customWidth="1"/>
    <col min="10" max="10" width="20.140625" bestFit="1" customWidth="1"/>
    <col min="11" max="11" width="13.5703125" bestFit="1" customWidth="1"/>
    <col min="12" max="12" width="12.7109375" bestFit="1" customWidth="1"/>
    <col min="13" max="13" width="11.140625" customWidth="1"/>
    <col min="14" max="14" width="10.85546875" customWidth="1"/>
    <col min="15" max="15" width="12.5703125" customWidth="1"/>
    <col min="16" max="16" width="13.7109375" customWidth="1"/>
    <col min="18" max="18" width="11.5703125" customWidth="1"/>
  </cols>
  <sheetData>
    <row r="1" spans="1:16" x14ac:dyDescent="0.25">
      <c r="A1" t="s">
        <v>75</v>
      </c>
      <c r="B1" t="s">
        <v>113</v>
      </c>
      <c r="C1" t="s">
        <v>70</v>
      </c>
      <c r="D1" t="s">
        <v>69</v>
      </c>
      <c r="E1" t="s">
        <v>36</v>
      </c>
      <c r="F1" t="s">
        <v>114</v>
      </c>
      <c r="G1" t="s">
        <v>115</v>
      </c>
    </row>
    <row r="2" spans="1:16" x14ac:dyDescent="0.25">
      <c r="A2" s="86">
        <v>45947</v>
      </c>
      <c r="B2" s="81" t="s">
        <v>265</v>
      </c>
      <c r="C2" s="11"/>
      <c r="D2" s="87">
        <f ca="1">[1]Cashbook!$N$5</f>
        <v>692068</v>
      </c>
      <c r="E2" s="81"/>
      <c r="F2" s="88" t="s">
        <v>111</v>
      </c>
    </row>
    <row r="3" spans="1:16" x14ac:dyDescent="0.25">
      <c r="A3" s="86">
        <v>45947</v>
      </c>
      <c r="B3" s="81" t="s">
        <v>266</v>
      </c>
      <c r="C3" s="11"/>
      <c r="D3" s="87">
        <f ca="1">[1]Cashbook!$N$6</f>
        <v>-584716</v>
      </c>
      <c r="E3" s="81"/>
      <c r="F3" s="88" t="s">
        <v>112</v>
      </c>
      <c r="J3" s="47" t="s">
        <v>45</v>
      </c>
      <c r="K3" s="35" t="s">
        <v>46</v>
      </c>
      <c r="M3" s="47" t="s">
        <v>45</v>
      </c>
      <c r="N3" s="50" t="s">
        <v>107</v>
      </c>
      <c r="O3" s="89" t="s">
        <v>108</v>
      </c>
      <c r="P3" t="s">
        <v>109</v>
      </c>
    </row>
    <row r="4" spans="1:16" x14ac:dyDescent="0.25">
      <c r="A4" s="128">
        <v>45980</v>
      </c>
      <c r="B4" s="126" t="s">
        <v>191</v>
      </c>
      <c r="C4" s="98">
        <v>800</v>
      </c>
      <c r="D4" s="98"/>
      <c r="E4" s="126"/>
      <c r="F4" s="129" t="s">
        <v>111</v>
      </c>
      <c r="G4" s="126"/>
      <c r="J4" s="45" t="s">
        <v>70</v>
      </c>
      <c r="K4" s="46">
        <f>Table14[[#Totals],[Debit]]</f>
        <v>800</v>
      </c>
      <c r="M4" s="45" t="s">
        <v>110</v>
      </c>
      <c r="N4" s="51">
        <f>SUMIFS(Table14[Withdrawal],Table14[Party],"Cash",Table14[Mode],"Transfer")</f>
        <v>0</v>
      </c>
    </row>
    <row r="5" spans="1:16" x14ac:dyDescent="0.25">
      <c r="A5" s="128"/>
      <c r="B5" s="126"/>
      <c r="C5" s="98"/>
      <c r="D5" s="98"/>
      <c r="E5" s="126"/>
      <c r="F5" s="129"/>
      <c r="G5" s="126"/>
      <c r="J5" s="45" t="s">
        <v>69</v>
      </c>
      <c r="K5" s="46">
        <f ca="1">Table14[[#Totals],[Credit]]</f>
        <v>107352</v>
      </c>
      <c r="M5" s="45" t="s">
        <v>111</v>
      </c>
      <c r="N5" s="46">
        <f ca="1">(SUMIFS(Table14[Credit],Table14[Mode],"Bank")-SUMIFS(Table14[Debit],Table14[Mode],"Bank")-SUMIFS(Table14[Withdrawal],Table14[Mode],"Transfer"))</f>
        <v>691268</v>
      </c>
      <c r="O5">
        <v>360000</v>
      </c>
    </row>
    <row r="6" spans="1:16" x14ac:dyDescent="0.25">
      <c r="A6" s="38"/>
      <c r="C6" s="14">
        <f>SUBTOTAL(109,Table14[Debit])</f>
        <v>800</v>
      </c>
      <c r="D6" s="14">
        <f ca="1">SUBTOTAL(109,Table14[Credit])</f>
        <v>107352</v>
      </c>
      <c r="F6" s="54">
        <f ca="1">(Table14[[#Totals],[Credit]]-Table14[[#Totals],[Debit]])</f>
        <v>106552</v>
      </c>
      <c r="J6" s="52" t="s">
        <v>43</v>
      </c>
      <c r="K6" s="53">
        <f ca="1">(K5-K4)</f>
        <v>106552</v>
      </c>
      <c r="M6" s="45" t="s">
        <v>112</v>
      </c>
      <c r="N6" s="46">
        <f ca="1">((SUMIFS(Table14[Credit],Table14[Mode],"Cash")-SUMIFS(Table14[Debit],Table14[Mode],"Cash"))+SUMIFS(Table14[Withdrawal],Table14[Party],"Cash",Table14[Mode],"Transfer"))</f>
        <v>-584716</v>
      </c>
      <c r="O6">
        <v>50000</v>
      </c>
    </row>
    <row r="7" spans="1:16" x14ac:dyDescent="0.25">
      <c r="M7" s="48" t="s">
        <v>5</v>
      </c>
      <c r="N7" s="49">
        <f ca="1">SUM(N5:N6)</f>
        <v>106552</v>
      </c>
      <c r="O7" s="90">
        <f>SUM(O5,O6)</f>
        <v>410000</v>
      </c>
      <c r="P7" s="14">
        <f ca="1">Table18[[#Totals],[amount]]-Table18[[#Totals],[Actual]]</f>
        <v>-303448</v>
      </c>
    </row>
    <row r="163" spans="10:12" x14ac:dyDescent="0.25">
      <c r="J163" s="3" t="s">
        <v>6</v>
      </c>
      <c r="K163" t="s">
        <v>121</v>
      </c>
      <c r="L163" t="s">
        <v>122</v>
      </c>
    </row>
    <row r="164" spans="10:12" x14ac:dyDescent="0.25">
      <c r="J164" s="4" t="s">
        <v>189</v>
      </c>
      <c r="K164" s="14"/>
      <c r="L164" s="14">
        <v>122000</v>
      </c>
    </row>
    <row r="165" spans="10:12" x14ac:dyDescent="0.25">
      <c r="J165" s="4" t="s">
        <v>9</v>
      </c>
      <c r="K165" s="14">
        <v>1796234</v>
      </c>
      <c r="L165" s="14"/>
    </row>
    <row r="166" spans="10:12" x14ac:dyDescent="0.25">
      <c r="J166" s="4" t="s">
        <v>21</v>
      </c>
      <c r="K166" s="14">
        <v>5557023</v>
      </c>
      <c r="L166" s="14"/>
    </row>
    <row r="167" spans="10:12" x14ac:dyDescent="0.25">
      <c r="J167" s="4" t="s">
        <v>120</v>
      </c>
      <c r="K167" s="14"/>
      <c r="L167" s="14">
        <v>569850</v>
      </c>
    </row>
    <row r="168" spans="10:12" x14ac:dyDescent="0.25">
      <c r="J168" s="4" t="s">
        <v>97</v>
      </c>
      <c r="K168" s="14"/>
      <c r="L168" s="14">
        <v>6271603</v>
      </c>
    </row>
    <row r="169" spans="10:12" x14ac:dyDescent="0.25">
      <c r="J169" s="4" t="s">
        <v>50</v>
      </c>
      <c r="K169" s="14"/>
      <c r="L169" s="14">
        <v>41020</v>
      </c>
    </row>
    <row r="170" spans="10:12" x14ac:dyDescent="0.25">
      <c r="J170" s="4" t="s">
        <v>55</v>
      </c>
      <c r="K170" s="14"/>
      <c r="L170" s="14">
        <v>492982</v>
      </c>
    </row>
    <row r="171" spans="10:12" x14ac:dyDescent="0.25">
      <c r="J171" s="4" t="s">
        <v>116</v>
      </c>
      <c r="K171" s="14"/>
      <c r="L171" s="14">
        <v>165070</v>
      </c>
    </row>
    <row r="172" spans="10:12" x14ac:dyDescent="0.25">
      <c r="J172" s="4" t="s">
        <v>52</v>
      </c>
      <c r="K172" s="14"/>
      <c r="L172" s="14">
        <v>1240870</v>
      </c>
    </row>
    <row r="173" spans="10:12" x14ac:dyDescent="0.25">
      <c r="J173" s="4" t="s">
        <v>54</v>
      </c>
      <c r="K173" s="14"/>
      <c r="L173" s="14">
        <v>116561</v>
      </c>
    </row>
    <row r="174" spans="10:12" x14ac:dyDescent="0.25">
      <c r="J174" s="4" t="s">
        <v>119</v>
      </c>
      <c r="K174" s="14"/>
      <c r="L174" s="14">
        <v>220000</v>
      </c>
    </row>
    <row r="175" spans="10:12" x14ac:dyDescent="0.25">
      <c r="J175" s="4" t="s">
        <v>198</v>
      </c>
      <c r="K175" s="14">
        <v>22050</v>
      </c>
      <c r="L175" s="14">
        <v>368130</v>
      </c>
    </row>
    <row r="176" spans="10:12" x14ac:dyDescent="0.25">
      <c r="J176" s="4" t="s">
        <v>197</v>
      </c>
      <c r="K176" s="14">
        <v>3000</v>
      </c>
      <c r="L176" s="14">
        <v>5000</v>
      </c>
    </row>
    <row r="177" spans="10:12" x14ac:dyDescent="0.25">
      <c r="J177" s="4" t="s">
        <v>191</v>
      </c>
      <c r="K177" s="14">
        <v>122244</v>
      </c>
      <c r="L177" s="14">
        <v>8800</v>
      </c>
    </row>
    <row r="178" spans="10:12" x14ac:dyDescent="0.25">
      <c r="J178" s="4" t="s">
        <v>22</v>
      </c>
      <c r="K178" s="14">
        <v>2304000</v>
      </c>
      <c r="L178" s="14"/>
    </row>
    <row r="179" spans="10:12" x14ac:dyDescent="0.25">
      <c r="J179" s="4" t="s">
        <v>106</v>
      </c>
      <c r="K179" s="14"/>
      <c r="L179" s="14"/>
    </row>
    <row r="180" spans="10:12" x14ac:dyDescent="0.25">
      <c r="J180" s="4" t="s">
        <v>194</v>
      </c>
      <c r="K180" s="14">
        <v>1793544</v>
      </c>
      <c r="L180" s="14"/>
    </row>
    <row r="181" spans="10:12" x14ac:dyDescent="0.25">
      <c r="J181" s="4" t="s">
        <v>24</v>
      </c>
      <c r="K181" s="14">
        <v>2000000</v>
      </c>
      <c r="L181" s="14"/>
    </row>
    <row r="182" spans="10:12" x14ac:dyDescent="0.25">
      <c r="J182" s="4" t="s">
        <v>27</v>
      </c>
      <c r="K182" s="14">
        <v>800000</v>
      </c>
      <c r="L182" s="14"/>
    </row>
    <row r="183" spans="10:12" x14ac:dyDescent="0.25">
      <c r="J183" s="4" t="s">
        <v>118</v>
      </c>
      <c r="K183" s="14"/>
      <c r="L183" s="14">
        <v>400000</v>
      </c>
    </row>
    <row r="184" spans="10:12" x14ac:dyDescent="0.25">
      <c r="J184" s="4" t="s">
        <v>35</v>
      </c>
      <c r="K184" s="14">
        <v>179000</v>
      </c>
      <c r="L184" s="14"/>
    </row>
    <row r="185" spans="10:12" x14ac:dyDescent="0.25">
      <c r="J185" s="4" t="s">
        <v>26</v>
      </c>
      <c r="K185" s="14">
        <v>300000</v>
      </c>
      <c r="L185" s="14"/>
    </row>
    <row r="186" spans="10:12" x14ac:dyDescent="0.25">
      <c r="J186" s="4" t="s">
        <v>152</v>
      </c>
      <c r="K186" s="14"/>
      <c r="L186" s="14">
        <v>220000</v>
      </c>
    </row>
    <row r="187" spans="10:12" x14ac:dyDescent="0.25">
      <c r="J187" s="4" t="s">
        <v>64</v>
      </c>
      <c r="K187" s="14"/>
      <c r="L187" s="14">
        <v>12000</v>
      </c>
    </row>
    <row r="188" spans="10:12" x14ac:dyDescent="0.25">
      <c r="J188" s="4" t="s">
        <v>213</v>
      </c>
      <c r="K188" s="14"/>
      <c r="L188" s="14">
        <v>250000</v>
      </c>
    </row>
    <row r="189" spans="10:12" x14ac:dyDescent="0.25">
      <c r="J189" s="4" t="s">
        <v>169</v>
      </c>
      <c r="K189" s="14">
        <v>2630544</v>
      </c>
      <c r="L189" s="14"/>
    </row>
    <row r="190" spans="10:12" x14ac:dyDescent="0.25">
      <c r="J190" s="4" t="s">
        <v>173</v>
      </c>
      <c r="K190" s="14"/>
      <c r="L190" s="14">
        <v>955025</v>
      </c>
    </row>
    <row r="191" spans="10:12" x14ac:dyDescent="0.25">
      <c r="J191" s="4" t="s">
        <v>181</v>
      </c>
      <c r="K191" s="14"/>
      <c r="L191" s="14">
        <v>1000</v>
      </c>
    </row>
    <row r="192" spans="10:12" x14ac:dyDescent="0.25">
      <c r="J192" s="4" t="s">
        <v>218</v>
      </c>
      <c r="K192" s="14"/>
      <c r="L192" s="14">
        <v>6209544</v>
      </c>
    </row>
    <row r="193" spans="10:12" x14ac:dyDescent="0.25">
      <c r="J193" s="4" t="s">
        <v>186</v>
      </c>
      <c r="K193" s="14">
        <v>-1629605</v>
      </c>
      <c r="L193" s="14"/>
    </row>
    <row r="194" spans="10:12" x14ac:dyDescent="0.25">
      <c r="J194" s="4" t="s">
        <v>193</v>
      </c>
      <c r="K194" s="14">
        <v>2915571</v>
      </c>
      <c r="L194" s="14"/>
    </row>
    <row r="195" spans="10:12" x14ac:dyDescent="0.25">
      <c r="J195" s="4" t="s">
        <v>195</v>
      </c>
      <c r="K195" s="14"/>
      <c r="L195" s="14">
        <v>842750</v>
      </c>
    </row>
    <row r="196" spans="10:12" x14ac:dyDescent="0.25">
      <c r="J196" s="4" t="s">
        <v>199</v>
      </c>
      <c r="K196" s="14">
        <v>54825</v>
      </c>
      <c r="L196" s="14">
        <v>35195</v>
      </c>
    </row>
    <row r="197" spans="10:12" x14ac:dyDescent="0.25">
      <c r="J197" s="4" t="s">
        <v>201</v>
      </c>
      <c r="K197" s="14"/>
      <c r="L197" s="14">
        <v>42000</v>
      </c>
    </row>
    <row r="198" spans="10:12" x14ac:dyDescent="0.25">
      <c r="J198" s="4" t="s">
        <v>206</v>
      </c>
      <c r="K198" s="14"/>
      <c r="L198" s="14">
        <v>2503038</v>
      </c>
    </row>
    <row r="199" spans="10:12" x14ac:dyDescent="0.25">
      <c r="J199" s="4" t="s">
        <v>202</v>
      </c>
      <c r="K199" s="14">
        <v>835660</v>
      </c>
      <c r="L199" s="14"/>
    </row>
    <row r="200" spans="10:12" x14ac:dyDescent="0.25">
      <c r="J200" s="4" t="s">
        <v>179</v>
      </c>
      <c r="K200" s="14">
        <v>480000</v>
      </c>
      <c r="L200" s="14"/>
    </row>
    <row r="201" spans="10:12" x14ac:dyDescent="0.25">
      <c r="J201" s="4" t="s">
        <v>219</v>
      </c>
      <c r="K201" s="14">
        <v>800000</v>
      </c>
      <c r="L201" s="14"/>
    </row>
    <row r="202" spans="10:12" x14ac:dyDescent="0.25">
      <c r="J202" s="4" t="s">
        <v>221</v>
      </c>
      <c r="K202" s="14">
        <v>474200</v>
      </c>
      <c r="L202" s="14"/>
    </row>
    <row r="203" spans="10:12" x14ac:dyDescent="0.25">
      <c r="J203" s="4" t="s">
        <v>222</v>
      </c>
      <c r="K203" s="14">
        <v>95000</v>
      </c>
      <c r="L203" s="14"/>
    </row>
    <row r="204" spans="10:12" x14ac:dyDescent="0.25">
      <c r="J204" s="4" t="s">
        <v>235</v>
      </c>
      <c r="K204" s="14"/>
      <c r="L204" s="14">
        <v>296000</v>
      </c>
    </row>
    <row r="205" spans="10:12" x14ac:dyDescent="0.25">
      <c r="J205" s="4" t="s">
        <v>250</v>
      </c>
      <c r="K205" s="14"/>
      <c r="L205" s="14">
        <v>37500</v>
      </c>
    </row>
    <row r="206" spans="10:12" x14ac:dyDescent="0.25">
      <c r="J206" s="4" t="s">
        <v>28</v>
      </c>
      <c r="K206" s="14">
        <v>21533290</v>
      </c>
      <c r="L206" s="14">
        <v>21425938</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37" zoomScale="93" zoomScaleNormal="210" workbookViewId="0">
      <selection activeCell="C15" sqref="C15"/>
    </sheetView>
  </sheetViews>
  <sheetFormatPr defaultRowHeight="15" x14ac:dyDescent="0.25"/>
  <cols>
    <col min="1" max="1" width="11.140625" customWidth="1"/>
    <col min="2" max="2" width="15.5703125" customWidth="1"/>
    <col min="3" max="3" width="11.5703125" customWidth="1"/>
    <col min="5" max="5" width="12.28515625" bestFit="1" customWidth="1"/>
    <col min="6" max="6" width="11.28515625" bestFit="1" customWidth="1"/>
    <col min="7" max="7" width="10.28515625" bestFit="1" customWidth="1"/>
    <col min="8" max="8" width="12.28515625" bestFit="1" customWidth="1"/>
    <col min="9" max="9" width="15.7109375" customWidth="1"/>
    <col min="10" max="10" width="14.42578125" bestFit="1" customWidth="1"/>
    <col min="11" max="11" width="13.42578125" bestFit="1" customWidth="1"/>
    <col min="12" max="12" width="12.42578125" bestFit="1" customWidth="1"/>
    <col min="13" max="13" width="15" bestFit="1" customWidth="1"/>
  </cols>
  <sheetData>
    <row r="1" spans="1:14" x14ac:dyDescent="0.25">
      <c r="A1" s="2" t="s">
        <v>75</v>
      </c>
      <c r="B1" s="2" t="s">
        <v>123</v>
      </c>
      <c r="C1" s="2" t="s">
        <v>124</v>
      </c>
      <c r="D1" s="8" t="s">
        <v>4</v>
      </c>
      <c r="E1" s="8" t="s">
        <v>125</v>
      </c>
      <c r="F1" s="8" t="s">
        <v>113</v>
      </c>
      <c r="G1" s="8" t="s">
        <v>95</v>
      </c>
      <c r="H1" s="8" t="s">
        <v>18</v>
      </c>
      <c r="I1" s="8" t="s">
        <v>126</v>
      </c>
    </row>
    <row r="2" spans="1:14" x14ac:dyDescent="0.25">
      <c r="A2" s="85">
        <v>45947</v>
      </c>
      <c r="B2" s="82" t="s">
        <v>64</v>
      </c>
      <c r="C2" s="82"/>
      <c r="D2" s="82"/>
      <c r="E2" s="82"/>
      <c r="F2" s="99" t="s">
        <v>118</v>
      </c>
      <c r="G2" s="82">
        <f>SUMIFS(Table14[Debit], Table14[Date], Table8[[#This Row],[Date]], Table14[Party], Table8[[#This Row],[Party]])</f>
        <v>0</v>
      </c>
      <c r="H2" s="82">
        <v>240125</v>
      </c>
      <c r="I2" s="82" t="s">
        <v>263</v>
      </c>
      <c r="K2" t="s">
        <v>75</v>
      </c>
      <c r="L2" t="s">
        <v>45</v>
      </c>
      <c r="M2" t="s">
        <v>36</v>
      </c>
      <c r="N2" t="s">
        <v>5</v>
      </c>
    </row>
    <row r="3" spans="1:14" x14ac:dyDescent="0.25">
      <c r="A3" s="97">
        <v>45947</v>
      </c>
      <c r="B3" s="81" t="s">
        <v>64</v>
      </c>
      <c r="C3" s="81"/>
      <c r="D3" s="81"/>
      <c r="E3" s="81"/>
      <c r="F3" s="81" t="s">
        <v>195</v>
      </c>
      <c r="G3" s="81">
        <f>SUMIFS(Table14[Debit], Table14[Date], Table8[[#This Row],[Date]], Table14[Party], Table8[[#This Row],[Party]])</f>
        <v>0</v>
      </c>
      <c r="H3" s="81">
        <v>0</v>
      </c>
      <c r="I3" s="81" t="s">
        <v>263</v>
      </c>
      <c r="K3" s="1"/>
      <c r="L3" t="s">
        <v>127</v>
      </c>
      <c r="N3" s="11">
        <f t="shared" ref="N3" si="0">47000+28750</f>
        <v>75750</v>
      </c>
    </row>
    <row r="4" spans="1:14" x14ac:dyDescent="0.25">
      <c r="A4" s="1">
        <v>45979</v>
      </c>
      <c r="B4" t="s">
        <v>64</v>
      </c>
      <c r="D4" s="125"/>
      <c r="F4" t="s">
        <v>250</v>
      </c>
      <c r="G4" s="125">
        <f>SUMIFS(Table14[Debit], Table14[Date], Table8[[#This Row],[Date]], Table14[Party], Table8[[#This Row],[Party]])</f>
        <v>0</v>
      </c>
      <c r="H4" s="125">
        <f>Table8[[#This Row],[Price]]-Table8[[#This Row],[Paid]]</f>
        <v>0</v>
      </c>
      <c r="I4" t="s">
        <v>263</v>
      </c>
      <c r="K4" s="1"/>
      <c r="N4" s="11"/>
    </row>
    <row r="5" spans="1:14" x14ac:dyDescent="0.25">
      <c r="D5" s="125"/>
      <c r="G5" s="125">
        <f>SUMIFS(Table14[Debit], Table14[Date], Table8[[#This Row],[Date]], Table14[Party], Table8[[#This Row],[Party]])</f>
        <v>0</v>
      </c>
      <c r="H5" s="125">
        <f>Table8[[#This Row],[Price]]-Table8[[#This Row],[Paid]]</f>
        <v>0</v>
      </c>
      <c r="K5" s="1"/>
      <c r="N5" s="14">
        <f>SUM(Table7[Total])</f>
        <v>75750</v>
      </c>
    </row>
    <row r="6" spans="1:14" x14ac:dyDescent="0.25">
      <c r="E6">
        <f>SUBTOTAL(109,Table8[Price])</f>
        <v>0</v>
      </c>
      <c r="H6">
        <f>SUBTOTAL(109,Table8[Balance])</f>
        <v>240125</v>
      </c>
    </row>
    <row r="7" spans="1:14" x14ac:dyDescent="0.25">
      <c r="K7" s="3" t="s">
        <v>113</v>
      </c>
      <c r="L7" t="s">
        <v>88</v>
      </c>
    </row>
    <row r="9" spans="1:14" x14ac:dyDescent="0.25">
      <c r="K9" s="3" t="s">
        <v>6</v>
      </c>
      <c r="L9" t="s">
        <v>130</v>
      </c>
      <c r="M9" t="s">
        <v>131</v>
      </c>
    </row>
    <row r="10" spans="1:14" x14ac:dyDescent="0.25">
      <c r="K10" s="26">
        <v>45947</v>
      </c>
      <c r="L10" s="125"/>
      <c r="M10" s="125">
        <v>640125</v>
      </c>
    </row>
    <row r="11" spans="1:14" x14ac:dyDescent="0.25">
      <c r="K11" s="26">
        <v>45948</v>
      </c>
      <c r="L11" s="125">
        <v>162250</v>
      </c>
      <c r="M11" s="125">
        <v>-300000</v>
      </c>
    </row>
    <row r="12" spans="1:14" x14ac:dyDescent="0.25">
      <c r="A12" t="s">
        <v>57</v>
      </c>
      <c r="B12" t="s">
        <v>159</v>
      </c>
      <c r="C12" t="s">
        <v>160</v>
      </c>
      <c r="D12" t="s">
        <v>4</v>
      </c>
      <c r="E12" t="s">
        <v>161</v>
      </c>
      <c r="K12" s="26">
        <v>45955</v>
      </c>
      <c r="L12" s="125"/>
      <c r="M12" s="125">
        <v>-100000</v>
      </c>
    </row>
    <row r="13" spans="1:14" x14ac:dyDescent="0.25">
      <c r="A13" t="s">
        <v>134</v>
      </c>
      <c r="B13">
        <v>1</v>
      </c>
      <c r="C13">
        <v>25</v>
      </c>
      <c r="D13">
        <v>1400</v>
      </c>
      <c r="E13">
        <f>Table2325[[#This Row],[boxes]]*Table2325[[#This Row],[kgs]]*Table2325[[#This Row],[Rate]]</f>
        <v>35000</v>
      </c>
      <c r="K13" s="26">
        <v>45960</v>
      </c>
      <c r="L13" s="125">
        <v>73500</v>
      </c>
      <c r="M13" s="125">
        <v>0</v>
      </c>
    </row>
    <row r="14" spans="1:14" x14ac:dyDescent="0.25">
      <c r="A14" t="s">
        <v>132</v>
      </c>
      <c r="B14">
        <v>1</v>
      </c>
      <c r="C14">
        <v>3</v>
      </c>
      <c r="D14">
        <v>1340</v>
      </c>
      <c r="E14">
        <f>Table2325[[#This Row],[boxes]]*Table2325[[#This Row],[kgs]]*Table2325[[#This Row],[Rate]]</f>
        <v>4020</v>
      </c>
      <c r="K14" s="26">
        <v>45961</v>
      </c>
      <c r="L14" s="125"/>
      <c r="M14" s="125">
        <v>0</v>
      </c>
    </row>
    <row r="15" spans="1:14" x14ac:dyDescent="0.25">
      <c r="A15" t="s">
        <v>150</v>
      </c>
      <c r="B15">
        <v>1</v>
      </c>
      <c r="D15">
        <v>1120</v>
      </c>
      <c r="E15">
        <f>Table2325[[#This Row],[boxes]]*Table2325[[#This Row],[kgs]]*Table2325[[#This Row],[Rate]]</f>
        <v>0</v>
      </c>
      <c r="K15" s="26">
        <v>45962</v>
      </c>
      <c r="L15" s="125">
        <v>145000</v>
      </c>
      <c r="M15" s="125">
        <v>0</v>
      </c>
    </row>
    <row r="16" spans="1:14" x14ac:dyDescent="0.25">
      <c r="A16" t="s">
        <v>129</v>
      </c>
      <c r="B16">
        <v>1</v>
      </c>
      <c r="C16">
        <v>25</v>
      </c>
      <c r="D16">
        <v>1120</v>
      </c>
      <c r="E16">
        <f>Table2325[[#This Row],[boxes]]*Table2325[[#This Row],[kgs]]*Table2325[[#This Row],[Rate]]</f>
        <v>28000</v>
      </c>
      <c r="K16" s="26">
        <v>45974</v>
      </c>
      <c r="L16" s="125">
        <v>37500</v>
      </c>
      <c r="M16" s="125">
        <v>0</v>
      </c>
    </row>
    <row r="17" spans="1:13" x14ac:dyDescent="0.25">
      <c r="A17" t="s">
        <v>128</v>
      </c>
      <c r="B17">
        <v>1</v>
      </c>
      <c r="C17">
        <v>25</v>
      </c>
      <c r="D17">
        <v>1120</v>
      </c>
      <c r="E17">
        <f>Table2325[[#This Row],[boxes]]*Table2325[[#This Row],[kgs]]*Table2325[[#This Row],[Rate]]</f>
        <v>28000</v>
      </c>
      <c r="K17" s="26">
        <v>45975</v>
      </c>
      <c r="L17" s="125">
        <v>162500</v>
      </c>
      <c r="M17" s="125">
        <v>0</v>
      </c>
    </row>
    <row r="18" spans="1:13" x14ac:dyDescent="0.25">
      <c r="A18" t="s">
        <v>149</v>
      </c>
      <c r="B18">
        <v>1</v>
      </c>
      <c r="D18">
        <v>1300</v>
      </c>
      <c r="E18">
        <f>Table2325[[#This Row],[boxes]]*Table2325[[#This Row],[kgs]]*Table2325[[#This Row],[Rate]]</f>
        <v>0</v>
      </c>
      <c r="K18" s="26">
        <v>45978</v>
      </c>
      <c r="L18" s="125">
        <v>28000</v>
      </c>
      <c r="M18" s="125">
        <v>0</v>
      </c>
    </row>
    <row r="19" spans="1:13" x14ac:dyDescent="0.25">
      <c r="A19" t="s">
        <v>135</v>
      </c>
      <c r="B19">
        <v>1</v>
      </c>
      <c r="C19">
        <v>25</v>
      </c>
      <c r="D19">
        <v>1450</v>
      </c>
      <c r="E19">
        <f>Table2325[[#This Row],[boxes]]*Table2325[[#This Row],[kgs]]*Table2325[[#This Row],[Rate]]</f>
        <v>36250</v>
      </c>
      <c r="K19" s="26">
        <v>45979</v>
      </c>
      <c r="L19" s="125">
        <v>110500</v>
      </c>
      <c r="M19" s="125">
        <v>0</v>
      </c>
    </row>
    <row r="20" spans="1:13" x14ac:dyDescent="0.25">
      <c r="A20" t="s">
        <v>162</v>
      </c>
      <c r="B20">
        <v>1</v>
      </c>
      <c r="C20">
        <v>25</v>
      </c>
      <c r="D20">
        <v>940</v>
      </c>
      <c r="E20">
        <f>Table2325[[#This Row],[boxes]]*Table2325[[#This Row],[kgs]]*Table2325[[#This Row],[Rate]]</f>
        <v>23500</v>
      </c>
      <c r="K20" s="4" t="s">
        <v>106</v>
      </c>
      <c r="L20" s="125"/>
      <c r="M20" s="125">
        <v>0</v>
      </c>
    </row>
    <row r="21" spans="1:13" x14ac:dyDescent="0.25">
      <c r="A21" t="s">
        <v>128</v>
      </c>
      <c r="D21">
        <v>1130</v>
      </c>
      <c r="E21">
        <f>Table2325[[#This Row],[boxes]]*Table2325[[#This Row],[kgs]]*Table2325[[#This Row],[Rate]]</f>
        <v>0</v>
      </c>
      <c r="K21" s="4" t="s">
        <v>28</v>
      </c>
      <c r="L21" s="125">
        <v>719250</v>
      </c>
      <c r="M21" s="125">
        <v>240125</v>
      </c>
    </row>
    <row r="22" spans="1:13" x14ac:dyDescent="0.25">
      <c r="A22" t="s">
        <v>149</v>
      </c>
      <c r="B22">
        <v>1</v>
      </c>
      <c r="C22">
        <v>12</v>
      </c>
      <c r="D22">
        <v>1300</v>
      </c>
      <c r="E22">
        <f>Table2325[[#This Row],[boxes]]*Table2325[[#This Row],[kgs]]*Table2325[[#This Row],[Rate]]</f>
        <v>15600</v>
      </c>
    </row>
    <row r="23" spans="1:13" x14ac:dyDescent="0.25">
      <c r="A23" t="s">
        <v>136</v>
      </c>
      <c r="B23">
        <v>1</v>
      </c>
      <c r="C23">
        <v>8</v>
      </c>
      <c r="D23">
        <v>1650</v>
      </c>
      <c r="E23">
        <f>Table2325[[#This Row],[boxes]]*Table2325[[#This Row],[kgs]]*Table2325[[#This Row],[Rate]]</f>
        <v>13200</v>
      </c>
    </row>
    <row r="24" spans="1:13" x14ac:dyDescent="0.25">
      <c r="A24" t="s">
        <v>132</v>
      </c>
      <c r="D24">
        <v>1340</v>
      </c>
      <c r="E24">
        <f>Table2325[[#This Row],[boxes]]*Table2325[[#This Row],[kgs]]*Table2325[[#This Row],[Rate]]</f>
        <v>0</v>
      </c>
    </row>
    <row r="25" spans="1:13" x14ac:dyDescent="0.25">
      <c r="A25" t="s">
        <v>135</v>
      </c>
      <c r="B25">
        <v>1</v>
      </c>
      <c r="C25">
        <v>12</v>
      </c>
      <c r="D25">
        <v>1450</v>
      </c>
      <c r="E25">
        <f>Table2325[[#This Row],[boxes]]*Table2325[[#This Row],[kgs]]*Table2325[[#This Row],[Rate]]</f>
        <v>17400</v>
      </c>
    </row>
    <row r="26" spans="1:13" x14ac:dyDescent="0.25">
      <c r="A26" t="s">
        <v>134</v>
      </c>
      <c r="B26">
        <v>1</v>
      </c>
      <c r="C26">
        <v>4</v>
      </c>
      <c r="D26">
        <v>1400</v>
      </c>
      <c r="E26">
        <f>Table2325[[#This Row],[boxes]]*Table2325[[#This Row],[kgs]]*Table2325[[#This Row],[Rate]]</f>
        <v>5600</v>
      </c>
    </row>
    <row r="27" spans="1:13" x14ac:dyDescent="0.25">
      <c r="A27" t="s">
        <v>163</v>
      </c>
      <c r="D27">
        <v>1000</v>
      </c>
      <c r="E27">
        <f>Table2325[[#This Row],[boxes]]*Table2325[[#This Row],[kgs]]*Table2325[[#This Row],[Rate]]</f>
        <v>0</v>
      </c>
    </row>
    <row r="28" spans="1:13" x14ac:dyDescent="0.25">
      <c r="A28" t="s">
        <v>133</v>
      </c>
      <c r="B28">
        <v>1</v>
      </c>
      <c r="C28">
        <v>12</v>
      </c>
      <c r="D28">
        <v>1650</v>
      </c>
      <c r="E28">
        <f>Table2325[[#This Row],[boxes]]*Table2325[[#This Row],[kgs]]*Table2325[[#This Row],[Rate]]</f>
        <v>19800</v>
      </c>
    </row>
    <row r="29" spans="1:13" x14ac:dyDescent="0.25">
      <c r="A29" t="s">
        <v>117</v>
      </c>
      <c r="D29">
        <v>1130</v>
      </c>
      <c r="E29">
        <f>Table2325[[#This Row],[boxes]]*Table2325[[#This Row],[kgs]]*Table2325[[#This Row],[Rate]]</f>
        <v>0</v>
      </c>
    </row>
    <row r="30" spans="1:13" x14ac:dyDescent="0.25">
      <c r="A30" t="s">
        <v>156</v>
      </c>
      <c r="B30">
        <v>1</v>
      </c>
      <c r="C30">
        <v>5</v>
      </c>
      <c r="D30">
        <v>3100</v>
      </c>
      <c r="E30">
        <f>Table2325[[#This Row],[boxes]]*Table2325[[#This Row],[kgs]]*Table2325[[#This Row],[Rate]]</f>
        <v>15500</v>
      </c>
    </row>
    <row r="31" spans="1:13" x14ac:dyDescent="0.25">
      <c r="A31" t="s">
        <v>129</v>
      </c>
      <c r="B31">
        <v>1</v>
      </c>
      <c r="C31">
        <v>8</v>
      </c>
      <c r="D31">
        <v>1140</v>
      </c>
      <c r="E31">
        <f>Table2325[[#This Row],[boxes]]*Table2325[[#This Row],[kgs]]*Table2325[[#This Row],[Rate]]</f>
        <v>9120</v>
      </c>
    </row>
    <row r="32" spans="1:13" x14ac:dyDescent="0.25">
      <c r="A32" t="s">
        <v>150</v>
      </c>
      <c r="B32">
        <v>1</v>
      </c>
      <c r="C32">
        <v>6</v>
      </c>
      <c r="D32">
        <v>1140</v>
      </c>
      <c r="E32">
        <f>Table2325[[#This Row],[boxes]]*Table2325[[#This Row],[kgs]]*Table2325[[#This Row],[Rate]]</f>
        <v>6840</v>
      </c>
      <c r="L32" t="s">
        <v>166</v>
      </c>
    </row>
    <row r="33" spans="1:16" x14ac:dyDescent="0.25">
      <c r="A33" t="s">
        <v>164</v>
      </c>
      <c r="D33">
        <v>1000</v>
      </c>
      <c r="E33">
        <f>Table2325[[#This Row],[boxes]]*Table2325[[#This Row],[kgs]]*Table2325[[#This Row],[Rate]]</f>
        <v>0</v>
      </c>
      <c r="L33" t="s">
        <v>57</v>
      </c>
      <c r="M33" t="s">
        <v>159</v>
      </c>
      <c r="N33" t="s">
        <v>160</v>
      </c>
      <c r="O33" t="s">
        <v>4</v>
      </c>
      <c r="P33" t="s">
        <v>161</v>
      </c>
    </row>
    <row r="34" spans="1:16" x14ac:dyDescent="0.25">
      <c r="A34" t="s">
        <v>165</v>
      </c>
      <c r="B34">
        <v>1</v>
      </c>
      <c r="C34">
        <v>10</v>
      </c>
      <c r="D34">
        <v>1600</v>
      </c>
      <c r="E34">
        <f>Table2325[[#This Row],[boxes]]*Table2325[[#This Row],[kgs]]*Table2325[[#This Row],[Rate]]</f>
        <v>16000</v>
      </c>
      <c r="L34" t="s">
        <v>134</v>
      </c>
      <c r="M34">
        <v>1</v>
      </c>
      <c r="N34">
        <v>25</v>
      </c>
      <c r="O34">
        <v>1400</v>
      </c>
      <c r="P34">
        <v>35000</v>
      </c>
    </row>
    <row r="35" spans="1:16" x14ac:dyDescent="0.25">
      <c r="A35" t="s">
        <v>117</v>
      </c>
      <c r="B35">
        <v>1</v>
      </c>
      <c r="C35">
        <v>3</v>
      </c>
      <c r="D35">
        <v>1120</v>
      </c>
      <c r="E35">
        <f>Table2325[[#This Row],[boxes]]*Table2325[[#This Row],[kgs]]*Table2325[[#This Row],[Rate]]</f>
        <v>3360</v>
      </c>
      <c r="L35" t="s">
        <v>132</v>
      </c>
      <c r="M35">
        <v>1</v>
      </c>
      <c r="N35">
        <v>25</v>
      </c>
      <c r="O35">
        <v>1340</v>
      </c>
      <c r="P35">
        <v>33500</v>
      </c>
    </row>
    <row r="36" spans="1:16" x14ac:dyDescent="0.25">
      <c r="A36" t="s">
        <v>264</v>
      </c>
      <c r="B36">
        <v>1</v>
      </c>
      <c r="C36">
        <v>4</v>
      </c>
      <c r="D36">
        <v>920</v>
      </c>
      <c r="E36">
        <f>Table2325[[#This Row],[boxes]]*Table2325[[#This Row],[kgs]]*Table2325[[#This Row],[Rate]]</f>
        <v>3680</v>
      </c>
      <c r="L36" t="s">
        <v>150</v>
      </c>
      <c r="M36">
        <v>2</v>
      </c>
      <c r="N36">
        <v>50</v>
      </c>
      <c r="O36">
        <v>1140</v>
      </c>
      <c r="P36">
        <v>57000</v>
      </c>
    </row>
    <row r="37" spans="1:16" x14ac:dyDescent="0.25">
      <c r="L37" t="s">
        <v>129</v>
      </c>
      <c r="M37">
        <v>1</v>
      </c>
      <c r="N37">
        <v>25</v>
      </c>
      <c r="O37">
        <v>1140</v>
      </c>
      <c r="P37">
        <v>28500</v>
      </c>
    </row>
    <row r="38" spans="1:16" x14ac:dyDescent="0.25">
      <c r="L38" t="s">
        <v>128</v>
      </c>
      <c r="M38">
        <v>2</v>
      </c>
      <c r="N38">
        <v>50</v>
      </c>
      <c r="O38">
        <v>1130</v>
      </c>
      <c r="P38">
        <v>56500</v>
      </c>
    </row>
    <row r="39" spans="1:16" x14ac:dyDescent="0.25">
      <c r="E39">
        <f>SUM(Table2325[total])</f>
        <v>280870</v>
      </c>
      <c r="L39" t="s">
        <v>149</v>
      </c>
      <c r="M39">
        <v>1</v>
      </c>
      <c r="N39">
        <v>25</v>
      </c>
      <c r="O39">
        <v>1300</v>
      </c>
      <c r="P39">
        <v>32500</v>
      </c>
    </row>
    <row r="40" spans="1:16" x14ac:dyDescent="0.25">
      <c r="L40" t="s">
        <v>135</v>
      </c>
      <c r="M40">
        <v>1</v>
      </c>
      <c r="N40">
        <v>25</v>
      </c>
      <c r="O40">
        <v>1450</v>
      </c>
      <c r="P40">
        <v>36250</v>
      </c>
    </row>
    <row r="41" spans="1:16" x14ac:dyDescent="0.25">
      <c r="L41" t="s">
        <v>162</v>
      </c>
      <c r="N41">
        <v>6</v>
      </c>
      <c r="O41">
        <v>940</v>
      </c>
      <c r="P41">
        <v>5640</v>
      </c>
    </row>
    <row r="42" spans="1:16" x14ac:dyDescent="0.25">
      <c r="L42" t="s">
        <v>128</v>
      </c>
      <c r="N42">
        <v>8</v>
      </c>
      <c r="O42">
        <v>1130</v>
      </c>
      <c r="P42">
        <v>9040</v>
      </c>
    </row>
    <row r="43" spans="1:16" x14ac:dyDescent="0.25">
      <c r="L43" t="s">
        <v>149</v>
      </c>
      <c r="N43">
        <v>10</v>
      </c>
      <c r="O43">
        <v>1300</v>
      </c>
      <c r="P43">
        <v>13000</v>
      </c>
    </row>
    <row r="44" spans="1:16" x14ac:dyDescent="0.25">
      <c r="L44" t="s">
        <v>136</v>
      </c>
      <c r="N44">
        <v>9</v>
      </c>
      <c r="O44">
        <v>1650</v>
      </c>
      <c r="P44">
        <v>14850</v>
      </c>
    </row>
    <row r="45" spans="1:16" x14ac:dyDescent="0.25">
      <c r="L45" t="s">
        <v>132</v>
      </c>
      <c r="N45">
        <v>5</v>
      </c>
      <c r="O45">
        <v>1340</v>
      </c>
      <c r="P45">
        <v>6700</v>
      </c>
    </row>
    <row r="46" spans="1:16" x14ac:dyDescent="0.25">
      <c r="L46" t="s">
        <v>135</v>
      </c>
      <c r="N46">
        <v>20</v>
      </c>
      <c r="O46">
        <v>1450</v>
      </c>
      <c r="P46">
        <v>29000</v>
      </c>
    </row>
    <row r="47" spans="1:16" x14ac:dyDescent="0.25">
      <c r="L47" t="s">
        <v>134</v>
      </c>
      <c r="N47">
        <v>8</v>
      </c>
      <c r="O47">
        <v>1400</v>
      </c>
      <c r="P47">
        <v>11200</v>
      </c>
    </row>
    <row r="48" spans="1:16" x14ac:dyDescent="0.25">
      <c r="L48" t="s">
        <v>163</v>
      </c>
      <c r="N48">
        <v>2</v>
      </c>
      <c r="O48">
        <v>1000</v>
      </c>
      <c r="P48">
        <v>2000</v>
      </c>
    </row>
    <row r="49" spans="12:16" x14ac:dyDescent="0.25">
      <c r="L49" t="s">
        <v>133</v>
      </c>
      <c r="N49">
        <v>20</v>
      </c>
      <c r="O49">
        <v>1650</v>
      </c>
      <c r="P49">
        <v>33000</v>
      </c>
    </row>
    <row r="50" spans="12:16" x14ac:dyDescent="0.25">
      <c r="L50" t="s">
        <v>117</v>
      </c>
      <c r="N50">
        <v>15</v>
      </c>
      <c r="O50">
        <v>1130</v>
      </c>
      <c r="P50">
        <v>16950</v>
      </c>
    </row>
    <row r="51" spans="12:16" x14ac:dyDescent="0.25">
      <c r="L51" t="s">
        <v>156</v>
      </c>
      <c r="N51">
        <v>25</v>
      </c>
      <c r="O51">
        <v>3100</v>
      </c>
      <c r="P51">
        <v>77500</v>
      </c>
    </row>
    <row r="52" spans="12:16" x14ac:dyDescent="0.25">
      <c r="L52" t="s">
        <v>129</v>
      </c>
      <c r="N52">
        <v>10</v>
      </c>
      <c r="O52">
        <v>1140</v>
      </c>
      <c r="P52">
        <v>11400</v>
      </c>
    </row>
    <row r="53" spans="12:16" x14ac:dyDescent="0.25">
      <c r="L53" t="s">
        <v>150</v>
      </c>
      <c r="N53">
        <v>5</v>
      </c>
      <c r="O53">
        <v>1140</v>
      </c>
      <c r="P53">
        <v>5700</v>
      </c>
    </row>
    <row r="54" spans="12:16" x14ac:dyDescent="0.25">
      <c r="L54" t="s">
        <v>164</v>
      </c>
      <c r="N54">
        <v>9</v>
      </c>
      <c r="O54">
        <v>1000</v>
      </c>
      <c r="P54">
        <v>9000</v>
      </c>
    </row>
    <row r="55" spans="12:16" x14ac:dyDescent="0.25">
      <c r="L55" t="s">
        <v>165</v>
      </c>
      <c r="N55">
        <v>10</v>
      </c>
      <c r="O55">
        <v>1000</v>
      </c>
      <c r="P55">
        <v>10000</v>
      </c>
    </row>
    <row r="56" spans="12:16" x14ac:dyDescent="0.25">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workbookViewId="0">
      <selection activeCell="J26" sqref="J26"/>
    </sheetView>
  </sheetViews>
  <sheetFormatPr defaultRowHeight="15" x14ac:dyDescent="0.25"/>
  <cols>
    <col min="1" max="1" width="13.85546875" customWidth="1"/>
    <col min="2" max="2" width="14.140625" customWidth="1"/>
    <col min="3" max="3" width="13" customWidth="1"/>
    <col min="4" max="4" width="10.7109375" bestFit="1" customWidth="1"/>
    <col min="7" max="8" width="12.28515625" bestFit="1" customWidth="1"/>
    <col min="9" max="9" width="11.28515625" bestFit="1" customWidth="1"/>
    <col min="10" max="10" width="14.140625" bestFit="1" customWidth="1"/>
    <col min="11" max="11" width="12.28515625" bestFit="1" customWidth="1"/>
    <col min="12" max="12" width="11.5703125" bestFit="1" customWidth="1"/>
    <col min="13" max="13" width="14.85546875" bestFit="1" customWidth="1"/>
  </cols>
  <sheetData>
    <row r="4" spans="1:13" x14ac:dyDescent="0.25">
      <c r="A4" s="2" t="s">
        <v>75</v>
      </c>
      <c r="B4" s="8" t="s">
        <v>2</v>
      </c>
      <c r="C4" s="2" t="s">
        <v>137</v>
      </c>
      <c r="D4" s="2" t="s">
        <v>124</v>
      </c>
      <c r="E4" s="8" t="s">
        <v>138</v>
      </c>
      <c r="F4" s="8" t="s">
        <v>125</v>
      </c>
      <c r="G4" s="8" t="s">
        <v>95</v>
      </c>
      <c r="H4" s="8" t="s">
        <v>18</v>
      </c>
      <c r="J4" s="3" t="s">
        <v>6</v>
      </c>
      <c r="K4" t="s">
        <v>130</v>
      </c>
      <c r="L4" t="s">
        <v>104</v>
      </c>
      <c r="M4" t="s">
        <v>131</v>
      </c>
    </row>
    <row r="5" spans="1:13" x14ac:dyDescent="0.25">
      <c r="A5" s="85">
        <v>45979</v>
      </c>
      <c r="B5" s="85" t="s">
        <v>120</v>
      </c>
      <c r="C5" s="82" t="s">
        <v>183</v>
      </c>
      <c r="D5" s="82"/>
      <c r="E5" s="82"/>
      <c r="F5" s="82">
        <f>Table2[[#This Row],[Quantity]]*200*Table2[[#This Row],[Boxes]]</f>
        <v>0</v>
      </c>
      <c r="G5" s="82">
        <f>SUMIFS(Table14[Debit], Table14[Date], Table2[[#This Row],[Date]], Table14[Party], Table2[[#This Row],[Party Name]],Table14[Description],Table2[[#This Row],[Item]])</f>
        <v>0</v>
      </c>
      <c r="H5" s="82">
        <v>0</v>
      </c>
      <c r="J5" s="4" t="s">
        <v>106</v>
      </c>
      <c r="K5" s="125">
        <v>0</v>
      </c>
      <c r="L5" s="125">
        <v>0</v>
      </c>
      <c r="M5" s="125">
        <v>0</v>
      </c>
    </row>
    <row r="6" spans="1:13" x14ac:dyDescent="0.25">
      <c r="A6" s="85">
        <v>45979</v>
      </c>
      <c r="B6" s="85" t="s">
        <v>119</v>
      </c>
      <c r="C6" s="82" t="s">
        <v>183</v>
      </c>
      <c r="D6" s="82"/>
      <c r="E6" s="82"/>
      <c r="F6" s="82">
        <f>Table2[[#This Row],[Quantity]]*200*Table2[[#This Row],[Boxes]]</f>
        <v>0</v>
      </c>
      <c r="G6" s="82">
        <f>SUMIFS(Table14[Debit], Table14[Date], Table2[[#This Row],[Date]], Table14[Party], Table2[[#This Row],[Party Name]],Table14[Description],Table2[[#This Row],[Item]])</f>
        <v>0</v>
      </c>
      <c r="H6" s="82">
        <v>-1000</v>
      </c>
      <c r="J6" s="4" t="s">
        <v>119</v>
      </c>
      <c r="K6" s="125">
        <v>224000</v>
      </c>
      <c r="L6" s="125">
        <v>220000</v>
      </c>
      <c r="M6" s="125">
        <v>-1000</v>
      </c>
    </row>
    <row r="7" spans="1:13" x14ac:dyDescent="0.25">
      <c r="A7" s="85">
        <v>45979</v>
      </c>
      <c r="B7" s="85" t="s">
        <v>168</v>
      </c>
      <c r="C7" s="82" t="s">
        <v>183</v>
      </c>
      <c r="F7">
        <v>0</v>
      </c>
      <c r="G7">
        <v>0</v>
      </c>
      <c r="H7" s="81">
        <v>0</v>
      </c>
      <c r="J7" s="4" t="s">
        <v>120</v>
      </c>
      <c r="K7" s="125">
        <v>61600</v>
      </c>
      <c r="L7" s="125">
        <v>61600</v>
      </c>
      <c r="M7" s="125">
        <v>353250</v>
      </c>
    </row>
    <row r="8" spans="1:13" x14ac:dyDescent="0.25">
      <c r="A8" s="1"/>
      <c r="F8">
        <f>SUBTOTAL(109,Table2[Price])</f>
        <v>0</v>
      </c>
      <c r="G8">
        <f>SUBTOTAL(109,Table2[Paid])</f>
        <v>0</v>
      </c>
      <c r="H8">
        <f>SUBTOTAL(109,Table2[Balance])</f>
        <v>-1000</v>
      </c>
      <c r="J8" s="4" t="s">
        <v>168</v>
      </c>
      <c r="K8" s="125">
        <v>120000</v>
      </c>
      <c r="L8" s="125">
        <v>0</v>
      </c>
      <c r="M8" s="125">
        <v>120000</v>
      </c>
    </row>
    <row r="9" spans="1:13" x14ac:dyDescent="0.25">
      <c r="J9" s="4" t="s">
        <v>28</v>
      </c>
      <c r="K9" s="125">
        <v>405600</v>
      </c>
      <c r="L9" s="125">
        <v>281600</v>
      </c>
      <c r="M9" s="125">
        <v>472250</v>
      </c>
    </row>
    <row r="24" spans="9:10" x14ac:dyDescent="0.25">
      <c r="I24" t="s">
        <v>57</v>
      </c>
      <c r="J24" t="s">
        <v>184</v>
      </c>
    </row>
    <row r="25" spans="9:10" x14ac:dyDescent="0.25">
      <c r="I25" t="s">
        <v>61</v>
      </c>
      <c r="J25">
        <f>7750*16</f>
        <v>124000</v>
      </c>
    </row>
    <row r="26" spans="9:10" x14ac:dyDescent="0.25">
      <c r="I26" t="s">
        <v>61</v>
      </c>
      <c r="J26">
        <f>353250</f>
        <v>353250</v>
      </c>
    </row>
    <row r="27" spans="9:10" x14ac:dyDescent="0.25">
      <c r="I27" t="s">
        <v>167</v>
      </c>
      <c r="J27">
        <f>13000*3</f>
        <v>39000</v>
      </c>
    </row>
    <row r="30" spans="9:10" x14ac:dyDescent="0.25">
      <c r="I30" t="s">
        <v>161</v>
      </c>
      <c r="J30">
        <f>SUM(J25:J27)</f>
        <v>516250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5" x14ac:dyDescent="0.25"/>
  <cols>
    <col min="3" max="3" width="12.28515625" customWidth="1"/>
    <col min="5" max="5" width="11.42578125" bestFit="1" customWidth="1"/>
  </cols>
  <sheetData>
    <row r="2" spans="2:5" x14ac:dyDescent="0.25">
      <c r="B2" t="s">
        <v>75</v>
      </c>
      <c r="C2" t="s">
        <v>139</v>
      </c>
      <c r="D2" t="s">
        <v>140</v>
      </c>
      <c r="E2" t="s">
        <v>5</v>
      </c>
    </row>
    <row r="3" spans="2:5" x14ac:dyDescent="0.25">
      <c r="B3" s="19" t="s">
        <v>185</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5"/>
  <cols>
    <col min="2" max="2" width="16.28515625" customWidth="1"/>
    <col min="3" max="3" width="12.5703125" customWidth="1"/>
    <col min="4" max="4" width="13.28515625" customWidth="1"/>
    <col min="5" max="5" width="15.5703125" customWidth="1"/>
  </cols>
  <sheetData>
    <row r="2" spans="2:5" x14ac:dyDescent="0.25">
      <c r="B2" t="s">
        <v>75</v>
      </c>
      <c r="C2" t="s">
        <v>45</v>
      </c>
      <c r="D2" t="s">
        <v>46</v>
      </c>
      <c r="E2" t="s">
        <v>66</v>
      </c>
    </row>
    <row r="3" spans="2:5" x14ac:dyDescent="0.25">
      <c r="B3" s="1"/>
      <c r="D3" s="11"/>
    </row>
    <row r="4" spans="2:5" x14ac:dyDescent="0.25">
      <c r="D4" s="11"/>
    </row>
    <row r="5" spans="2:5" x14ac:dyDescent="0.25">
      <c r="D5" s="11"/>
    </row>
    <row r="6" spans="2:5" x14ac:dyDescent="0.25">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3" zoomScale="118" workbookViewId="0">
      <selection activeCell="D41" sqref="D41"/>
    </sheetView>
  </sheetViews>
  <sheetFormatPr defaultRowHeight="15" x14ac:dyDescent="0.25"/>
  <cols>
    <col min="2" max="2" width="12.28515625" customWidth="1"/>
    <col min="3" max="3" width="11.28515625" customWidth="1"/>
    <col min="4" max="4" width="10.28515625" bestFit="1" customWidth="1"/>
    <col min="8" max="8" width="14" customWidth="1"/>
    <col min="9" max="9" width="10" customWidth="1"/>
    <col min="10" max="10" width="13.28515625" customWidth="1"/>
  </cols>
  <sheetData>
    <row r="2" spans="2:15" x14ac:dyDescent="0.25">
      <c r="B2" t="s">
        <v>75</v>
      </c>
      <c r="C2" t="s">
        <v>46</v>
      </c>
      <c r="D2" t="s">
        <v>66</v>
      </c>
      <c r="E2" t="s">
        <v>67</v>
      </c>
      <c r="H2" t="s">
        <v>75</v>
      </c>
      <c r="I2" t="s">
        <v>141</v>
      </c>
      <c r="J2" t="s">
        <v>142</v>
      </c>
    </row>
    <row r="3" spans="2:15" x14ac:dyDescent="0.25">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174</v>
      </c>
      <c r="N3" t="s">
        <v>175</v>
      </c>
    </row>
    <row r="4" spans="2:15" x14ac:dyDescent="0.25">
      <c r="B4" s="1">
        <v>45948</v>
      </c>
      <c r="C4" s="20">
        <f>SUMIFS(Table14[Debit], Table14[Date], Table11[[#This Row],[Date]], Table14[Party],"Salary", Table14[Description],Table11[[#This Row],[Column1]])</f>
        <v>0</v>
      </c>
      <c r="D4" t="s">
        <v>192</v>
      </c>
      <c r="H4" s="1">
        <v>45948</v>
      </c>
      <c r="I4">
        <f>SUMIFS(Table14[Debit], Table14[Date], Table16[[#This Row],[Date]], Table14[Party], "Advance Salary", Table14[Description], Table16[[#This Row],[Person]] )</f>
        <v>0</v>
      </c>
      <c r="J4" t="s">
        <v>170</v>
      </c>
      <c r="N4" t="s">
        <v>176</v>
      </c>
    </row>
    <row r="5" spans="2:15" x14ac:dyDescent="0.25">
      <c r="B5" s="1">
        <v>45950</v>
      </c>
      <c r="C5" s="20">
        <f>SUMIFS(Table14[Debit], Table14[Date], Table11[[#This Row],[Date]], Table14[Party],"Salary", Table14[Description],Table11[[#This Row],[Column1]])</f>
        <v>0</v>
      </c>
      <c r="D5" t="s">
        <v>243</v>
      </c>
      <c r="H5" s="1">
        <v>45949</v>
      </c>
      <c r="I5">
        <f>SUMIFS(Table14[Debit], Table14[Date], Table16[[#This Row],[Date]], Table14[Party], "Advance Salary", Table14[Description], Table16[[#This Row],[Person]] )</f>
        <v>0</v>
      </c>
      <c r="N5" t="s">
        <v>177</v>
      </c>
      <c r="O5" t="s">
        <v>178</v>
      </c>
    </row>
    <row r="6" spans="2:15" x14ac:dyDescent="0.25">
      <c r="B6" s="1">
        <v>45950</v>
      </c>
      <c r="C6" s="20">
        <f>SUMIFS(Table14[Debit], Table14[Date], Table11[[#This Row],[Date]], Table14[Party],"Salary", Table14[Description],Table11[[#This Row],[Column1]])</f>
        <v>0</v>
      </c>
      <c r="D6" t="s">
        <v>242</v>
      </c>
      <c r="H6" s="1">
        <v>45950</v>
      </c>
      <c r="I6">
        <f>SUMIFS(Table14[Debit], Table14[Date], Table16[[#This Row],[Date]], Table14[Party], "Advance Salary", Table14[Description], Table16[[#This Row],[Person]] )</f>
        <v>0</v>
      </c>
    </row>
    <row r="7" spans="2:15" x14ac:dyDescent="0.25">
      <c r="B7" s="1">
        <v>45951</v>
      </c>
      <c r="C7" s="20">
        <f>SUMIFS(Table14[Debit], Table14[Date], Table11[[#This Row],[Date]], Table14[Party],"Salary", Table14[Description],Table11[[#This Row],[Column1]])</f>
        <v>0</v>
      </c>
      <c r="D7" t="s">
        <v>205</v>
      </c>
      <c r="H7" s="1">
        <v>45951</v>
      </c>
      <c r="I7">
        <f>SUMIFS(Table14[Debit], Table14[Date], Table16[[#This Row],[Date]], Table14[Party], "Advance Salary", Table14[Description], Table16[[#This Row],[Person]] )</f>
        <v>0</v>
      </c>
    </row>
    <row r="8" spans="2:15" x14ac:dyDescent="0.25">
      <c r="B8" s="1">
        <v>45952</v>
      </c>
      <c r="C8" s="20">
        <f>SUMIFS(Table14[Debit], Table14[Date], Table11[[#This Row],[Date]], Table14[Party],"Salary", Table14[Description],Table11[[#This Row],[Column1]])</f>
        <v>0</v>
      </c>
      <c r="D8" t="s">
        <v>209</v>
      </c>
      <c r="H8" s="1">
        <v>45952</v>
      </c>
      <c r="I8">
        <f>SUMIFS(Table14[Debit], Table14[Date], Table16[[#This Row],[Date]], Table14[Party], "Advance Salary", Table14[Description], Table16[[#This Row],[Person]] )</f>
        <v>0</v>
      </c>
      <c r="J8" t="s">
        <v>208</v>
      </c>
    </row>
    <row r="9" spans="2:15" x14ac:dyDescent="0.25">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c r="J9" t="s">
        <v>211</v>
      </c>
    </row>
    <row r="10" spans="2:15" x14ac:dyDescent="0.25">
      <c r="B10" s="1">
        <v>45954</v>
      </c>
      <c r="C10" s="20">
        <f>SUMIFS(Table14[Debit], Table14[Date], Table11[[#This Row],[Date]], Table14[Party],"Salary", Table14[Description],Table11[[#This Row],[Column1]])</f>
        <v>0</v>
      </c>
      <c r="D10" t="s">
        <v>212</v>
      </c>
      <c r="E10" t="s">
        <v>230</v>
      </c>
      <c r="H10" s="1">
        <v>45954</v>
      </c>
      <c r="I10">
        <f>SUMIFS(Table14[Debit], Table14[Date], Table16[[#This Row],[Date]], Table14[Party], "Advance Salary", Table14[Description], Table16[[#This Row],[Person]] )</f>
        <v>0</v>
      </c>
    </row>
    <row r="11" spans="2:15" x14ac:dyDescent="0.25">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25">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25">
      <c r="B13" s="1">
        <v>45957</v>
      </c>
      <c r="C13" s="20">
        <f>SUMIFS(Table14[Debit], Table14[Date], Table11[[#This Row],[Date]], Table14[Party],"Salary", Table14[Description],Table11[[#This Row],[Column1]])</f>
        <v>0</v>
      </c>
      <c r="D13" t="s">
        <v>212</v>
      </c>
      <c r="E13" t="s">
        <v>230</v>
      </c>
      <c r="H13" s="1">
        <v>45957</v>
      </c>
      <c r="I13">
        <f>SUMIFS(Table14[Debit], Table14[Date], Table16[[#This Row],[Date]], Table14[Party], "Advance Salary", Table14[Description], Table16[[#This Row],[Person]] )</f>
        <v>0</v>
      </c>
    </row>
    <row r="14" spans="2:15" x14ac:dyDescent="0.25">
      <c r="B14" s="1">
        <v>45958</v>
      </c>
      <c r="C14" s="20">
        <f>SUMIFS(Table14[Debit], Table14[Date], Table11[[#This Row],[Date]], Table14[Party],"Salary", Table14[Description],Table11[[#This Row],[Column1]])</f>
        <v>0</v>
      </c>
      <c r="D14" t="s">
        <v>212</v>
      </c>
      <c r="E14" t="s">
        <v>230</v>
      </c>
      <c r="H14" s="1">
        <v>45958</v>
      </c>
      <c r="I14">
        <f>SUMIFS(Table14[Debit], Table14[Date], Table16[[#This Row],[Date]], Table14[Party], "Advance Salary", Table14[Description], Table16[[#This Row],[Person]] )</f>
        <v>0</v>
      </c>
      <c r="J14" t="s">
        <v>226</v>
      </c>
    </row>
    <row r="15" spans="2:15" x14ac:dyDescent="0.25">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0</v>
      </c>
      <c r="J15" t="s">
        <v>223</v>
      </c>
    </row>
    <row r="16" spans="2:15" x14ac:dyDescent="0.25">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25">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25">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c r="J18" t="s">
        <v>240</v>
      </c>
    </row>
    <row r="19" spans="2:10" x14ac:dyDescent="0.25">
      <c r="B19" s="1">
        <v>45963</v>
      </c>
      <c r="C19" s="20">
        <f>SUMIFS(Table14[Debit], Table14[Date], Table11[[#This Row],[Date]], Table14[Party],"Salary", Table14[Description],Table11[[#This Row],[Column1]])</f>
        <v>0</v>
      </c>
      <c r="D19" t="s">
        <v>231</v>
      </c>
      <c r="H19" s="1">
        <v>45963</v>
      </c>
      <c r="I19">
        <f>SUMIFS(Table14[Debit], Table14[Date], Table16[[#This Row],[Date]], Table14[Party], "Advance Salary", Table14[Description], Table16[[#This Row],[Person]] )</f>
        <v>0</v>
      </c>
    </row>
    <row r="20" spans="2:10" x14ac:dyDescent="0.25">
      <c r="B20" s="1">
        <v>45964</v>
      </c>
      <c r="C20" s="20">
        <f>SUMIFS(Table14[Debit], Table14[Date], Table11[[#This Row],[Date]], Table14[Party],"Salary", Table14[Description],Table11[[#This Row],[Column1]])</f>
        <v>0</v>
      </c>
      <c r="D20" t="s">
        <v>241</v>
      </c>
      <c r="H20" s="1">
        <v>45964</v>
      </c>
      <c r="I20">
        <f>SUMIFS(Table14[Debit], Table14[Date], Table16[[#This Row],[Date]], Table14[Party], "Advance Salary", Table14[Description], Table16[[#This Row],[Person]] )</f>
        <v>0</v>
      </c>
    </row>
    <row r="21" spans="2:10" x14ac:dyDescent="0.25">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0</v>
      </c>
      <c r="J21" t="s">
        <v>238</v>
      </c>
    </row>
    <row r="22" spans="2:10" x14ac:dyDescent="0.25">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c r="J22" t="s">
        <v>239</v>
      </c>
    </row>
    <row r="23" spans="2:10" x14ac:dyDescent="0.25">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c r="J23" t="s">
        <v>211</v>
      </c>
    </row>
    <row r="24" spans="2:10" x14ac:dyDescent="0.25">
      <c r="B24" s="1">
        <v>45968</v>
      </c>
      <c r="C24" s="20">
        <f>SUMIFS(Table14[Debit], Table14[Date], Table11[[#This Row],[Date]], Table14[Party],"Salary", Table14[Description],Table11[[#This Row],[Column1]])</f>
        <v>0</v>
      </c>
      <c r="D24" t="s">
        <v>190</v>
      </c>
      <c r="H24" s="1">
        <v>45968</v>
      </c>
      <c r="I24">
        <f>SUMIFS(Table14[Debit], Table14[Date], Table16[[#This Row],[Date]], Table14[Party], "Advance Salary", Table14[Description], Table16[[#This Row],[Person]] )</f>
        <v>0</v>
      </c>
      <c r="J24" t="s">
        <v>238</v>
      </c>
    </row>
    <row r="25" spans="2:10" x14ac:dyDescent="0.25">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0</v>
      </c>
      <c r="J25" t="s">
        <v>237</v>
      </c>
    </row>
    <row r="26" spans="2:10" x14ac:dyDescent="0.25">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0</v>
      </c>
      <c r="J26" t="s">
        <v>239</v>
      </c>
    </row>
    <row r="27" spans="2:10" x14ac:dyDescent="0.25">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c r="J27" t="s">
        <v>211</v>
      </c>
    </row>
    <row r="28" spans="2:10" x14ac:dyDescent="0.25">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0</v>
      </c>
      <c r="J28" t="s">
        <v>233</v>
      </c>
    </row>
    <row r="29" spans="2:10" x14ac:dyDescent="0.25">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0</v>
      </c>
      <c r="J29" t="s">
        <v>244</v>
      </c>
    </row>
    <row r="30" spans="2:10" x14ac:dyDescent="0.25">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0</v>
      </c>
      <c r="J30" t="s">
        <v>245</v>
      </c>
    </row>
    <row r="31" spans="2:10" x14ac:dyDescent="0.25">
      <c r="B31" s="1">
        <v>45975</v>
      </c>
      <c r="C31" s="20">
        <f>SUMIFS(Table14[Debit], Table14[Date], Table11[[#This Row],[Date]], Table14[Party],"Salary", Table14[Description],Table11[[#This Row],[Column1]])</f>
        <v>0</v>
      </c>
      <c r="D31" t="s">
        <v>251</v>
      </c>
      <c r="H31" s="1">
        <v>45971</v>
      </c>
      <c r="I31">
        <f>SUMIFS(Table14[Debit], Table14[Date], Table16[[#This Row],[Date]], Table14[Party], "Advance Salary", Table14[Description], Table16[[#This Row],[Person]] )</f>
        <v>0</v>
      </c>
      <c r="J31" t="s">
        <v>208</v>
      </c>
    </row>
    <row r="32" spans="2:10" x14ac:dyDescent="0.25">
      <c r="B32" s="1">
        <v>45975</v>
      </c>
      <c r="C32" s="20">
        <f>SUMIFS(Table14[Debit], Table14[Date], Table11[[#This Row],[Date]], Table14[Party],"Salary", Table14[Description],Table11[[#This Row],[Column1]])</f>
        <v>0</v>
      </c>
      <c r="D32" t="s">
        <v>252</v>
      </c>
      <c r="H32" s="1">
        <v>45974</v>
      </c>
      <c r="I32">
        <f>SUMIFS(Table14[Debit], Table14[Date], Table16[[#This Row],[Date]], Table14[Party], "Advance Salary", Table14[Description], Table16[[#This Row],[Person]] )</f>
        <v>0</v>
      </c>
      <c r="J32" t="s">
        <v>245</v>
      </c>
    </row>
    <row r="33" spans="2:9" x14ac:dyDescent="0.25">
      <c r="B33" s="1">
        <v>45976</v>
      </c>
      <c r="C33" s="20">
        <f>SUMIFS(Table14[Debit], Table14[Date], Table11[[#This Row],[Date]], Table14[Party],"Salary", Table14[Description],Table11[[#This Row],[Column1]])</f>
        <v>0</v>
      </c>
      <c r="D33" t="s">
        <v>254</v>
      </c>
      <c r="H33" s="1">
        <v>45977</v>
      </c>
      <c r="I33">
        <f>SUMIFS(Table14[Debit], Table14[Date], Table16[[#This Row],[Date]], Table14[Party], "Advance Salary", Table14[Description], Table16[[#This Row],[Person]] )</f>
        <v>0</v>
      </c>
    </row>
    <row r="34" spans="2:9" x14ac:dyDescent="0.25">
      <c r="B34" s="1">
        <v>45976</v>
      </c>
      <c r="C34" s="20">
        <f>SUMIFS(Table14[Debit], Table14[Date], Table11[[#This Row],[Date]], Table14[Party],"Salary", Table14[Description],Table11[[#This Row],[Column1]])</f>
        <v>0</v>
      </c>
      <c r="D34" t="s">
        <v>212</v>
      </c>
      <c r="H34" s="1">
        <v>45978</v>
      </c>
      <c r="I34">
        <f>SUMIFS(Table14[Debit], Table14[Date], Table16[[#This Row],[Date]], Table14[Party], "Advance Salary", Table14[Description], Table16[[#This Row],[Person]] )</f>
        <v>0</v>
      </c>
    </row>
    <row r="35" spans="2:9" x14ac:dyDescent="0.25">
      <c r="B35" s="1">
        <v>45976</v>
      </c>
      <c r="C35" s="20">
        <f>SUMIFS(Table14[Debit], Table14[Date], Table11[[#This Row],[Date]], Table14[Party],"Salary", Table14[Description],Table11[[#This Row],[Column1]])</f>
        <v>0</v>
      </c>
      <c r="D35" t="s">
        <v>253</v>
      </c>
      <c r="H35" s="1">
        <v>45979</v>
      </c>
      <c r="I35">
        <f>SUMIFS(Table14[Debit], Table14[Date], Table16[[#This Row],[Date]], Table14[Party], "Advance Salary", Table14[Description], Table16[[#This Row],[Person]] )</f>
        <v>0</v>
      </c>
    </row>
    <row r="36" spans="2:9" x14ac:dyDescent="0.25">
      <c r="B36" s="1">
        <v>45979</v>
      </c>
      <c r="C36" s="20">
        <f>SUMIFS(Table14[Debit], Table14[Date], Table11[[#This Row],[Date]], Table14[Party],"Salary", Table14[Description],Table11[[#This Row],[Column1]])</f>
        <v>0</v>
      </c>
      <c r="D36" t="s">
        <v>229</v>
      </c>
      <c r="H36" s="1"/>
      <c r="I36">
        <f>SUBTOTAL(109,Table16[Advance])</f>
        <v>0</v>
      </c>
    </row>
    <row r="37" spans="2:9" x14ac:dyDescent="0.25">
      <c r="B37" s="1">
        <v>45978</v>
      </c>
      <c r="C37" s="20">
        <f>SUMIFS(Table14[Debit], Table14[Date], Table11[[#This Row],[Date]], Table14[Party],"Salary", Table14[Description],Table11[[#This Row],[Column1]])</f>
        <v>0</v>
      </c>
      <c r="D37" t="s">
        <v>238</v>
      </c>
    </row>
    <row r="38" spans="2:9" x14ac:dyDescent="0.25">
      <c r="B38" s="1">
        <v>45978</v>
      </c>
      <c r="C38" s="20">
        <f>SUMIFS(Table14[Debit], Table14[Date], Table11[[#This Row],[Date]], Table14[Party],"Salary", Table14[Description],Table11[[#This Row],[Column1]])</f>
        <v>0</v>
      </c>
      <c r="D38" t="s">
        <v>256</v>
      </c>
    </row>
    <row r="39" spans="2:9" x14ac:dyDescent="0.25">
      <c r="B39" s="1">
        <v>45978</v>
      </c>
      <c r="C39" s="20">
        <f>SUMIFS(Table14[Debit], Table14[Date], Table11[[#This Row],[Date]], Table14[Party],"Salary", Table14[Description],Table11[[#This Row],[Column1]])</f>
        <v>0</v>
      </c>
      <c r="D39" t="s">
        <v>257</v>
      </c>
    </row>
    <row r="40" spans="2:9" x14ac:dyDescent="0.25">
      <c r="B40" s="1">
        <v>45978</v>
      </c>
      <c r="C40" s="20">
        <f>SUMIFS(Table14[Debit], Table14[Date], Table11[[#This Row],[Date]], Table14[Party],"Salary", Table14[Description],Table11[[#This Row],[Column1]])</f>
        <v>0</v>
      </c>
      <c r="D40" t="s">
        <v>255</v>
      </c>
    </row>
    <row r="41" spans="2:9" x14ac:dyDescent="0.25">
      <c r="B41" s="1">
        <v>45978</v>
      </c>
      <c r="C41" s="20">
        <f>SUMIFS(Table14[Debit], Table14[Date], Table11[[#This Row],[Date]], Table14[Party],"Salary", Table14[Description],Table11[[#This Row],[Column1]])</f>
        <v>0</v>
      </c>
    </row>
    <row r="42" spans="2:9" x14ac:dyDescent="0.25">
      <c r="B42" s="1">
        <v>45978</v>
      </c>
      <c r="C42" s="20">
        <f>SUMIFS(Table14[Debit], Table14[Date], Table11[[#This Row],[Date]], Table14[Party],"Salary", Table14[Description],Table11[[#This Row],[Column1]])</f>
        <v>0</v>
      </c>
    </row>
    <row r="43" spans="2:9" x14ac:dyDescent="0.25">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5" x14ac:dyDescent="0.25"/>
  <cols>
    <col min="1" max="1" width="21.140625" bestFit="1" customWidth="1"/>
    <col min="2" max="2" width="19.140625" bestFit="1" customWidth="1"/>
    <col min="3" max="3" width="18.28515625" bestFit="1" customWidth="1"/>
    <col min="4" max="4" width="17.140625" bestFit="1" customWidth="1"/>
    <col min="5" max="5" width="16.28515625" customWidth="1"/>
    <col min="6" max="6" width="17" customWidth="1"/>
    <col min="7" max="7" width="12.28515625" customWidth="1"/>
    <col min="8" max="8" width="15.28515625" customWidth="1"/>
    <col min="9" max="9" width="13.7109375" customWidth="1"/>
    <col min="10" max="10" width="15.28515625" customWidth="1"/>
    <col min="11" max="11" width="13.5703125" bestFit="1" customWidth="1"/>
  </cols>
  <sheetData>
    <row r="1" spans="1:12" x14ac:dyDescent="0.25">
      <c r="A1" s="44" t="s">
        <v>2</v>
      </c>
      <c r="B1" s="14" t="s">
        <v>88</v>
      </c>
      <c r="C1" s="14"/>
    </row>
    <row r="2" spans="1:12" x14ac:dyDescent="0.25">
      <c r="A2" s="31" t="s">
        <v>28</v>
      </c>
      <c r="B2" s="33">
        <f>SUM(B4:INDEX(B:B, MATCH(1E+100, B:B)-1))</f>
        <v>47228</v>
      </c>
      <c r="C2" s="32">
        <f>GETPIVOTDATA("Sum of Tiyaar/gaz",$A$3)</f>
        <v>50637</v>
      </c>
      <c r="D2" s="31">
        <f>((B2*48)+((C2/1.0936)*10))/C2</f>
        <v>53.912640133680092</v>
      </c>
      <c r="J2">
        <v>48</v>
      </c>
    </row>
    <row r="3" spans="1:12" x14ac:dyDescent="0.25">
      <c r="A3" s="34" t="s">
        <v>143</v>
      </c>
      <c r="B3" s="35" t="s">
        <v>144</v>
      </c>
      <c r="C3" s="36" t="s">
        <v>89</v>
      </c>
      <c r="D3" s="32" t="s">
        <v>145</v>
      </c>
      <c r="E3" s="11" t="s">
        <v>146</v>
      </c>
      <c r="F3" s="11" t="str">
        <f t="shared" ref="F3:F38" si="0">C3</f>
        <v>Sum of Tiyaar/gaz</v>
      </c>
      <c r="G3" s="77" t="s">
        <v>82</v>
      </c>
      <c r="H3" s="11" t="s">
        <v>147</v>
      </c>
      <c r="I3" s="29" t="s">
        <v>148</v>
      </c>
    </row>
    <row r="4" spans="1:12" x14ac:dyDescent="0.25">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25">
      <c r="A5" s="16">
        <v>1879</v>
      </c>
      <c r="B5" s="14">
        <v>15061</v>
      </c>
      <c r="C5" s="14">
        <v>16220</v>
      </c>
      <c r="D5" s="28">
        <f t="shared" ref="D5:D38" si="1">I5</f>
        <v>53.714271488323057</v>
      </c>
      <c r="E5" s="11">
        <f t="shared" ref="E5:E38" si="2">B5 * 1.0936</f>
        <v>16470.709599999998</v>
      </c>
      <c r="F5" s="11">
        <f t="shared" si="0"/>
        <v>16220</v>
      </c>
      <c r="G5" s="78">
        <f>100- (F5/E5 *100)</f>
        <v>1.5221542124693741</v>
      </c>
      <c r="H5" s="28">
        <f t="shared" ref="H5:H38" si="3">F5/1.0936</f>
        <v>14831.748354059986</v>
      </c>
      <c r="I5" s="28">
        <f>((B5*48)+(H5*10))/C5</f>
        <v>53.714271488323057</v>
      </c>
      <c r="J5" s="28"/>
      <c r="K5" s="28"/>
      <c r="L5" s="28"/>
    </row>
    <row r="6" spans="1:12" x14ac:dyDescent="0.25">
      <c r="A6" s="16">
        <v>1867</v>
      </c>
      <c r="B6" s="14">
        <v>15147</v>
      </c>
      <c r="C6" s="14">
        <v>16288</v>
      </c>
      <c r="D6" s="28">
        <f t="shared" si="1"/>
        <v>53.781635750348883</v>
      </c>
      <c r="E6" s="11">
        <f t="shared" si="2"/>
        <v>16564.759199999997</v>
      </c>
      <c r="F6" s="11">
        <f t="shared" si="0"/>
        <v>16288</v>
      </c>
      <c r="G6" s="78">
        <f t="shared" ref="G6:G18" si="4">100- (F6/E6 *100)</f>
        <v>1.6707710426602347</v>
      </c>
      <c r="H6" s="28">
        <f t="shared" si="3"/>
        <v>14893.928310168252</v>
      </c>
      <c r="I6" s="28">
        <f>((B6*48)+(H6*10))/C6</f>
        <v>53.781635750348883</v>
      </c>
      <c r="J6" s="28"/>
      <c r="K6" s="28"/>
      <c r="L6" s="28"/>
    </row>
    <row r="7" spans="1:12" x14ac:dyDescent="0.25">
      <c r="A7" s="16" t="s">
        <v>259</v>
      </c>
      <c r="B7" s="14">
        <v>17020</v>
      </c>
      <c r="C7" s="14">
        <v>18129</v>
      </c>
      <c r="D7" s="28">
        <f t="shared" si="1"/>
        <v>54.20782127016804</v>
      </c>
      <c r="E7" s="11">
        <f t="shared" si="2"/>
        <v>18613.072</v>
      </c>
      <c r="F7" s="11">
        <f t="shared" si="0"/>
        <v>18129</v>
      </c>
      <c r="G7" s="78">
        <f t="shared" si="4"/>
        <v>2.6007098667001287</v>
      </c>
      <c r="H7" s="28">
        <f t="shared" si="3"/>
        <v>16577.359180687639</v>
      </c>
      <c r="I7" s="28">
        <f>((B7*48)+(H7*10))/C7</f>
        <v>54.20782127016804</v>
      </c>
      <c r="J7" s="28"/>
      <c r="K7" s="28"/>
      <c r="L7" s="28"/>
    </row>
    <row r="8" spans="1:12" x14ac:dyDescent="0.25">
      <c r="A8" s="16" t="s">
        <v>28</v>
      </c>
      <c r="B8" s="30">
        <v>17020</v>
      </c>
      <c r="C8" s="30">
        <v>50637</v>
      </c>
      <c r="D8" s="28">
        <f t="shared" si="1"/>
        <v>25.277768399572619</v>
      </c>
      <c r="E8" s="11">
        <f t="shared" si="2"/>
        <v>18613.072</v>
      </c>
      <c r="F8" s="11">
        <f t="shared" si="0"/>
        <v>50637</v>
      </c>
      <c r="G8" s="78">
        <f t="shared" si="4"/>
        <v>-172.05073939433532</v>
      </c>
      <c r="H8" s="28">
        <f t="shared" si="3"/>
        <v>46303.035844915881</v>
      </c>
      <c r="I8" s="28">
        <f t="shared" ref="I8:I38" si="5">((B8*48)+(H8*10))/C8</f>
        <v>25.277768399572619</v>
      </c>
      <c r="J8" s="28"/>
      <c r="K8" s="28"/>
      <c r="L8" s="28"/>
    </row>
    <row r="9" spans="1:12" x14ac:dyDescent="0.25">
      <c r="D9" s="28" t="e">
        <f t="shared" si="1"/>
        <v>#DIV/0!</v>
      </c>
      <c r="E9" s="11">
        <f t="shared" si="2"/>
        <v>0</v>
      </c>
      <c r="F9" s="11">
        <f t="shared" si="0"/>
        <v>0</v>
      </c>
      <c r="G9" s="78" t="e">
        <f t="shared" si="4"/>
        <v>#DIV/0!</v>
      </c>
      <c r="H9" s="28">
        <f t="shared" si="3"/>
        <v>0</v>
      </c>
      <c r="I9" s="28" t="e">
        <f t="shared" si="5"/>
        <v>#DIV/0!</v>
      </c>
      <c r="J9" s="28"/>
      <c r="K9" s="28"/>
      <c r="L9" s="28"/>
    </row>
    <row r="10" spans="1:12" x14ac:dyDescent="0.25">
      <c r="D10" s="28" t="e">
        <f t="shared" si="1"/>
        <v>#DIV/0!</v>
      </c>
      <c r="E10" s="11">
        <f t="shared" si="2"/>
        <v>0</v>
      </c>
      <c r="F10" s="11">
        <f t="shared" si="0"/>
        <v>0</v>
      </c>
      <c r="G10" s="78" t="e">
        <f t="shared" si="4"/>
        <v>#DIV/0!</v>
      </c>
      <c r="H10" s="28">
        <f t="shared" si="3"/>
        <v>0</v>
      </c>
      <c r="I10" s="28" t="e">
        <f t="shared" si="5"/>
        <v>#DIV/0!</v>
      </c>
      <c r="J10" s="28"/>
      <c r="K10" s="28"/>
      <c r="L10" s="28"/>
    </row>
    <row r="11" spans="1:12" x14ac:dyDescent="0.25">
      <c r="D11" s="28"/>
      <c r="E11" s="11">
        <f t="shared" si="2"/>
        <v>0</v>
      </c>
      <c r="F11" s="11">
        <f t="shared" si="0"/>
        <v>0</v>
      </c>
      <c r="G11" s="78" t="e">
        <f t="shared" si="4"/>
        <v>#DIV/0!</v>
      </c>
      <c r="H11" s="28">
        <f t="shared" si="3"/>
        <v>0</v>
      </c>
      <c r="I11" s="28" t="e">
        <f t="shared" si="5"/>
        <v>#DIV/0!</v>
      </c>
      <c r="J11" s="28"/>
      <c r="K11" s="28"/>
      <c r="L11" s="28"/>
    </row>
    <row r="12" spans="1:12" x14ac:dyDescent="0.25">
      <c r="D12" s="28" t="e">
        <f t="shared" si="1"/>
        <v>#DIV/0!</v>
      </c>
      <c r="E12" s="11">
        <f t="shared" si="2"/>
        <v>0</v>
      </c>
      <c r="F12" s="11">
        <f t="shared" si="0"/>
        <v>0</v>
      </c>
      <c r="G12" s="78" t="e">
        <f t="shared" si="4"/>
        <v>#DIV/0!</v>
      </c>
      <c r="H12" s="28">
        <f t="shared" si="3"/>
        <v>0</v>
      </c>
      <c r="I12" s="28" t="e">
        <f t="shared" si="5"/>
        <v>#DIV/0!</v>
      </c>
    </row>
    <row r="13" spans="1:12" x14ac:dyDescent="0.25">
      <c r="D13" s="28" t="e">
        <f t="shared" si="1"/>
        <v>#DIV/0!</v>
      </c>
      <c r="E13" s="11">
        <f t="shared" si="2"/>
        <v>0</v>
      </c>
      <c r="F13" s="11">
        <f t="shared" si="0"/>
        <v>0</v>
      </c>
      <c r="G13" s="78" t="e">
        <f t="shared" si="4"/>
        <v>#DIV/0!</v>
      </c>
      <c r="H13" s="28">
        <f t="shared" si="3"/>
        <v>0</v>
      </c>
      <c r="I13" s="28" t="e">
        <f t="shared" si="5"/>
        <v>#DIV/0!</v>
      </c>
    </row>
    <row r="14" spans="1:12" x14ac:dyDescent="0.25">
      <c r="D14" s="28" t="e">
        <f t="shared" si="1"/>
        <v>#DIV/0!</v>
      </c>
      <c r="E14" s="11">
        <f t="shared" si="2"/>
        <v>0</v>
      </c>
      <c r="F14" s="11">
        <f t="shared" si="0"/>
        <v>0</v>
      </c>
      <c r="G14" s="78" t="e">
        <f t="shared" si="4"/>
        <v>#DIV/0!</v>
      </c>
      <c r="H14" s="28">
        <f t="shared" si="3"/>
        <v>0</v>
      </c>
      <c r="I14" s="28" t="e">
        <f t="shared" si="5"/>
        <v>#DIV/0!</v>
      </c>
    </row>
    <row r="15" spans="1:12" x14ac:dyDescent="0.25">
      <c r="D15" s="28" t="e">
        <f t="shared" si="1"/>
        <v>#DIV/0!</v>
      </c>
      <c r="E15" s="11">
        <f>B15 * 1.0936</f>
        <v>0</v>
      </c>
      <c r="F15" s="11">
        <f t="shared" si="0"/>
        <v>0</v>
      </c>
      <c r="G15" s="78" t="e">
        <f t="shared" si="4"/>
        <v>#DIV/0!</v>
      </c>
      <c r="H15" s="28">
        <f t="shared" si="3"/>
        <v>0</v>
      </c>
      <c r="I15" s="28" t="e">
        <f>((B15*48)+(H15*10))/C15</f>
        <v>#DIV/0!</v>
      </c>
    </row>
    <row r="16" spans="1:12" x14ac:dyDescent="0.25">
      <c r="D16" s="28" t="e">
        <f t="shared" si="1"/>
        <v>#DIV/0!</v>
      </c>
      <c r="E16" s="11">
        <f t="shared" si="2"/>
        <v>0</v>
      </c>
      <c r="F16" s="11">
        <f t="shared" si="0"/>
        <v>0</v>
      </c>
      <c r="G16" s="78" t="e">
        <f t="shared" si="4"/>
        <v>#DIV/0!</v>
      </c>
      <c r="H16" s="28">
        <f t="shared" si="3"/>
        <v>0</v>
      </c>
      <c r="I16" s="28" t="e">
        <f>((B16*48)+(H16*10))/C16</f>
        <v>#DIV/0!</v>
      </c>
    </row>
    <row r="17" spans="4:9" x14ac:dyDescent="0.25">
      <c r="D17" s="28" t="e">
        <f t="shared" si="1"/>
        <v>#DIV/0!</v>
      </c>
      <c r="E17" s="11">
        <f t="shared" si="2"/>
        <v>0</v>
      </c>
      <c r="F17" s="11">
        <f t="shared" si="0"/>
        <v>0</v>
      </c>
      <c r="G17" s="78" t="e">
        <f t="shared" si="4"/>
        <v>#DIV/0!</v>
      </c>
      <c r="H17" s="28">
        <f t="shared" si="3"/>
        <v>0</v>
      </c>
      <c r="I17" s="28" t="e">
        <f>((B17*48)+(H17*10))/C17</f>
        <v>#DIV/0!</v>
      </c>
    </row>
    <row r="18" spans="4:9" x14ac:dyDescent="0.25">
      <c r="D18" s="28" t="e">
        <f t="shared" si="1"/>
        <v>#DIV/0!</v>
      </c>
      <c r="E18" s="11">
        <f t="shared" si="2"/>
        <v>0</v>
      </c>
      <c r="F18" s="11">
        <f t="shared" si="0"/>
        <v>0</v>
      </c>
      <c r="G18" s="78" t="e">
        <f t="shared" si="4"/>
        <v>#DIV/0!</v>
      </c>
      <c r="H18" s="28">
        <f t="shared" si="3"/>
        <v>0</v>
      </c>
      <c r="I18" s="28" t="e">
        <f>((B18*48)+(H18*10))/C18</f>
        <v>#DIV/0!</v>
      </c>
    </row>
    <row r="19" spans="4:9" x14ac:dyDescent="0.25">
      <c r="D19" s="28" t="e">
        <f t="shared" si="1"/>
        <v>#DIV/0!</v>
      </c>
      <c r="E19" s="11">
        <f t="shared" si="2"/>
        <v>0</v>
      </c>
      <c r="F19" s="11">
        <f t="shared" si="0"/>
        <v>0</v>
      </c>
      <c r="G19" s="78" t="e">
        <f t="shared" ref="G19:G38" si="6">100- (F19/E19 *100)</f>
        <v>#DIV/0!</v>
      </c>
      <c r="H19" s="28">
        <f t="shared" si="3"/>
        <v>0</v>
      </c>
      <c r="I19" s="28" t="e">
        <f t="shared" si="5"/>
        <v>#DIV/0!</v>
      </c>
    </row>
    <row r="20" spans="4:9" x14ac:dyDescent="0.25">
      <c r="D20" s="28" t="e">
        <f t="shared" si="1"/>
        <v>#DIV/0!</v>
      </c>
      <c r="E20" s="11">
        <f>B20 * 1.0936</f>
        <v>0</v>
      </c>
      <c r="F20" s="11">
        <f t="shared" si="0"/>
        <v>0</v>
      </c>
      <c r="G20" s="78" t="e">
        <f t="shared" si="6"/>
        <v>#DIV/0!</v>
      </c>
      <c r="H20" s="28">
        <f t="shared" si="3"/>
        <v>0</v>
      </c>
      <c r="I20" s="28" t="e">
        <f t="shared" si="5"/>
        <v>#DIV/0!</v>
      </c>
    </row>
    <row r="21" spans="4:9" x14ac:dyDescent="0.25">
      <c r="D21" s="28" t="e">
        <f t="shared" si="1"/>
        <v>#DIV/0!</v>
      </c>
      <c r="E21" s="11">
        <f t="shared" si="2"/>
        <v>0</v>
      </c>
      <c r="F21" s="11">
        <f t="shared" si="0"/>
        <v>0</v>
      </c>
      <c r="G21" s="78" t="e">
        <f t="shared" si="6"/>
        <v>#DIV/0!</v>
      </c>
      <c r="H21" s="28">
        <f t="shared" si="3"/>
        <v>0</v>
      </c>
      <c r="I21" s="28" t="e">
        <f t="shared" si="5"/>
        <v>#DIV/0!</v>
      </c>
    </row>
    <row r="22" spans="4:9" x14ac:dyDescent="0.25">
      <c r="D22" s="28" t="e">
        <f t="shared" si="1"/>
        <v>#DIV/0!</v>
      </c>
      <c r="E22" s="11">
        <f t="shared" si="2"/>
        <v>0</v>
      </c>
      <c r="F22" s="11">
        <f t="shared" si="0"/>
        <v>0</v>
      </c>
      <c r="G22" s="78" t="e">
        <f t="shared" si="6"/>
        <v>#DIV/0!</v>
      </c>
      <c r="H22" s="28">
        <f t="shared" si="3"/>
        <v>0</v>
      </c>
      <c r="I22" s="28" t="e">
        <f t="shared" si="5"/>
        <v>#DIV/0!</v>
      </c>
    </row>
    <row r="23" spans="4:9" x14ac:dyDescent="0.25">
      <c r="D23" s="28" t="e">
        <f t="shared" si="1"/>
        <v>#DIV/0!</v>
      </c>
      <c r="E23" s="11">
        <f t="shared" si="2"/>
        <v>0</v>
      </c>
      <c r="F23" s="11">
        <f t="shared" si="0"/>
        <v>0</v>
      </c>
      <c r="G23" s="78" t="e">
        <f t="shared" si="6"/>
        <v>#DIV/0!</v>
      </c>
      <c r="H23" s="28">
        <f t="shared" si="3"/>
        <v>0</v>
      </c>
      <c r="I23" s="28" t="e">
        <f t="shared" si="5"/>
        <v>#DIV/0!</v>
      </c>
    </row>
    <row r="24" spans="4:9" x14ac:dyDescent="0.25">
      <c r="D24" s="28" t="e">
        <f t="shared" si="1"/>
        <v>#DIV/0!</v>
      </c>
      <c r="E24" s="11">
        <f t="shared" si="2"/>
        <v>0</v>
      </c>
      <c r="F24" s="11">
        <f t="shared" si="0"/>
        <v>0</v>
      </c>
      <c r="G24" s="78" t="e">
        <f t="shared" si="6"/>
        <v>#DIV/0!</v>
      </c>
      <c r="H24" s="28">
        <f t="shared" si="3"/>
        <v>0</v>
      </c>
      <c r="I24" s="28" t="e">
        <f t="shared" si="5"/>
        <v>#DIV/0!</v>
      </c>
    </row>
    <row r="25" spans="4:9" x14ac:dyDescent="0.25">
      <c r="D25" s="28" t="e">
        <f t="shared" si="1"/>
        <v>#DIV/0!</v>
      </c>
      <c r="E25" s="11">
        <f t="shared" si="2"/>
        <v>0</v>
      </c>
      <c r="F25" s="11">
        <f t="shared" si="0"/>
        <v>0</v>
      </c>
      <c r="G25" s="78" t="e">
        <f t="shared" si="6"/>
        <v>#DIV/0!</v>
      </c>
      <c r="H25" s="28">
        <f t="shared" si="3"/>
        <v>0</v>
      </c>
      <c r="I25" s="28" t="e">
        <f t="shared" si="5"/>
        <v>#DIV/0!</v>
      </c>
    </row>
    <row r="26" spans="4:9" x14ac:dyDescent="0.25">
      <c r="D26" s="28" t="e">
        <f t="shared" si="1"/>
        <v>#DIV/0!</v>
      </c>
      <c r="E26" s="11">
        <f t="shared" si="2"/>
        <v>0</v>
      </c>
      <c r="F26" s="11">
        <f t="shared" si="0"/>
        <v>0</v>
      </c>
      <c r="G26" s="78" t="e">
        <f t="shared" si="6"/>
        <v>#DIV/0!</v>
      </c>
      <c r="H26" s="28">
        <f t="shared" si="3"/>
        <v>0</v>
      </c>
      <c r="I26" s="28" t="e">
        <f t="shared" si="5"/>
        <v>#DIV/0!</v>
      </c>
    </row>
    <row r="27" spans="4:9" x14ac:dyDescent="0.25">
      <c r="D27" s="28" t="e">
        <f t="shared" si="1"/>
        <v>#DIV/0!</v>
      </c>
      <c r="E27" s="11">
        <f t="shared" si="2"/>
        <v>0</v>
      </c>
      <c r="F27" s="11">
        <f t="shared" si="0"/>
        <v>0</v>
      </c>
      <c r="G27" s="78" t="e">
        <f t="shared" si="6"/>
        <v>#DIV/0!</v>
      </c>
      <c r="H27" s="28">
        <f t="shared" si="3"/>
        <v>0</v>
      </c>
      <c r="I27" s="28" t="e">
        <f t="shared" si="5"/>
        <v>#DIV/0!</v>
      </c>
    </row>
    <row r="28" spans="4:9" x14ac:dyDescent="0.25">
      <c r="D28" s="28" t="e">
        <f t="shared" si="1"/>
        <v>#DIV/0!</v>
      </c>
      <c r="E28" s="11">
        <f t="shared" si="2"/>
        <v>0</v>
      </c>
      <c r="F28" s="11">
        <f t="shared" si="0"/>
        <v>0</v>
      </c>
      <c r="G28" s="78" t="e">
        <f t="shared" si="6"/>
        <v>#DIV/0!</v>
      </c>
      <c r="H28" s="28">
        <f t="shared" si="3"/>
        <v>0</v>
      </c>
      <c r="I28" s="28" t="e">
        <f t="shared" si="5"/>
        <v>#DIV/0!</v>
      </c>
    </row>
    <row r="29" spans="4:9" x14ac:dyDescent="0.25">
      <c r="D29" s="28" t="e">
        <f t="shared" si="1"/>
        <v>#DIV/0!</v>
      </c>
      <c r="E29" s="11">
        <f t="shared" si="2"/>
        <v>0</v>
      </c>
      <c r="F29" s="11">
        <f t="shared" si="0"/>
        <v>0</v>
      </c>
      <c r="G29" s="78" t="e">
        <f t="shared" si="6"/>
        <v>#DIV/0!</v>
      </c>
      <c r="H29" s="28">
        <f t="shared" si="3"/>
        <v>0</v>
      </c>
      <c r="I29" s="28" t="e">
        <f t="shared" si="5"/>
        <v>#DIV/0!</v>
      </c>
    </row>
    <row r="30" spans="4:9" x14ac:dyDescent="0.25">
      <c r="D30" s="28" t="e">
        <f t="shared" si="1"/>
        <v>#DIV/0!</v>
      </c>
      <c r="E30" s="11">
        <f t="shared" si="2"/>
        <v>0</v>
      </c>
      <c r="F30" s="11">
        <f t="shared" si="0"/>
        <v>0</v>
      </c>
      <c r="G30" s="78" t="e">
        <f t="shared" si="6"/>
        <v>#DIV/0!</v>
      </c>
      <c r="H30" s="28">
        <f t="shared" si="3"/>
        <v>0</v>
      </c>
      <c r="I30" s="28" t="e">
        <f t="shared" si="5"/>
        <v>#DIV/0!</v>
      </c>
    </row>
    <row r="31" spans="4:9" x14ac:dyDescent="0.25">
      <c r="D31" s="28" t="e">
        <f t="shared" si="1"/>
        <v>#DIV/0!</v>
      </c>
      <c r="E31" s="11">
        <f t="shared" si="2"/>
        <v>0</v>
      </c>
      <c r="F31" s="11">
        <f t="shared" si="0"/>
        <v>0</v>
      </c>
      <c r="G31" s="78" t="e">
        <f t="shared" si="6"/>
        <v>#DIV/0!</v>
      </c>
      <c r="H31" s="28">
        <f t="shared" si="3"/>
        <v>0</v>
      </c>
      <c r="I31" s="28" t="e">
        <f t="shared" si="5"/>
        <v>#DIV/0!</v>
      </c>
    </row>
    <row r="32" spans="4:9" x14ac:dyDescent="0.25">
      <c r="D32" s="28" t="e">
        <f t="shared" si="1"/>
        <v>#DIV/0!</v>
      </c>
      <c r="E32" s="11">
        <f t="shared" si="2"/>
        <v>0</v>
      </c>
      <c r="F32" s="11">
        <f t="shared" si="0"/>
        <v>0</v>
      </c>
      <c r="G32" s="78" t="e">
        <f t="shared" si="6"/>
        <v>#DIV/0!</v>
      </c>
      <c r="H32" s="28">
        <f t="shared" si="3"/>
        <v>0</v>
      </c>
      <c r="I32" s="28" t="e">
        <f t="shared" si="5"/>
        <v>#DIV/0!</v>
      </c>
    </row>
    <row r="33" spans="4:9" x14ac:dyDescent="0.25">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25">
      <c r="D34" s="28" t="e">
        <f t="shared" si="7"/>
        <v>#DIV/0!</v>
      </c>
      <c r="E34" s="11">
        <f t="shared" si="8"/>
        <v>0</v>
      </c>
      <c r="F34" s="11">
        <f t="shared" si="9"/>
        <v>0</v>
      </c>
      <c r="G34" s="78" t="e">
        <f t="shared" si="10"/>
        <v>#DIV/0!</v>
      </c>
      <c r="H34" s="28">
        <f t="shared" si="11"/>
        <v>0</v>
      </c>
      <c r="I34" s="28" t="e">
        <f t="shared" si="12"/>
        <v>#DIV/0!</v>
      </c>
    </row>
    <row r="35" spans="4:9" x14ac:dyDescent="0.25">
      <c r="D35" s="28" t="e">
        <f t="shared" si="7"/>
        <v>#DIV/0!</v>
      </c>
      <c r="E35" s="11">
        <f t="shared" si="8"/>
        <v>0</v>
      </c>
      <c r="F35" s="11">
        <f t="shared" si="9"/>
        <v>0</v>
      </c>
      <c r="G35" s="78" t="e">
        <f t="shared" si="10"/>
        <v>#DIV/0!</v>
      </c>
      <c r="H35" s="28">
        <f t="shared" si="11"/>
        <v>0</v>
      </c>
      <c r="I35" s="28" t="e">
        <f t="shared" si="12"/>
        <v>#DIV/0!</v>
      </c>
    </row>
    <row r="36" spans="4:9" x14ac:dyDescent="0.25">
      <c r="D36" s="28" t="e">
        <f t="shared" si="7"/>
        <v>#DIV/0!</v>
      </c>
      <c r="E36" s="11">
        <f t="shared" si="8"/>
        <v>0</v>
      </c>
      <c r="F36" s="11">
        <f t="shared" si="9"/>
        <v>0</v>
      </c>
      <c r="G36" s="78" t="e">
        <f t="shared" si="10"/>
        <v>#DIV/0!</v>
      </c>
      <c r="H36" s="28">
        <f t="shared" si="11"/>
        <v>0</v>
      </c>
      <c r="I36" s="28" t="e">
        <f t="shared" si="12"/>
        <v>#DIV/0!</v>
      </c>
    </row>
    <row r="37" spans="4:9" x14ac:dyDescent="0.25">
      <c r="D37" s="28" t="e">
        <f t="shared" si="7"/>
        <v>#DIV/0!</v>
      </c>
      <c r="E37" s="11">
        <f t="shared" si="8"/>
        <v>0</v>
      </c>
      <c r="F37" s="11">
        <f t="shared" si="9"/>
        <v>0</v>
      </c>
      <c r="G37" s="78" t="e">
        <f t="shared" si="10"/>
        <v>#DIV/0!</v>
      </c>
      <c r="H37" s="28">
        <f t="shared" si="11"/>
        <v>0</v>
      </c>
      <c r="I37" s="28" t="e">
        <f t="shared" si="12"/>
        <v>#DIV/0!</v>
      </c>
    </row>
    <row r="38" spans="4:9" x14ac:dyDescent="0.25">
      <c r="D38" s="28" t="e">
        <f t="shared" si="1"/>
        <v>#DIV/0!</v>
      </c>
      <c r="E38" s="11">
        <f t="shared" si="2"/>
        <v>0</v>
      </c>
      <c r="F38" s="11">
        <f t="shared" si="0"/>
        <v>0</v>
      </c>
      <c r="G38" s="78" t="e">
        <f t="shared" si="6"/>
        <v>#DIV/0!</v>
      </c>
      <c r="H38" s="28">
        <f t="shared" si="3"/>
        <v>0</v>
      </c>
      <c r="I38" s="28" t="e">
        <f t="shared" si="5"/>
        <v>#DIV/0!</v>
      </c>
    </row>
    <row r="39" spans="4:9" x14ac:dyDescent="0.25">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25">
      <c r="D40" s="28" t="e">
        <f t="shared" si="13"/>
        <v>#DIV/0!</v>
      </c>
      <c r="E40" s="11">
        <f t="shared" si="14"/>
        <v>0</v>
      </c>
      <c r="F40" s="11">
        <f t="shared" si="15"/>
        <v>0</v>
      </c>
      <c r="G40" s="78" t="e">
        <f t="shared" si="16"/>
        <v>#DIV/0!</v>
      </c>
      <c r="H40" s="28">
        <f t="shared" si="17"/>
        <v>0</v>
      </c>
      <c r="I40" s="28" t="e">
        <f t="shared" si="18"/>
        <v>#DIV/0!</v>
      </c>
    </row>
    <row r="41" spans="4:9" x14ac:dyDescent="0.25">
      <c r="D41" s="28" t="e">
        <f t="shared" si="13"/>
        <v>#DIV/0!</v>
      </c>
      <c r="E41" s="11">
        <f t="shared" si="14"/>
        <v>0</v>
      </c>
      <c r="F41" s="11">
        <f t="shared" si="15"/>
        <v>0</v>
      </c>
      <c r="G41" s="78" t="e">
        <f t="shared" si="16"/>
        <v>#DIV/0!</v>
      </c>
      <c r="H41" s="28">
        <f t="shared" si="17"/>
        <v>0</v>
      </c>
      <c r="I41" s="28" t="e">
        <f t="shared" si="18"/>
        <v>#DIV/0!</v>
      </c>
    </row>
    <row r="42" spans="4:9" x14ac:dyDescent="0.25">
      <c r="D42" s="28" t="e">
        <f t="shared" si="13"/>
        <v>#DIV/0!</v>
      </c>
      <c r="E42" s="11">
        <f t="shared" si="14"/>
        <v>0</v>
      </c>
      <c r="F42" s="11">
        <f t="shared" si="15"/>
        <v>0</v>
      </c>
      <c r="G42" s="78" t="e">
        <f t="shared" si="16"/>
        <v>#DIV/0!</v>
      </c>
      <c r="H42" s="28">
        <f t="shared" si="17"/>
        <v>0</v>
      </c>
      <c r="I42" s="28" t="e">
        <f t="shared" si="18"/>
        <v>#DIV/0!</v>
      </c>
    </row>
    <row r="43" spans="4:9" x14ac:dyDescent="0.25">
      <c r="D43" s="28" t="e">
        <f t="shared" si="13"/>
        <v>#DIV/0!</v>
      </c>
      <c r="E43" s="11">
        <f t="shared" si="14"/>
        <v>0</v>
      </c>
      <c r="F43" s="11">
        <f t="shared" si="15"/>
        <v>0</v>
      </c>
      <c r="G43" s="78" t="e">
        <f t="shared" si="16"/>
        <v>#DIV/0!</v>
      </c>
      <c r="H43" s="28">
        <f t="shared" si="17"/>
        <v>0</v>
      </c>
      <c r="I43" s="28" t="e">
        <f t="shared" si="18"/>
        <v>#DIV/0!</v>
      </c>
    </row>
    <row r="44" spans="4:9" x14ac:dyDescent="0.25">
      <c r="D44" s="28" t="e">
        <f t="shared" si="13"/>
        <v>#DIV/0!</v>
      </c>
      <c r="E44" s="11">
        <f t="shared" si="14"/>
        <v>0</v>
      </c>
      <c r="F44" s="11">
        <f t="shared" si="15"/>
        <v>0</v>
      </c>
      <c r="G44" s="78" t="e">
        <f t="shared" si="16"/>
        <v>#DIV/0!</v>
      </c>
      <c r="H44" s="28">
        <f t="shared" si="17"/>
        <v>0</v>
      </c>
      <c r="I44" s="28" t="e">
        <f t="shared" si="18"/>
        <v>#DIV/0!</v>
      </c>
    </row>
    <row r="45" spans="4:9" x14ac:dyDescent="0.25">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25">
      <c r="D46" s="28" t="e">
        <f t="shared" si="19"/>
        <v>#DIV/0!</v>
      </c>
      <c r="E46" s="11">
        <f t="shared" si="20"/>
        <v>0</v>
      </c>
      <c r="F46" s="11">
        <f t="shared" si="21"/>
        <v>0</v>
      </c>
      <c r="G46" s="78" t="e">
        <f t="shared" si="22"/>
        <v>#DIV/0!</v>
      </c>
      <c r="H46" s="28">
        <f t="shared" si="23"/>
        <v>0</v>
      </c>
      <c r="I46" s="28" t="e">
        <f t="shared" si="24"/>
        <v>#DIV/0!</v>
      </c>
    </row>
    <row r="47" spans="4:9" x14ac:dyDescent="0.25">
      <c r="D47" s="28" t="e">
        <f t="shared" si="19"/>
        <v>#DIV/0!</v>
      </c>
      <c r="E47" s="11">
        <f t="shared" si="20"/>
        <v>0</v>
      </c>
      <c r="F47" s="11">
        <f t="shared" si="21"/>
        <v>0</v>
      </c>
      <c r="G47" s="78" t="e">
        <f t="shared" si="22"/>
        <v>#DIV/0!</v>
      </c>
      <c r="H47" s="28">
        <f t="shared" si="23"/>
        <v>0</v>
      </c>
      <c r="I47" s="28" t="e">
        <f t="shared" si="24"/>
        <v>#DIV/0!</v>
      </c>
    </row>
    <row r="48" spans="4:9" x14ac:dyDescent="0.25">
      <c r="D48" s="28" t="e">
        <f t="shared" si="19"/>
        <v>#DIV/0!</v>
      </c>
      <c r="E48" s="11">
        <f t="shared" si="20"/>
        <v>0</v>
      </c>
      <c r="F48" s="11">
        <f t="shared" si="21"/>
        <v>0</v>
      </c>
      <c r="G48" s="78" t="e">
        <f t="shared" si="22"/>
        <v>#DIV/0!</v>
      </c>
      <c r="H48" s="28">
        <f t="shared" si="23"/>
        <v>0</v>
      </c>
      <c r="I48" s="28" t="e">
        <f t="shared" si="24"/>
        <v>#DIV/0!</v>
      </c>
    </row>
    <row r="49" spans="4:9" x14ac:dyDescent="0.25">
      <c r="D49" s="28" t="e">
        <f t="shared" si="19"/>
        <v>#DIV/0!</v>
      </c>
      <c r="E49" s="11">
        <f t="shared" si="20"/>
        <v>0</v>
      </c>
      <c r="F49" s="11">
        <f t="shared" si="21"/>
        <v>0</v>
      </c>
      <c r="G49" s="78" t="e">
        <f t="shared" si="22"/>
        <v>#DIV/0!</v>
      </c>
      <c r="H49" s="28">
        <f t="shared" si="23"/>
        <v>0</v>
      </c>
      <c r="I49" s="28" t="e">
        <f t="shared" si="24"/>
        <v>#DIV/0!</v>
      </c>
    </row>
    <row r="50" spans="4:9" x14ac:dyDescent="0.25">
      <c r="D50" s="28" t="e">
        <f t="shared" si="19"/>
        <v>#DIV/0!</v>
      </c>
      <c r="E50" s="11">
        <f t="shared" si="20"/>
        <v>0</v>
      </c>
      <c r="F50" s="11">
        <f t="shared" si="21"/>
        <v>0</v>
      </c>
      <c r="G50" s="78" t="e">
        <f t="shared" si="22"/>
        <v>#DIV/0!</v>
      </c>
      <c r="H50" s="28">
        <f t="shared" si="23"/>
        <v>0</v>
      </c>
      <c r="I50" s="28" t="e">
        <f t="shared" si="24"/>
        <v>#DIV/0!</v>
      </c>
    </row>
    <row r="51" spans="4:9" x14ac:dyDescent="0.25">
      <c r="D51" s="28" t="e">
        <f t="shared" si="19"/>
        <v>#DIV/0!</v>
      </c>
      <c r="E51" s="11">
        <f t="shared" si="20"/>
        <v>0</v>
      </c>
      <c r="F51" s="11">
        <f t="shared" si="21"/>
        <v>0</v>
      </c>
      <c r="G51" s="78" t="e">
        <f t="shared" si="22"/>
        <v>#DIV/0!</v>
      </c>
      <c r="H51" s="28">
        <f t="shared" si="23"/>
        <v>0</v>
      </c>
      <c r="I51" s="28" t="e">
        <f t="shared" si="24"/>
        <v>#DIV/0!</v>
      </c>
    </row>
    <row r="52" spans="4:9" x14ac:dyDescent="0.25">
      <c r="D52" s="28" t="e">
        <f t="shared" si="19"/>
        <v>#DIV/0!</v>
      </c>
      <c r="E52" s="11">
        <f t="shared" si="20"/>
        <v>0</v>
      </c>
      <c r="F52" s="11">
        <f t="shared" si="21"/>
        <v>0</v>
      </c>
      <c r="G52" s="78" t="e">
        <f t="shared" si="22"/>
        <v>#DIV/0!</v>
      </c>
      <c r="H52" s="28">
        <f t="shared" si="23"/>
        <v>0</v>
      </c>
      <c r="I52" s="28" t="e">
        <f t="shared" si="24"/>
        <v>#DIV/0!</v>
      </c>
    </row>
    <row r="53" spans="4:9" x14ac:dyDescent="0.25">
      <c r="D53" s="28" t="e">
        <f t="shared" si="19"/>
        <v>#DIV/0!</v>
      </c>
      <c r="E53" s="11">
        <f t="shared" si="20"/>
        <v>0</v>
      </c>
      <c r="F53" s="11">
        <f t="shared" si="21"/>
        <v>0</v>
      </c>
      <c r="G53" s="78" t="e">
        <f t="shared" si="22"/>
        <v>#DIV/0!</v>
      </c>
      <c r="H53" s="28">
        <f t="shared" si="23"/>
        <v>0</v>
      </c>
      <c r="I53" s="28" t="e">
        <f t="shared" si="24"/>
        <v>#DIV/0!</v>
      </c>
    </row>
    <row r="54" spans="4:9" x14ac:dyDescent="0.25">
      <c r="D54" s="28" t="e">
        <f t="shared" si="19"/>
        <v>#DIV/0!</v>
      </c>
      <c r="E54" s="11">
        <f t="shared" si="20"/>
        <v>0</v>
      </c>
      <c r="F54" s="11">
        <f t="shared" si="21"/>
        <v>0</v>
      </c>
      <c r="G54" s="78" t="e">
        <f t="shared" si="22"/>
        <v>#DIV/0!</v>
      </c>
      <c r="H54" s="28">
        <f t="shared" si="23"/>
        <v>0</v>
      </c>
      <c r="I54" s="28" t="e">
        <f t="shared" si="24"/>
        <v>#DIV/0!</v>
      </c>
    </row>
    <row r="55" spans="4:9" x14ac:dyDescent="0.25">
      <c r="D55" s="28" t="e">
        <f t="shared" si="19"/>
        <v>#DIV/0!</v>
      </c>
      <c r="E55" s="11">
        <f t="shared" si="20"/>
        <v>0</v>
      </c>
      <c r="F55" s="11">
        <f t="shared" si="21"/>
        <v>0</v>
      </c>
      <c r="G55" s="78" t="e">
        <f t="shared" si="22"/>
        <v>#DIV/0!</v>
      </c>
      <c r="H55" s="28">
        <f t="shared" si="23"/>
        <v>0</v>
      </c>
      <c r="I55" s="28" t="e">
        <f t="shared" si="24"/>
        <v>#DIV/0!</v>
      </c>
    </row>
    <row r="56" spans="4:9" x14ac:dyDescent="0.25">
      <c r="D56" s="28" t="e">
        <f t="shared" si="19"/>
        <v>#DIV/0!</v>
      </c>
      <c r="E56" s="11">
        <f t="shared" si="20"/>
        <v>0</v>
      </c>
      <c r="F56" s="11">
        <f t="shared" si="21"/>
        <v>0</v>
      </c>
      <c r="G56" s="78" t="e">
        <f t="shared" si="22"/>
        <v>#DIV/0!</v>
      </c>
      <c r="H56" s="28">
        <f t="shared" si="23"/>
        <v>0</v>
      </c>
      <c r="I56" s="28" t="e">
        <f t="shared" si="24"/>
        <v>#DIV/0!</v>
      </c>
    </row>
    <row r="57" spans="4:9" x14ac:dyDescent="0.25">
      <c r="D57" s="28" t="e">
        <f t="shared" si="19"/>
        <v>#DIV/0!</v>
      </c>
      <c r="E57" s="11">
        <f t="shared" si="20"/>
        <v>0</v>
      </c>
      <c r="F57" s="11">
        <f t="shared" si="21"/>
        <v>0</v>
      </c>
      <c r="G57" s="78" t="e">
        <f t="shared" si="22"/>
        <v>#DIV/0!</v>
      </c>
      <c r="H57" s="28">
        <f t="shared" si="23"/>
        <v>0</v>
      </c>
      <c r="I57" s="28" t="e">
        <f t="shared" si="24"/>
        <v>#DIV/0!</v>
      </c>
    </row>
    <row r="58" spans="4:9" x14ac:dyDescent="0.25">
      <c r="D58" s="28" t="e">
        <f t="shared" si="19"/>
        <v>#DIV/0!</v>
      </c>
      <c r="E58" s="11">
        <f t="shared" si="20"/>
        <v>0</v>
      </c>
      <c r="F58" s="11">
        <f t="shared" si="21"/>
        <v>0</v>
      </c>
      <c r="G58" s="78" t="e">
        <f t="shared" si="22"/>
        <v>#DIV/0!</v>
      </c>
      <c r="H58" s="28">
        <f t="shared" si="23"/>
        <v>0</v>
      </c>
      <c r="I58" s="28" t="e">
        <f t="shared" si="24"/>
        <v>#DIV/0!</v>
      </c>
    </row>
    <row r="59" spans="4:9" x14ac:dyDescent="0.25">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25">
      <c r="D60" s="28" t="e">
        <f t="shared" si="25"/>
        <v>#DIV/0!</v>
      </c>
      <c r="E60" s="11">
        <f t="shared" si="26"/>
        <v>0</v>
      </c>
      <c r="F60" s="11">
        <f t="shared" si="27"/>
        <v>0</v>
      </c>
      <c r="G60" s="78" t="e">
        <f t="shared" si="28"/>
        <v>#DIV/0!</v>
      </c>
      <c r="H60" s="28">
        <f t="shared" si="29"/>
        <v>0</v>
      </c>
      <c r="I60" s="28" t="e">
        <f t="shared" si="30"/>
        <v>#DIV/0!</v>
      </c>
    </row>
    <row r="61" spans="4:9" x14ac:dyDescent="0.25">
      <c r="D61" s="28" t="e">
        <f t="shared" si="25"/>
        <v>#DIV/0!</v>
      </c>
      <c r="E61" s="11">
        <f t="shared" si="26"/>
        <v>0</v>
      </c>
      <c r="F61" s="11">
        <f t="shared" si="27"/>
        <v>0</v>
      </c>
      <c r="G61" s="78" t="e">
        <f t="shared" si="28"/>
        <v>#DIV/0!</v>
      </c>
      <c r="H61" s="28">
        <f t="shared" si="29"/>
        <v>0</v>
      </c>
      <c r="I61" s="28" t="e">
        <f t="shared" si="30"/>
        <v>#DIV/0!</v>
      </c>
    </row>
    <row r="62" spans="4:9" x14ac:dyDescent="0.25">
      <c r="D62" s="28" t="e">
        <f t="shared" si="25"/>
        <v>#DIV/0!</v>
      </c>
      <c r="E62" s="11">
        <f t="shared" si="26"/>
        <v>0</v>
      </c>
      <c r="F62" s="11">
        <f t="shared" si="27"/>
        <v>0</v>
      </c>
      <c r="G62" s="78" t="e">
        <f t="shared" si="28"/>
        <v>#DIV/0!</v>
      </c>
      <c r="H62" s="28">
        <f t="shared" si="29"/>
        <v>0</v>
      </c>
      <c r="I62" s="28" t="e">
        <f t="shared" si="30"/>
        <v>#DIV/0!</v>
      </c>
    </row>
    <row r="63" spans="4:9" x14ac:dyDescent="0.25">
      <c r="D63" s="28" t="e">
        <f t="shared" si="25"/>
        <v>#DIV/0!</v>
      </c>
      <c r="E63" s="11">
        <f t="shared" si="26"/>
        <v>0</v>
      </c>
      <c r="F63" s="11">
        <f t="shared" si="27"/>
        <v>0</v>
      </c>
      <c r="G63" s="78" t="e">
        <f t="shared" si="28"/>
        <v>#DIV/0!</v>
      </c>
      <c r="H63" s="28">
        <f t="shared" si="29"/>
        <v>0</v>
      </c>
      <c r="I63" s="28" t="e">
        <f t="shared" si="30"/>
        <v>#DIV/0!</v>
      </c>
    </row>
    <row r="64" spans="4:9" x14ac:dyDescent="0.25">
      <c r="D64" s="28" t="e">
        <f t="shared" si="25"/>
        <v>#DIV/0!</v>
      </c>
      <c r="E64" s="11">
        <f t="shared" si="26"/>
        <v>0</v>
      </c>
      <c r="F64" s="11">
        <f t="shared" si="27"/>
        <v>0</v>
      </c>
      <c r="G64" s="78" t="e">
        <f t="shared" si="28"/>
        <v>#DIV/0!</v>
      </c>
      <c r="H64" s="28">
        <f t="shared" si="29"/>
        <v>0</v>
      </c>
      <c r="I64" s="28" t="e">
        <f t="shared" si="30"/>
        <v>#DIV/0!</v>
      </c>
    </row>
    <row r="65" spans="4:9" x14ac:dyDescent="0.25">
      <c r="D65" s="28" t="e">
        <f t="shared" si="25"/>
        <v>#DIV/0!</v>
      </c>
      <c r="E65" s="11">
        <f t="shared" si="26"/>
        <v>0</v>
      </c>
      <c r="F65" s="11">
        <f t="shared" si="27"/>
        <v>0</v>
      </c>
      <c r="G65" s="78" t="e">
        <f t="shared" si="28"/>
        <v>#DIV/0!</v>
      </c>
      <c r="H65" s="28">
        <f t="shared" si="29"/>
        <v>0</v>
      </c>
      <c r="I65" s="28" t="e">
        <f t="shared" si="30"/>
        <v>#DIV/0!</v>
      </c>
    </row>
    <row r="66" spans="4:9" x14ac:dyDescent="0.25">
      <c r="D66" s="28" t="e">
        <f t="shared" si="25"/>
        <v>#DIV/0!</v>
      </c>
      <c r="E66" s="11">
        <f t="shared" si="26"/>
        <v>0</v>
      </c>
      <c r="F66" s="11">
        <f t="shared" si="27"/>
        <v>0</v>
      </c>
      <c r="G66" s="78" t="e">
        <f t="shared" si="28"/>
        <v>#DIV/0!</v>
      </c>
      <c r="H66" s="28">
        <f t="shared" si="29"/>
        <v>0</v>
      </c>
      <c r="I66" s="28" t="e">
        <f t="shared" si="30"/>
        <v>#DIV/0!</v>
      </c>
    </row>
    <row r="67" spans="4:9" x14ac:dyDescent="0.25">
      <c r="D67" s="28" t="e">
        <f t="shared" si="25"/>
        <v>#DIV/0!</v>
      </c>
      <c r="E67" s="11">
        <f t="shared" si="26"/>
        <v>0</v>
      </c>
      <c r="F67" s="11">
        <f t="shared" si="27"/>
        <v>0</v>
      </c>
      <c r="G67" s="78" t="e">
        <f t="shared" si="28"/>
        <v>#DIV/0!</v>
      </c>
      <c r="H67" s="28">
        <f t="shared" si="29"/>
        <v>0</v>
      </c>
      <c r="I67" s="28" t="e">
        <f t="shared" si="30"/>
        <v>#DIV/0!</v>
      </c>
    </row>
    <row r="68" spans="4:9" x14ac:dyDescent="0.25">
      <c r="D68" s="28" t="e">
        <f t="shared" si="25"/>
        <v>#DIV/0!</v>
      </c>
      <c r="E68" s="11">
        <f t="shared" si="26"/>
        <v>0</v>
      </c>
      <c r="F68" s="11">
        <f t="shared" si="27"/>
        <v>0</v>
      </c>
      <c r="G68" s="78" t="e">
        <f t="shared" si="28"/>
        <v>#DIV/0!</v>
      </c>
      <c r="H68" s="28">
        <f t="shared" si="29"/>
        <v>0</v>
      </c>
      <c r="I68" s="28" t="e">
        <f t="shared" si="30"/>
        <v>#DIV/0!</v>
      </c>
    </row>
    <row r="69" spans="4:9" x14ac:dyDescent="0.25">
      <c r="D69" s="28" t="e">
        <f t="shared" si="25"/>
        <v>#DIV/0!</v>
      </c>
      <c r="E69" s="11">
        <f t="shared" si="26"/>
        <v>0</v>
      </c>
      <c r="F69" s="11">
        <f t="shared" si="27"/>
        <v>0</v>
      </c>
      <c r="G69" s="78" t="e">
        <f t="shared" si="28"/>
        <v>#DIV/0!</v>
      </c>
      <c r="H69" s="28">
        <f t="shared" si="29"/>
        <v>0</v>
      </c>
      <c r="I69" s="28" t="e">
        <f t="shared" si="30"/>
        <v>#DIV/0!</v>
      </c>
    </row>
    <row r="70" spans="4:9" x14ac:dyDescent="0.25">
      <c r="D70" s="28" t="e">
        <f t="shared" si="25"/>
        <v>#DIV/0!</v>
      </c>
      <c r="E70" s="11">
        <f t="shared" si="26"/>
        <v>0</v>
      </c>
      <c r="F70" s="11">
        <f t="shared" si="27"/>
        <v>0</v>
      </c>
      <c r="G70" s="78" t="e">
        <f t="shared" si="28"/>
        <v>#DIV/0!</v>
      </c>
      <c r="H70" s="28">
        <f t="shared" si="29"/>
        <v>0</v>
      </c>
      <c r="I70" s="28" t="e">
        <f t="shared" si="30"/>
        <v>#DIV/0!</v>
      </c>
    </row>
    <row r="71" spans="4:9" x14ac:dyDescent="0.25">
      <c r="D71" s="28" t="e">
        <f t="shared" si="25"/>
        <v>#DIV/0!</v>
      </c>
      <c r="E71" s="11">
        <f t="shared" si="26"/>
        <v>0</v>
      </c>
      <c r="F71" s="11">
        <f t="shared" si="27"/>
        <v>0</v>
      </c>
      <c r="G71" s="78" t="e">
        <f t="shared" si="28"/>
        <v>#DIV/0!</v>
      </c>
      <c r="H71" s="28">
        <f t="shared" si="29"/>
        <v>0</v>
      </c>
      <c r="I71" s="28" t="e">
        <f t="shared" si="30"/>
        <v>#DIV/0!</v>
      </c>
    </row>
    <row r="72" spans="4:9" x14ac:dyDescent="0.25">
      <c r="D72" s="28" t="e">
        <f t="shared" si="25"/>
        <v>#DIV/0!</v>
      </c>
      <c r="E72" s="11">
        <f t="shared" si="26"/>
        <v>0</v>
      </c>
      <c r="F72" s="11">
        <f t="shared" si="27"/>
        <v>0</v>
      </c>
      <c r="G72" s="78" t="e">
        <f t="shared" si="28"/>
        <v>#DIV/0!</v>
      </c>
      <c r="H72" s="28">
        <f t="shared" si="29"/>
        <v>0</v>
      </c>
      <c r="I72" s="28" t="e">
        <f t="shared" si="30"/>
        <v>#DIV/0!</v>
      </c>
    </row>
    <row r="73" spans="4:9" x14ac:dyDescent="0.25">
      <c r="D73" s="28" t="e">
        <f t="shared" si="25"/>
        <v>#DIV/0!</v>
      </c>
      <c r="E73" s="11">
        <f t="shared" si="26"/>
        <v>0</v>
      </c>
      <c r="F73" s="11">
        <f t="shared" si="27"/>
        <v>0</v>
      </c>
      <c r="G73" s="78" t="e">
        <f t="shared" si="28"/>
        <v>#DIV/0!</v>
      </c>
      <c r="H73" s="28">
        <f t="shared" si="29"/>
        <v>0</v>
      </c>
      <c r="I73" s="28" t="e">
        <f t="shared" si="30"/>
        <v>#DIV/0!</v>
      </c>
    </row>
    <row r="74" spans="4:9" x14ac:dyDescent="0.25">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25">
      <c r="D75" s="28" t="e">
        <f t="shared" si="31"/>
        <v>#DIV/0!</v>
      </c>
      <c r="E75" s="11">
        <f t="shared" si="32"/>
        <v>0</v>
      </c>
      <c r="F75" s="11">
        <f t="shared" si="33"/>
        <v>0</v>
      </c>
      <c r="G75" s="78" t="e">
        <f t="shared" si="34"/>
        <v>#DIV/0!</v>
      </c>
      <c r="H75" s="28">
        <f t="shared" si="35"/>
        <v>0</v>
      </c>
      <c r="I75" s="28" t="e">
        <f t="shared" si="36"/>
        <v>#DIV/0!</v>
      </c>
    </row>
    <row r="76" spans="4:9" x14ac:dyDescent="0.25">
      <c r="D76" s="28" t="e">
        <f t="shared" si="31"/>
        <v>#DIV/0!</v>
      </c>
      <c r="E76" s="11">
        <f t="shared" si="32"/>
        <v>0</v>
      </c>
      <c r="F76" s="11">
        <f t="shared" si="33"/>
        <v>0</v>
      </c>
      <c r="G76" s="78" t="e">
        <f t="shared" si="34"/>
        <v>#DIV/0!</v>
      </c>
      <c r="H76" s="28">
        <f t="shared" si="35"/>
        <v>0</v>
      </c>
      <c r="I76" s="28" t="e">
        <f t="shared" si="36"/>
        <v>#DIV/0!</v>
      </c>
    </row>
    <row r="77" spans="4:9" x14ac:dyDescent="0.25">
      <c r="D77" s="28" t="e">
        <f t="shared" si="31"/>
        <v>#DIV/0!</v>
      </c>
      <c r="E77" s="11">
        <f t="shared" si="32"/>
        <v>0</v>
      </c>
      <c r="F77" s="11">
        <f t="shared" si="33"/>
        <v>0</v>
      </c>
      <c r="G77" s="78" t="e">
        <f t="shared" si="34"/>
        <v>#DIV/0!</v>
      </c>
      <c r="H77" s="28">
        <f t="shared" si="35"/>
        <v>0</v>
      </c>
      <c r="I77" s="28" t="e">
        <f t="shared" si="36"/>
        <v>#DIV/0!</v>
      </c>
    </row>
    <row r="78" spans="4:9" x14ac:dyDescent="0.25">
      <c r="D78" s="28" t="e">
        <f t="shared" si="31"/>
        <v>#DIV/0!</v>
      </c>
      <c r="E78" s="11">
        <f t="shared" si="32"/>
        <v>0</v>
      </c>
      <c r="F78" s="11">
        <f t="shared" si="33"/>
        <v>0</v>
      </c>
      <c r="G78" s="78" t="e">
        <f t="shared" si="34"/>
        <v>#DIV/0!</v>
      </c>
      <c r="H78" s="28">
        <f t="shared" si="35"/>
        <v>0</v>
      </c>
      <c r="I78" s="28" t="e">
        <f t="shared" si="36"/>
        <v>#DIV/0!</v>
      </c>
    </row>
    <row r="79" spans="4:9" x14ac:dyDescent="0.25">
      <c r="D79" s="28" t="e">
        <f t="shared" si="31"/>
        <v>#DIV/0!</v>
      </c>
      <c r="E79" s="11">
        <f t="shared" si="32"/>
        <v>0</v>
      </c>
      <c r="F79" s="11">
        <f t="shared" si="33"/>
        <v>0</v>
      </c>
      <c r="G79" s="78" t="e">
        <f t="shared" si="34"/>
        <v>#DIV/0!</v>
      </c>
      <c r="H79" s="28">
        <f t="shared" si="35"/>
        <v>0</v>
      </c>
      <c r="I79" s="28" t="e">
        <f t="shared" si="36"/>
        <v>#DIV/0!</v>
      </c>
    </row>
    <row r="80" spans="4:9" x14ac:dyDescent="0.25">
      <c r="D80" s="28" t="e">
        <f t="shared" si="31"/>
        <v>#DIV/0!</v>
      </c>
      <c r="E80" s="11">
        <f t="shared" si="32"/>
        <v>0</v>
      </c>
      <c r="F80" s="11">
        <f t="shared" si="33"/>
        <v>0</v>
      </c>
      <c r="G80" s="78" t="e">
        <f t="shared" si="34"/>
        <v>#DIV/0!</v>
      </c>
      <c r="H80" s="28">
        <f t="shared" si="35"/>
        <v>0</v>
      </c>
      <c r="I80" s="28" t="e">
        <f t="shared" si="36"/>
        <v>#DIV/0!</v>
      </c>
    </row>
    <row r="81" spans="4:9" x14ac:dyDescent="0.25">
      <c r="D81" s="28" t="e">
        <f t="shared" si="31"/>
        <v>#DIV/0!</v>
      </c>
      <c r="E81" s="11">
        <f t="shared" si="32"/>
        <v>0</v>
      </c>
      <c r="F81" s="11">
        <f t="shared" si="33"/>
        <v>0</v>
      </c>
      <c r="G81" s="78" t="e">
        <f t="shared" si="34"/>
        <v>#DIV/0!</v>
      </c>
      <c r="H81" s="28">
        <f t="shared" si="35"/>
        <v>0</v>
      </c>
      <c r="I81" s="28" t="e">
        <f t="shared" si="36"/>
        <v>#DIV/0!</v>
      </c>
    </row>
    <row r="82" spans="4:9" x14ac:dyDescent="0.25">
      <c r="D82" s="28" t="e">
        <f t="shared" si="31"/>
        <v>#DIV/0!</v>
      </c>
      <c r="E82" s="11">
        <f t="shared" si="32"/>
        <v>0</v>
      </c>
      <c r="F82" s="11">
        <f t="shared" si="33"/>
        <v>0</v>
      </c>
      <c r="G82" s="78" t="e">
        <f t="shared" si="34"/>
        <v>#DIV/0!</v>
      </c>
      <c r="H82" s="28">
        <f t="shared" si="35"/>
        <v>0</v>
      </c>
      <c r="I82" s="28" t="e">
        <f t="shared" si="36"/>
        <v>#DIV/0!</v>
      </c>
    </row>
    <row r="83" spans="4:9" x14ac:dyDescent="0.25">
      <c r="D83" s="28" t="e">
        <f t="shared" si="31"/>
        <v>#DIV/0!</v>
      </c>
      <c r="E83" s="11">
        <f t="shared" si="32"/>
        <v>0</v>
      </c>
      <c r="F83" s="11">
        <f t="shared" si="33"/>
        <v>0</v>
      </c>
      <c r="G83" s="78" t="e">
        <f t="shared" si="34"/>
        <v>#DIV/0!</v>
      </c>
      <c r="H83" s="28">
        <f t="shared" si="35"/>
        <v>0</v>
      </c>
      <c r="I83" s="28" t="e">
        <f t="shared" si="36"/>
        <v>#DIV/0!</v>
      </c>
    </row>
    <row r="84" spans="4:9" x14ac:dyDescent="0.25">
      <c r="D84" s="28" t="e">
        <f t="shared" si="31"/>
        <v>#DIV/0!</v>
      </c>
      <c r="E84" s="11">
        <f t="shared" si="32"/>
        <v>0</v>
      </c>
      <c r="F84" s="11">
        <f t="shared" si="33"/>
        <v>0</v>
      </c>
      <c r="G84" s="78" t="e">
        <f t="shared" si="34"/>
        <v>#DIV/0!</v>
      </c>
      <c r="H84" s="28">
        <f t="shared" si="35"/>
        <v>0</v>
      </c>
      <c r="I84" s="28" t="e">
        <f t="shared" si="36"/>
        <v>#DIV/0!</v>
      </c>
    </row>
    <row r="85" spans="4:9" x14ac:dyDescent="0.25">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25">
      <c r="D86" s="28" t="e">
        <f t="shared" si="37"/>
        <v>#DIV/0!</v>
      </c>
      <c r="E86" s="11">
        <f t="shared" si="38"/>
        <v>0</v>
      </c>
      <c r="F86" s="11">
        <f t="shared" si="39"/>
        <v>0</v>
      </c>
      <c r="G86" s="78" t="e">
        <f t="shared" si="40"/>
        <v>#DIV/0!</v>
      </c>
      <c r="H86" s="28">
        <f t="shared" si="41"/>
        <v>0</v>
      </c>
      <c r="I86" s="28" t="e">
        <f t="shared" si="42"/>
        <v>#DIV/0!</v>
      </c>
    </row>
    <row r="87" spans="4:9" x14ac:dyDescent="0.25">
      <c r="D87" s="28" t="e">
        <f t="shared" si="37"/>
        <v>#DIV/0!</v>
      </c>
      <c r="E87" s="11">
        <f t="shared" si="38"/>
        <v>0</v>
      </c>
      <c r="F87" s="11">
        <f t="shared" si="39"/>
        <v>0</v>
      </c>
      <c r="G87" s="78" t="e">
        <f t="shared" si="40"/>
        <v>#DIV/0!</v>
      </c>
      <c r="H87" s="28">
        <f t="shared" si="41"/>
        <v>0</v>
      </c>
      <c r="I87" s="28" t="e">
        <f t="shared" si="42"/>
        <v>#DIV/0!</v>
      </c>
    </row>
    <row r="88" spans="4:9" x14ac:dyDescent="0.25">
      <c r="D88" s="28" t="e">
        <f t="shared" si="37"/>
        <v>#DIV/0!</v>
      </c>
      <c r="E88" s="11">
        <f t="shared" si="38"/>
        <v>0</v>
      </c>
      <c r="F88" s="11">
        <f t="shared" si="39"/>
        <v>0</v>
      </c>
      <c r="G88" s="78" t="e">
        <f t="shared" si="40"/>
        <v>#DIV/0!</v>
      </c>
      <c r="H88" s="28">
        <f t="shared" si="41"/>
        <v>0</v>
      </c>
      <c r="I88" s="28" t="e">
        <f t="shared" si="42"/>
        <v>#DIV/0!</v>
      </c>
    </row>
    <row r="89" spans="4:9" x14ac:dyDescent="0.25">
      <c r="D89" s="28" t="e">
        <f t="shared" si="37"/>
        <v>#DIV/0!</v>
      </c>
      <c r="E89" s="11">
        <f t="shared" si="38"/>
        <v>0</v>
      </c>
      <c r="F89" s="11">
        <f t="shared" si="39"/>
        <v>0</v>
      </c>
      <c r="G89" s="78" t="e">
        <f t="shared" si="40"/>
        <v>#DIV/0!</v>
      </c>
      <c r="H89" s="28">
        <f t="shared" si="41"/>
        <v>0</v>
      </c>
      <c r="I89" s="28" t="e">
        <f t="shared" si="42"/>
        <v>#DIV/0!</v>
      </c>
    </row>
    <row r="90" spans="4:9" x14ac:dyDescent="0.25">
      <c r="D90" s="28" t="e">
        <f t="shared" si="37"/>
        <v>#DIV/0!</v>
      </c>
      <c r="E90" s="11">
        <f t="shared" si="38"/>
        <v>0</v>
      </c>
      <c r="F90" s="11">
        <f t="shared" si="39"/>
        <v>0</v>
      </c>
      <c r="G90" s="78" t="e">
        <f t="shared" si="40"/>
        <v>#DIV/0!</v>
      </c>
      <c r="H90" s="28">
        <f t="shared" si="41"/>
        <v>0</v>
      </c>
      <c r="I90" s="28" t="e">
        <f t="shared" si="42"/>
        <v>#DIV/0!</v>
      </c>
    </row>
    <row r="91" spans="4:9" x14ac:dyDescent="0.25">
      <c r="D91" s="28" t="e">
        <f t="shared" si="37"/>
        <v>#DIV/0!</v>
      </c>
      <c r="E91" s="11">
        <f t="shared" si="38"/>
        <v>0</v>
      </c>
      <c r="F91" s="11">
        <f t="shared" si="39"/>
        <v>0</v>
      </c>
      <c r="G91" s="78" t="e">
        <f t="shared" si="40"/>
        <v>#DIV/0!</v>
      </c>
      <c r="H91" s="28">
        <f t="shared" si="41"/>
        <v>0</v>
      </c>
      <c r="I91" s="28" t="e">
        <f t="shared" si="42"/>
        <v>#DIV/0!</v>
      </c>
    </row>
    <row r="92" spans="4:9" x14ac:dyDescent="0.25">
      <c r="D92" s="28" t="e">
        <f t="shared" si="37"/>
        <v>#DIV/0!</v>
      </c>
      <c r="E92" s="11">
        <f t="shared" si="38"/>
        <v>0</v>
      </c>
      <c r="F92" s="11">
        <f t="shared" si="39"/>
        <v>0</v>
      </c>
      <c r="G92" s="78" t="e">
        <f t="shared" si="40"/>
        <v>#DIV/0!</v>
      </c>
      <c r="H92" s="28">
        <f t="shared" si="41"/>
        <v>0</v>
      </c>
      <c r="I92" s="28" t="e">
        <f t="shared" si="42"/>
        <v>#DIV/0!</v>
      </c>
    </row>
    <row r="93" spans="4:9" x14ac:dyDescent="0.25">
      <c r="D93" s="28" t="e">
        <f t="shared" si="37"/>
        <v>#DIV/0!</v>
      </c>
      <c r="E93" s="11">
        <f t="shared" si="38"/>
        <v>0</v>
      </c>
      <c r="F93" s="11">
        <f t="shared" si="39"/>
        <v>0</v>
      </c>
      <c r="G93" s="78" t="e">
        <f t="shared" si="40"/>
        <v>#DIV/0!</v>
      </c>
      <c r="H93" s="28">
        <f t="shared" si="41"/>
        <v>0</v>
      </c>
      <c r="I93" s="28" t="e">
        <f t="shared" si="42"/>
        <v>#DIV/0!</v>
      </c>
    </row>
    <row r="94" spans="4:9" x14ac:dyDescent="0.25">
      <c r="D94" s="28" t="e">
        <f t="shared" si="37"/>
        <v>#DIV/0!</v>
      </c>
      <c r="E94" s="11">
        <f t="shared" si="38"/>
        <v>0</v>
      </c>
      <c r="F94" s="11">
        <f t="shared" si="39"/>
        <v>0</v>
      </c>
      <c r="G94" s="78" t="e">
        <f t="shared" si="40"/>
        <v>#DIV/0!</v>
      </c>
      <c r="H94" s="28">
        <f t="shared" si="41"/>
        <v>0</v>
      </c>
      <c r="I94" s="28" t="e">
        <f t="shared" si="42"/>
        <v>#DIV/0!</v>
      </c>
    </row>
    <row r="95" spans="4:9" x14ac:dyDescent="0.25">
      <c r="D95" s="28" t="e">
        <f t="shared" si="37"/>
        <v>#DIV/0!</v>
      </c>
      <c r="E95" s="11">
        <f t="shared" si="38"/>
        <v>0</v>
      </c>
      <c r="F95" s="11">
        <f t="shared" si="39"/>
        <v>0</v>
      </c>
      <c r="G95" s="78" t="e">
        <f t="shared" si="40"/>
        <v>#DIV/0!</v>
      </c>
      <c r="H95" s="28">
        <f t="shared" si="41"/>
        <v>0</v>
      </c>
      <c r="I95" s="28" t="e">
        <f t="shared" si="42"/>
        <v>#DIV/0!</v>
      </c>
    </row>
    <row r="96" spans="4:9" x14ac:dyDescent="0.25">
      <c r="D96" s="28" t="e">
        <f t="shared" si="37"/>
        <v>#DIV/0!</v>
      </c>
      <c r="E96" s="11">
        <f t="shared" si="38"/>
        <v>0</v>
      </c>
      <c r="F96" s="11">
        <f t="shared" si="39"/>
        <v>0</v>
      </c>
      <c r="G96" s="78" t="e">
        <f t="shared" si="40"/>
        <v>#DIV/0!</v>
      </c>
      <c r="H96" s="28">
        <f t="shared" si="41"/>
        <v>0</v>
      </c>
      <c r="I96" s="28" t="e">
        <f t="shared" si="42"/>
        <v>#DIV/0!</v>
      </c>
    </row>
    <row r="97" spans="4:9" x14ac:dyDescent="0.25">
      <c r="D97" s="28" t="e">
        <f t="shared" si="37"/>
        <v>#DIV/0!</v>
      </c>
      <c r="E97" s="11">
        <f t="shared" si="38"/>
        <v>0</v>
      </c>
      <c r="F97" s="11">
        <f t="shared" si="39"/>
        <v>0</v>
      </c>
      <c r="G97" s="78" t="e">
        <f t="shared" si="40"/>
        <v>#DIV/0!</v>
      </c>
      <c r="H97" s="28">
        <f t="shared" si="41"/>
        <v>0</v>
      </c>
      <c r="I97" s="28" t="e">
        <f t="shared" si="42"/>
        <v>#DIV/0!</v>
      </c>
    </row>
    <row r="98" spans="4:9" x14ac:dyDescent="0.25">
      <c r="D98" s="28" t="e">
        <f t="shared" si="37"/>
        <v>#DIV/0!</v>
      </c>
      <c r="E98" s="11">
        <f t="shared" si="38"/>
        <v>0</v>
      </c>
      <c r="F98" s="11">
        <f t="shared" si="39"/>
        <v>0</v>
      </c>
      <c r="G98" s="78" t="e">
        <f t="shared" si="40"/>
        <v>#DIV/0!</v>
      </c>
      <c r="H98" s="28">
        <f t="shared" si="41"/>
        <v>0</v>
      </c>
      <c r="I98" s="28" t="e">
        <f t="shared" si="42"/>
        <v>#DIV/0!</v>
      </c>
    </row>
    <row r="99" spans="4:9" x14ac:dyDescent="0.25">
      <c r="D99" s="28" t="e">
        <f t="shared" si="37"/>
        <v>#DIV/0!</v>
      </c>
      <c r="E99" s="11">
        <f t="shared" si="38"/>
        <v>0</v>
      </c>
      <c r="F99" s="11">
        <f t="shared" si="39"/>
        <v>0</v>
      </c>
      <c r="G99" s="78" t="e">
        <f t="shared" si="40"/>
        <v>#DIV/0!</v>
      </c>
      <c r="H99" s="28">
        <f t="shared" si="41"/>
        <v>0</v>
      </c>
      <c r="I99" s="28" t="e">
        <f t="shared" si="42"/>
        <v>#DIV/0!</v>
      </c>
    </row>
    <row r="100" spans="4:9" x14ac:dyDescent="0.25">
      <c r="D100" s="28" t="e">
        <f t="shared" si="37"/>
        <v>#DIV/0!</v>
      </c>
      <c r="E100" s="11">
        <f t="shared" si="38"/>
        <v>0</v>
      </c>
      <c r="F100" s="11">
        <f t="shared" si="39"/>
        <v>0</v>
      </c>
      <c r="G100" s="78" t="e">
        <f t="shared" si="40"/>
        <v>#DIV/0!</v>
      </c>
      <c r="H100" s="28">
        <f t="shared" si="41"/>
        <v>0</v>
      </c>
      <c r="I100" s="28" t="e">
        <f t="shared" si="42"/>
        <v>#DIV/0!</v>
      </c>
    </row>
    <row r="101" spans="4:9" x14ac:dyDescent="0.25">
      <c r="D101" s="28" t="e">
        <f t="shared" si="37"/>
        <v>#DIV/0!</v>
      </c>
      <c r="E101" s="11">
        <f t="shared" si="38"/>
        <v>0</v>
      </c>
      <c r="F101" s="11">
        <f t="shared" si="39"/>
        <v>0</v>
      </c>
      <c r="G101" s="78" t="e">
        <f t="shared" si="40"/>
        <v>#DIV/0!</v>
      </c>
      <c r="H101" s="28">
        <f t="shared" si="41"/>
        <v>0</v>
      </c>
      <c r="I101" s="28" t="e">
        <f t="shared" si="42"/>
        <v>#DIV/0!</v>
      </c>
    </row>
    <row r="102" spans="4:9" x14ac:dyDescent="0.25">
      <c r="D102" s="28" t="e">
        <f t="shared" si="37"/>
        <v>#DIV/0!</v>
      </c>
      <c r="E102" s="11">
        <f t="shared" si="38"/>
        <v>0</v>
      </c>
      <c r="F102" s="11">
        <f t="shared" si="39"/>
        <v>0</v>
      </c>
      <c r="G102" s="78" t="e">
        <f t="shared" si="40"/>
        <v>#DIV/0!</v>
      </c>
      <c r="H102" s="28">
        <f t="shared" si="41"/>
        <v>0</v>
      </c>
      <c r="I102" s="28" t="e">
        <f t="shared" si="42"/>
        <v>#DIV/0!</v>
      </c>
    </row>
    <row r="103" spans="4:9" x14ac:dyDescent="0.25">
      <c r="D103" s="28" t="e">
        <f t="shared" si="37"/>
        <v>#DIV/0!</v>
      </c>
      <c r="E103" s="11">
        <f t="shared" si="38"/>
        <v>0</v>
      </c>
      <c r="F103" s="11">
        <f t="shared" si="39"/>
        <v>0</v>
      </c>
      <c r="G103" s="78" t="e">
        <f t="shared" si="40"/>
        <v>#DIV/0!</v>
      </c>
      <c r="H103" s="28">
        <f t="shared" si="41"/>
        <v>0</v>
      </c>
      <c r="I103" s="28" t="e">
        <f t="shared" si="42"/>
        <v>#DIV/0!</v>
      </c>
    </row>
    <row r="104" spans="4:9" x14ac:dyDescent="0.25">
      <c r="D104" s="28" t="e">
        <f t="shared" si="37"/>
        <v>#DIV/0!</v>
      </c>
      <c r="E104" s="11">
        <f t="shared" si="38"/>
        <v>0</v>
      </c>
      <c r="F104" s="11">
        <f t="shared" si="39"/>
        <v>0</v>
      </c>
      <c r="G104" s="78" t="e">
        <f t="shared" si="40"/>
        <v>#DIV/0!</v>
      </c>
      <c r="H104" s="28">
        <f t="shared" si="41"/>
        <v>0</v>
      </c>
      <c r="I104" s="28" t="e">
        <f t="shared" si="42"/>
        <v>#DIV/0!</v>
      </c>
    </row>
    <row r="105" spans="4:9" x14ac:dyDescent="0.25">
      <c r="D105" s="28" t="e">
        <f t="shared" si="37"/>
        <v>#DIV/0!</v>
      </c>
      <c r="E105" s="11">
        <f t="shared" si="38"/>
        <v>0</v>
      </c>
      <c r="F105" s="11">
        <f t="shared" si="39"/>
        <v>0</v>
      </c>
      <c r="G105" s="78" t="e">
        <f t="shared" si="40"/>
        <v>#DIV/0!</v>
      </c>
      <c r="H105" s="28">
        <f t="shared" si="41"/>
        <v>0</v>
      </c>
      <c r="I105" s="28" t="e">
        <f t="shared" si="42"/>
        <v>#DIV/0!</v>
      </c>
    </row>
    <row r="106" spans="4:9" x14ac:dyDescent="0.25">
      <c r="D106" s="28" t="e">
        <f t="shared" si="37"/>
        <v>#DIV/0!</v>
      </c>
      <c r="E106" s="11">
        <f t="shared" si="38"/>
        <v>0</v>
      </c>
      <c r="F106" s="11">
        <f t="shared" si="39"/>
        <v>0</v>
      </c>
      <c r="G106" s="78" t="e">
        <f t="shared" si="40"/>
        <v>#DIV/0!</v>
      </c>
      <c r="H106" s="28">
        <f t="shared" si="41"/>
        <v>0</v>
      </c>
      <c r="I106" s="28" t="e">
        <f t="shared" si="42"/>
        <v>#DIV/0!</v>
      </c>
    </row>
    <row r="107" spans="4:9" x14ac:dyDescent="0.25">
      <c r="D107" s="28" t="e">
        <f t="shared" si="37"/>
        <v>#DIV/0!</v>
      </c>
      <c r="E107" s="11">
        <f t="shared" si="38"/>
        <v>0</v>
      </c>
      <c r="F107" s="11">
        <f t="shared" si="39"/>
        <v>0</v>
      </c>
      <c r="G107" s="78" t="e">
        <f t="shared" si="40"/>
        <v>#DIV/0!</v>
      </c>
      <c r="H107" s="28">
        <f t="shared" si="41"/>
        <v>0</v>
      </c>
      <c r="I107" s="28" t="e">
        <f t="shared" si="42"/>
        <v>#DIV/0!</v>
      </c>
    </row>
    <row r="108" spans="4:9" x14ac:dyDescent="0.25">
      <c r="D108" s="28" t="e">
        <f t="shared" si="37"/>
        <v>#DIV/0!</v>
      </c>
      <c r="E108" s="11">
        <f t="shared" si="38"/>
        <v>0</v>
      </c>
      <c r="F108" s="11">
        <f t="shared" si="39"/>
        <v>0</v>
      </c>
      <c r="G108" s="78" t="e">
        <f t="shared" si="40"/>
        <v>#DIV/0!</v>
      </c>
      <c r="H108" s="28">
        <f t="shared" si="41"/>
        <v>0</v>
      </c>
      <c r="I108" s="28" t="e">
        <f t="shared" si="42"/>
        <v>#DIV/0!</v>
      </c>
    </row>
    <row r="109" spans="4:9" x14ac:dyDescent="0.25">
      <c r="D109" s="28" t="e">
        <f t="shared" si="37"/>
        <v>#DIV/0!</v>
      </c>
      <c r="E109" s="11">
        <f t="shared" si="38"/>
        <v>0</v>
      </c>
      <c r="F109" s="11">
        <f t="shared" si="39"/>
        <v>0</v>
      </c>
      <c r="G109" s="78" t="e">
        <f t="shared" si="40"/>
        <v>#DIV/0!</v>
      </c>
      <c r="H109" s="28">
        <f t="shared" si="41"/>
        <v>0</v>
      </c>
      <c r="I109" s="28" t="e">
        <f t="shared" si="42"/>
        <v>#DIV/0!</v>
      </c>
    </row>
    <row r="110" spans="4:9" x14ac:dyDescent="0.25">
      <c r="D110" s="28" t="e">
        <f t="shared" si="37"/>
        <v>#DIV/0!</v>
      </c>
      <c r="E110" s="11">
        <f t="shared" si="38"/>
        <v>0</v>
      </c>
      <c r="F110" s="11">
        <f t="shared" si="39"/>
        <v>0</v>
      </c>
      <c r="G110" s="78" t="e">
        <f t="shared" si="40"/>
        <v>#DIV/0!</v>
      </c>
      <c r="H110" s="28">
        <f t="shared" si="41"/>
        <v>0</v>
      </c>
      <c r="I110" s="28" t="e">
        <f t="shared" si="42"/>
        <v>#DIV/0!</v>
      </c>
    </row>
    <row r="111" spans="4:9" x14ac:dyDescent="0.25">
      <c r="D111" s="28" t="e">
        <f t="shared" si="37"/>
        <v>#DIV/0!</v>
      </c>
      <c r="E111" s="11">
        <f t="shared" si="38"/>
        <v>0</v>
      </c>
      <c r="F111" s="11">
        <f t="shared" si="39"/>
        <v>0</v>
      </c>
      <c r="G111" s="78" t="e">
        <f t="shared" si="40"/>
        <v>#DIV/0!</v>
      </c>
      <c r="H111" s="28">
        <f t="shared" si="41"/>
        <v>0</v>
      </c>
      <c r="I111" s="28" t="e">
        <f t="shared" si="42"/>
        <v>#DIV/0!</v>
      </c>
    </row>
    <row r="112" spans="4:9" x14ac:dyDescent="0.25">
      <c r="D112" s="28" t="e">
        <f t="shared" si="37"/>
        <v>#DIV/0!</v>
      </c>
      <c r="E112" s="11">
        <f t="shared" si="38"/>
        <v>0</v>
      </c>
      <c r="F112" s="11">
        <f t="shared" si="39"/>
        <v>0</v>
      </c>
      <c r="G112" s="78" t="e">
        <f t="shared" si="40"/>
        <v>#DIV/0!</v>
      </c>
      <c r="H112" s="28">
        <f t="shared" si="41"/>
        <v>0</v>
      </c>
      <c r="I112" s="28" t="e">
        <f t="shared" si="42"/>
        <v>#DIV/0!</v>
      </c>
    </row>
    <row r="113" spans="4:9" x14ac:dyDescent="0.25">
      <c r="D113" s="28" t="e">
        <f t="shared" si="37"/>
        <v>#DIV/0!</v>
      </c>
      <c r="E113" s="11">
        <f t="shared" si="38"/>
        <v>0</v>
      </c>
      <c r="F113" s="11">
        <f t="shared" si="39"/>
        <v>0</v>
      </c>
      <c r="G113" s="78" t="e">
        <f t="shared" si="40"/>
        <v>#DIV/0!</v>
      </c>
      <c r="H113" s="28">
        <f t="shared" si="41"/>
        <v>0</v>
      </c>
      <c r="I113" s="28" t="e">
        <f t="shared" si="42"/>
        <v>#DIV/0!</v>
      </c>
    </row>
    <row r="114" spans="4:9" x14ac:dyDescent="0.25">
      <c r="D114" s="28" t="e">
        <f t="shared" si="37"/>
        <v>#DIV/0!</v>
      </c>
      <c r="E114" s="11">
        <f t="shared" si="38"/>
        <v>0</v>
      </c>
      <c r="F114" s="11">
        <f t="shared" si="39"/>
        <v>0</v>
      </c>
      <c r="G114" s="78" t="e">
        <f t="shared" si="40"/>
        <v>#DIV/0!</v>
      </c>
      <c r="H114" s="28">
        <f t="shared" si="41"/>
        <v>0</v>
      </c>
      <c r="I114" s="28" t="e">
        <f t="shared" si="42"/>
        <v>#DIV/0!</v>
      </c>
    </row>
    <row r="115" spans="4:9" x14ac:dyDescent="0.25">
      <c r="D115" s="28" t="e">
        <f t="shared" si="37"/>
        <v>#DIV/0!</v>
      </c>
      <c r="E115" s="11">
        <f t="shared" si="38"/>
        <v>0</v>
      </c>
      <c r="F115" s="11">
        <f t="shared" si="39"/>
        <v>0</v>
      </c>
      <c r="G115" s="78" t="e">
        <f t="shared" si="40"/>
        <v>#DIV/0!</v>
      </c>
      <c r="H115" s="28">
        <f t="shared" si="41"/>
        <v>0</v>
      </c>
      <c r="I115" s="28" t="e">
        <f t="shared" si="42"/>
        <v>#DIV/0!</v>
      </c>
    </row>
    <row r="116" spans="4:9" x14ac:dyDescent="0.25">
      <c r="D116" s="28" t="e">
        <f t="shared" si="37"/>
        <v>#DIV/0!</v>
      </c>
      <c r="E116" s="11">
        <f t="shared" si="38"/>
        <v>0</v>
      </c>
      <c r="F116" s="11">
        <f t="shared" si="39"/>
        <v>0</v>
      </c>
      <c r="G116" s="78" t="e">
        <f t="shared" si="40"/>
        <v>#DIV/0!</v>
      </c>
      <c r="H116" s="28">
        <f t="shared" si="41"/>
        <v>0</v>
      </c>
      <c r="I116" s="28" t="e">
        <f t="shared" si="42"/>
        <v>#DIV/0!</v>
      </c>
    </row>
    <row r="117" spans="4:9" x14ac:dyDescent="0.25">
      <c r="D117" s="28" t="e">
        <f t="shared" si="37"/>
        <v>#DIV/0!</v>
      </c>
      <c r="E117" s="11">
        <f t="shared" si="38"/>
        <v>0</v>
      </c>
      <c r="F117" s="11">
        <f t="shared" si="39"/>
        <v>0</v>
      </c>
      <c r="G117" s="78" t="e">
        <f t="shared" si="40"/>
        <v>#DIV/0!</v>
      </c>
      <c r="H117" s="28">
        <f t="shared" si="41"/>
        <v>0</v>
      </c>
      <c r="I117" s="28" t="e">
        <f t="shared" si="42"/>
        <v>#DIV/0!</v>
      </c>
    </row>
    <row r="118" spans="4:9" x14ac:dyDescent="0.25">
      <c r="D118" s="28" t="e">
        <f t="shared" si="37"/>
        <v>#DIV/0!</v>
      </c>
      <c r="E118" s="11">
        <f t="shared" si="38"/>
        <v>0</v>
      </c>
      <c r="F118" s="11">
        <f t="shared" si="39"/>
        <v>0</v>
      </c>
      <c r="G118" s="78" t="e">
        <f t="shared" si="40"/>
        <v>#DIV/0!</v>
      </c>
      <c r="H118" s="28">
        <f t="shared" si="41"/>
        <v>0</v>
      </c>
      <c r="I118" s="28" t="e">
        <f t="shared" si="42"/>
        <v>#DIV/0!</v>
      </c>
    </row>
    <row r="119" spans="4:9" x14ac:dyDescent="0.25">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5" x14ac:dyDescent="0.25"/>
  <cols>
    <col min="2" max="2" width="10.28515625" bestFit="1" customWidth="1"/>
    <col min="4" max="4" width="9.28515625" customWidth="1"/>
    <col min="8" max="8" width="10.28515625" bestFit="1" customWidth="1"/>
    <col min="10" max="10" width="9.28515625" customWidth="1"/>
  </cols>
  <sheetData>
    <row r="2" spans="2:10" x14ac:dyDescent="0.25">
      <c r="B2" t="s">
        <v>75</v>
      </c>
      <c r="C2" t="s">
        <v>45</v>
      </c>
      <c r="D2" t="s">
        <v>46</v>
      </c>
      <c r="E2" t="s">
        <v>66</v>
      </c>
      <c r="H2" t="s">
        <v>75</v>
      </c>
      <c r="I2" t="s">
        <v>45</v>
      </c>
      <c r="J2" t="s">
        <v>46</v>
      </c>
    </row>
    <row r="3" spans="2:10" x14ac:dyDescent="0.25">
      <c r="B3" s="1">
        <v>45947</v>
      </c>
      <c r="C3" t="s">
        <v>116</v>
      </c>
      <c r="D3">
        <f>SUMIFS(Table14[Debit], Table14[Date], Table5[[#This Row],[Date]], Table14[Party], "Rashan")</f>
        <v>0</v>
      </c>
      <c r="H3" s="1">
        <v>45947</v>
      </c>
      <c r="J3">
        <f>SUMIFS(Table14[Debit], Table14[Date], Table15[[#This Row],[Date]], Table14[Party], "Parts")</f>
        <v>0</v>
      </c>
    </row>
    <row r="4" spans="2:10" x14ac:dyDescent="0.25">
      <c r="B4" s="1">
        <v>45948</v>
      </c>
      <c r="C4" t="s">
        <v>116</v>
      </c>
      <c r="D4">
        <f>SUMIFS(Table14[Debit], Table14[Date], Table5[[#This Row],[Date]], Table14[Party], "Rashan")</f>
        <v>0</v>
      </c>
      <c r="H4" s="1">
        <v>45948</v>
      </c>
      <c r="I4" t="s">
        <v>55</v>
      </c>
      <c r="J4">
        <f>SUMIFS(Table14[Debit], Table14[Date], Table15[[#This Row],[Date]], Table14[Party], "Parts")</f>
        <v>0</v>
      </c>
    </row>
    <row r="5" spans="2:10" x14ac:dyDescent="0.25">
      <c r="B5" s="1">
        <v>45949</v>
      </c>
      <c r="C5" t="s">
        <v>116</v>
      </c>
      <c r="D5">
        <f>SUMIFS(Table14[Debit], Table14[Date], Table5[[#This Row],[Date]], Table14[Party], "Rashan")</f>
        <v>0</v>
      </c>
      <c r="H5" s="1">
        <v>45949</v>
      </c>
      <c r="I5" t="s">
        <v>55</v>
      </c>
      <c r="J5">
        <f>SUMIFS(Table14[Debit], Table14[Date], Table15[[#This Row],[Date]], Table14[Party], "Parts")</f>
        <v>0</v>
      </c>
    </row>
    <row r="6" spans="2:10" x14ac:dyDescent="0.25">
      <c r="B6" s="1">
        <v>45950</v>
      </c>
      <c r="C6" t="s">
        <v>116</v>
      </c>
      <c r="D6">
        <f>SUMIFS(Table14[Debit], Table14[Date], Table5[[#This Row],[Date]], Table14[Party], "Rashan")</f>
        <v>0</v>
      </c>
      <c r="H6" s="1">
        <v>45950</v>
      </c>
      <c r="I6" t="s">
        <v>55</v>
      </c>
      <c r="J6">
        <f>SUMIFS(Table14[Debit], Table14[Date], Table15[[#This Row],[Date]], Table14[Party], "Parts")</f>
        <v>0</v>
      </c>
    </row>
    <row r="7" spans="2:10" x14ac:dyDescent="0.25">
      <c r="B7" s="1">
        <v>45951</v>
      </c>
      <c r="C7" t="s">
        <v>116</v>
      </c>
      <c r="D7">
        <f>SUMIFS(Table14[Debit], Table14[Date], Table5[[#This Row],[Date]], Table14[Party], "Rashan")</f>
        <v>0</v>
      </c>
      <c r="H7" s="1">
        <v>45951</v>
      </c>
      <c r="I7" t="s">
        <v>55</v>
      </c>
      <c r="J7">
        <f>SUMIFS(Table14[Debit], Table14[Date], Table15[[#This Row],[Date]], Table14[Party], "Parts")</f>
        <v>0</v>
      </c>
    </row>
    <row r="8" spans="2:10" x14ac:dyDescent="0.25">
      <c r="B8" s="1">
        <v>45952</v>
      </c>
      <c r="C8" t="s">
        <v>116</v>
      </c>
      <c r="D8">
        <f>SUMIFS(Table14[Debit], Table14[Date], Table5[[#This Row],[Date]], Table14[Party], "Rashan")</f>
        <v>0</v>
      </c>
      <c r="H8" s="1">
        <v>45952</v>
      </c>
      <c r="J8">
        <f>SUMIFS(Table14[Debit], Table14[Date], Table15[[#This Row],[Date]], Table14[Party], "Parts")</f>
        <v>0</v>
      </c>
    </row>
    <row r="9" spans="2:10" x14ac:dyDescent="0.25">
      <c r="B9" s="1">
        <v>45953</v>
      </c>
      <c r="C9" t="s">
        <v>116</v>
      </c>
      <c r="D9">
        <f>SUMIFS(Table14[Debit], Table14[Date], Table5[[#This Row],[Date]], Table14[Party], "Rashan")</f>
        <v>0</v>
      </c>
      <c r="H9" s="1">
        <v>45953</v>
      </c>
      <c r="J9">
        <f>SUMIFS(Table14[Debit], Table14[Date], Table15[[#This Row],[Date]], Table14[Party], "Parts")</f>
        <v>0</v>
      </c>
    </row>
    <row r="10" spans="2:10" x14ac:dyDescent="0.25">
      <c r="B10" s="1">
        <v>45954</v>
      </c>
      <c r="C10" t="s">
        <v>116</v>
      </c>
      <c r="D10">
        <f>SUMIFS(Table14[Debit], Table14[Date], Table5[[#This Row],[Date]], Table14[Party], "Rashan")</f>
        <v>0</v>
      </c>
      <c r="H10" s="1">
        <v>45954</v>
      </c>
      <c r="J10">
        <f>SUMIFS(Table14[Debit], Table14[Date], Table15[[#This Row],[Date]], Table14[Party], "Parts")</f>
        <v>0</v>
      </c>
    </row>
    <row r="11" spans="2:10" x14ac:dyDescent="0.25">
      <c r="B11" s="1">
        <v>45955</v>
      </c>
      <c r="C11" t="s">
        <v>116</v>
      </c>
      <c r="D11">
        <f>SUMIFS(Table14[Debit], Table14[Date], Table5[[#This Row],[Date]], Table14[Party], "Rashan")</f>
        <v>0</v>
      </c>
      <c r="H11" s="1">
        <v>45955</v>
      </c>
      <c r="J11">
        <f>SUMIFS(Table14[Debit], Table14[Date], Table15[[#This Row],[Date]], Table14[Party], "Parts")</f>
        <v>0</v>
      </c>
    </row>
    <row r="12" spans="2:10" x14ac:dyDescent="0.25">
      <c r="B12" s="1">
        <v>45956</v>
      </c>
      <c r="C12" t="s">
        <v>116</v>
      </c>
      <c r="D12">
        <f>SUMIFS(Table14[Debit], Table14[Date], Table5[[#This Row],[Date]], Table14[Party], "Rashan")</f>
        <v>0</v>
      </c>
      <c r="H12" s="1">
        <v>45956</v>
      </c>
      <c r="J12">
        <f>SUMIFS(Table14[Debit], Table14[Date], Table15[[#This Row],[Date]], Table14[Party], "Parts")</f>
        <v>0</v>
      </c>
    </row>
    <row r="13" spans="2:10" x14ac:dyDescent="0.25">
      <c r="B13" s="1">
        <v>45957</v>
      </c>
      <c r="C13" t="s">
        <v>116</v>
      </c>
      <c r="D13">
        <f>SUMIFS(Table14[Debit], Table14[Date], Table5[[#This Row],[Date]], Table14[Party], "Rashan")</f>
        <v>0</v>
      </c>
      <c r="H13" s="1">
        <v>45957</v>
      </c>
      <c r="J13">
        <f>SUMIFS(Table14[Debit], Table14[Date], Table15[[#This Row],[Date]], Table14[Party], "Parts")</f>
        <v>0</v>
      </c>
    </row>
    <row r="14" spans="2:10" x14ac:dyDescent="0.25">
      <c r="B14" s="1">
        <v>45958</v>
      </c>
      <c r="C14" t="s">
        <v>116</v>
      </c>
      <c r="D14">
        <f>SUMIFS(Table14[Debit], Table14[Date], Table5[[#This Row],[Date]], Table14[Party], "Rashan")</f>
        <v>0</v>
      </c>
      <c r="H14" s="1">
        <v>45958</v>
      </c>
      <c r="J14">
        <f>SUMIFS(Table14[Debit], Table14[Date], Table15[[#This Row],[Date]], Table14[Party], "Parts")</f>
        <v>0</v>
      </c>
    </row>
    <row r="15" spans="2:10" x14ac:dyDescent="0.25">
      <c r="B15" s="1">
        <v>45959</v>
      </c>
      <c r="C15" t="s">
        <v>116</v>
      </c>
      <c r="D15">
        <f>SUMIFS(Table14[Debit], Table14[Date], Table5[[#This Row],[Date]], Table14[Party], "Rashan")</f>
        <v>0</v>
      </c>
      <c r="H15" s="1">
        <v>45959</v>
      </c>
      <c r="J15">
        <f>SUMIFS(Table14[Debit], Table14[Date], Table15[[#This Row],[Date]], Table14[Party], "Parts")</f>
        <v>0</v>
      </c>
    </row>
    <row r="16" spans="2:10" x14ac:dyDescent="0.25">
      <c r="B16" s="1">
        <v>45960</v>
      </c>
      <c r="C16" t="s">
        <v>116</v>
      </c>
      <c r="D16">
        <f>SUMIFS(Table14[Debit], Table14[Date], Table5[[#This Row],[Date]], Table14[Party], "Rashan")</f>
        <v>0</v>
      </c>
      <c r="H16" s="1">
        <v>45960</v>
      </c>
      <c r="J16">
        <f>SUMIFS(Table14[Debit], Table14[Date], Table15[[#This Row],[Date]], Table14[Party], "Parts")</f>
        <v>0</v>
      </c>
    </row>
    <row r="17" spans="2:10" x14ac:dyDescent="0.25">
      <c r="B17" s="1">
        <v>45961</v>
      </c>
      <c r="C17" t="s">
        <v>116</v>
      </c>
      <c r="D17">
        <f>SUMIFS(Table14[Debit], Table14[Date], Table5[[#This Row],[Date]], Table14[Party], "Rashan")</f>
        <v>0</v>
      </c>
      <c r="H17" s="1">
        <v>45961</v>
      </c>
      <c r="J17">
        <f>SUMIFS(Table14[Debit], Table14[Date], Table15[[#This Row],[Date]], Table14[Party], "Parts")</f>
        <v>0</v>
      </c>
    </row>
    <row r="18" spans="2:10" x14ac:dyDescent="0.25">
      <c r="B18" s="1">
        <v>45962</v>
      </c>
      <c r="C18" t="s">
        <v>116</v>
      </c>
      <c r="D18">
        <f>SUMIFS(Table14[Debit], Table14[Date], Table5[[#This Row],[Date]], Table14[Party], "Rashan")</f>
        <v>0</v>
      </c>
      <c r="H18" s="1">
        <v>45962</v>
      </c>
      <c r="J18">
        <f>SUMIFS(Table14[Debit], Table14[Date], Table15[[#This Row],[Date]], Table14[Party], "Parts")</f>
        <v>0</v>
      </c>
    </row>
    <row r="19" spans="2:10" x14ac:dyDescent="0.25">
      <c r="B19" s="1">
        <v>45963</v>
      </c>
      <c r="C19" t="s">
        <v>116</v>
      </c>
      <c r="D19">
        <f>SUMIFS(Table14[Debit], Table14[Date], Table5[[#This Row],[Date]], Table14[Party], "Rashan")</f>
        <v>0</v>
      </c>
      <c r="H19" s="1">
        <v>45963</v>
      </c>
      <c r="J19">
        <f>SUMIFS(Table14[Debit], Table14[Date], Table15[[#This Row],[Date]], Table14[Party], "Parts")</f>
        <v>0</v>
      </c>
    </row>
    <row r="20" spans="2:10" x14ac:dyDescent="0.25">
      <c r="B20" s="1">
        <v>45964</v>
      </c>
      <c r="C20" t="s">
        <v>116</v>
      </c>
      <c r="D20">
        <f>SUMIFS(Table14[Debit], Table14[Date], Table5[[#This Row],[Date]], Table14[Party], "Rashan")</f>
        <v>0</v>
      </c>
      <c r="H20" s="1">
        <v>45964</v>
      </c>
      <c r="J20">
        <f>SUMIFS(Table14[Debit], Table14[Date], Table15[[#This Row],[Date]], Table14[Party], "Parts")</f>
        <v>0</v>
      </c>
    </row>
    <row r="21" spans="2:10" x14ac:dyDescent="0.25">
      <c r="B21" s="1">
        <v>45965</v>
      </c>
      <c r="C21" t="s">
        <v>116</v>
      </c>
      <c r="D21">
        <f>SUMIFS(Table14[Debit], Table14[Date], Table5[[#This Row],[Date]], Table14[Party], "Rashan")</f>
        <v>0</v>
      </c>
      <c r="H21" s="1">
        <v>45965</v>
      </c>
      <c r="J21">
        <f>SUMIFS(Table14[Debit], Table14[Date], Table15[[#This Row],[Date]], Table14[Party], "Parts")</f>
        <v>0</v>
      </c>
    </row>
    <row r="22" spans="2:10" x14ac:dyDescent="0.25">
      <c r="B22" s="1">
        <v>45966</v>
      </c>
      <c r="C22" t="s">
        <v>116</v>
      </c>
      <c r="D22">
        <f>SUMIFS(Table14[Debit], Table14[Date], Table5[[#This Row],[Date]], Table14[Party], "Rashan")</f>
        <v>0</v>
      </c>
      <c r="H22" s="1">
        <v>45966</v>
      </c>
      <c r="J22">
        <f>SUMIFS(Table14[Debit], Table14[Date], Table15[[#This Row],[Date]], Table14[Party], "Parts")</f>
        <v>0</v>
      </c>
    </row>
    <row r="23" spans="2:10" x14ac:dyDescent="0.25">
      <c r="B23" s="1">
        <v>45967</v>
      </c>
      <c r="C23" t="s">
        <v>116</v>
      </c>
      <c r="D23">
        <f>SUMIFS(Table14[Debit], Table14[Date], Table5[[#This Row],[Date]], Table14[Party], "Rashan")</f>
        <v>0</v>
      </c>
      <c r="H23" s="1">
        <v>45967</v>
      </c>
      <c r="J23">
        <f>SUMIFS(Table14[Debit], Table14[Date], Table15[[#This Row],[Date]], Table14[Party], "Parts")</f>
        <v>0</v>
      </c>
    </row>
    <row r="24" spans="2:10" x14ac:dyDescent="0.25">
      <c r="B24" s="1">
        <v>45968</v>
      </c>
      <c r="C24" t="s">
        <v>116</v>
      </c>
      <c r="D24">
        <f>SUMIFS(Table14[Debit], Table14[Date], Table5[[#This Row],[Date]], Table14[Party], "Rashan")</f>
        <v>0</v>
      </c>
      <c r="H24" s="1">
        <v>45968</v>
      </c>
      <c r="J24">
        <f>SUMIFS(Table14[Debit], Table14[Date], Table15[[#This Row],[Date]], Table14[Party], "Parts")</f>
        <v>0</v>
      </c>
    </row>
    <row r="25" spans="2:10" x14ac:dyDescent="0.25">
      <c r="B25" s="1">
        <v>45969</v>
      </c>
      <c r="C25" t="s">
        <v>116</v>
      </c>
      <c r="D25">
        <f>SUMIFS(Table14[Debit], Table14[Date], Table5[[#This Row],[Date]], Table14[Party], "Rashan")</f>
        <v>0</v>
      </c>
      <c r="H25" s="1">
        <v>45969</v>
      </c>
      <c r="J25">
        <f>SUMIFS(Table14[Debit], Table14[Date], Table15[[#This Row],[Date]], Table14[Party], "Parts")</f>
        <v>0</v>
      </c>
    </row>
    <row r="26" spans="2:10" x14ac:dyDescent="0.25">
      <c r="B26" s="1">
        <v>45970</v>
      </c>
      <c r="C26" t="s">
        <v>116</v>
      </c>
      <c r="D26">
        <f>SUMIFS(Table14[Debit], Table14[Date], Table5[[#This Row],[Date]], Table14[Party], "Rashan")</f>
        <v>0</v>
      </c>
      <c r="H26" s="1">
        <v>45970</v>
      </c>
      <c r="J26">
        <f>SUMIFS(Table14[Debit], Table14[Date], Table15[[#This Row],[Date]], Table14[Party], "Parts")</f>
        <v>0</v>
      </c>
    </row>
    <row r="27" spans="2:10" x14ac:dyDescent="0.25">
      <c r="B27" s="1">
        <v>45971</v>
      </c>
      <c r="C27" t="s">
        <v>116</v>
      </c>
      <c r="D27">
        <f>SUMIFS(Table14[Debit], Table14[Date], Table5[[#This Row],[Date]], Table14[Party], "Rashan")</f>
        <v>0</v>
      </c>
      <c r="H27" s="1">
        <v>45971</v>
      </c>
      <c r="J27">
        <f>SUMIFS(Table14[Debit], Table14[Date], Table15[[#This Row],[Date]], Table14[Party], "Parts")</f>
        <v>0</v>
      </c>
    </row>
    <row r="28" spans="2:10" x14ac:dyDescent="0.25">
      <c r="B28" s="1">
        <v>45972</v>
      </c>
      <c r="C28" t="s">
        <v>116</v>
      </c>
      <c r="D28">
        <f>SUMIFS(Table14[Debit], Table14[Date], Table5[[#This Row],[Date]], Table14[Party], "Rashan")</f>
        <v>0</v>
      </c>
      <c r="H28" s="1">
        <v>45972</v>
      </c>
      <c r="J28">
        <f>SUMIFS(Table14[Debit], Table14[Date], Table15[[#This Row],[Date]], Table14[Party], "Parts")</f>
        <v>0</v>
      </c>
    </row>
    <row r="29" spans="2:10" x14ac:dyDescent="0.25">
      <c r="B29" s="1">
        <v>45973</v>
      </c>
      <c r="C29" t="s">
        <v>116</v>
      </c>
      <c r="D29">
        <f>SUMIFS(Table14[Debit], Table14[Date], Table5[[#This Row],[Date]], Table14[Party], "Rashan")</f>
        <v>0</v>
      </c>
      <c r="H29" s="1">
        <v>45973</v>
      </c>
      <c r="J29">
        <f>SUMIFS(Table14[Debit], Table14[Date], Table15[[#This Row],[Date]], Table14[Party], "Parts")</f>
        <v>0</v>
      </c>
    </row>
    <row r="30" spans="2:10" x14ac:dyDescent="0.25">
      <c r="B30" s="1">
        <v>45974</v>
      </c>
      <c r="C30" t="s">
        <v>116</v>
      </c>
      <c r="D30">
        <f>SUMIFS(Table14[Debit], Table14[Date], Table5[[#This Row],[Date]], Table14[Party], "Rashan")</f>
        <v>0</v>
      </c>
      <c r="H30" s="1">
        <v>45974</v>
      </c>
      <c r="J30">
        <f>SUMIFS(Table14[Debit], Table14[Date], Table15[[#This Row],[Date]], Table14[Party], "Parts")</f>
        <v>0</v>
      </c>
    </row>
    <row r="31" spans="2:10" x14ac:dyDescent="0.25">
      <c r="B31" s="1">
        <v>45975</v>
      </c>
      <c r="C31" t="s">
        <v>116</v>
      </c>
      <c r="D31">
        <f>SUMIFS(Table14[Debit], Table14[Date], Table5[[#This Row],[Date]], Table14[Party], "Rashan")</f>
        <v>0</v>
      </c>
      <c r="H31" s="1">
        <v>45975</v>
      </c>
      <c r="J31">
        <f>SUMIFS(Table14[Debit], Table14[Date], Table15[[#This Row],[Date]], Table14[Party], "Parts")</f>
        <v>0</v>
      </c>
    </row>
    <row r="32" spans="2:10" x14ac:dyDescent="0.25">
      <c r="B32" s="1">
        <v>45976</v>
      </c>
      <c r="C32" t="s">
        <v>116</v>
      </c>
      <c r="D32">
        <f>SUMIFS(Table14[Debit], Table14[Date], Table5[[#This Row],[Date]], Table14[Party], "Rashan")</f>
        <v>0</v>
      </c>
      <c r="H32" s="1">
        <v>45976</v>
      </c>
      <c r="J32">
        <f>SUMIFS(Table14[Debit], Table14[Date], Table15[[#This Row],[Date]], Table14[Party], "Parts")</f>
        <v>0</v>
      </c>
    </row>
    <row r="33" spans="2:10" x14ac:dyDescent="0.25">
      <c r="B33" s="1">
        <v>45977</v>
      </c>
      <c r="C33" t="s">
        <v>116</v>
      </c>
      <c r="D33">
        <f>SUMIFS(Table14[Debit], Table14[Date], Table5[[#This Row],[Date]], Table14[Party], "Rashan")</f>
        <v>0</v>
      </c>
      <c r="H33" s="1">
        <v>45977</v>
      </c>
      <c r="J33">
        <f>SUMIFS(Table14[Debit], Table14[Date], Table15[[#This Row],[Date]], Table14[Party], "Parts")</f>
        <v>0</v>
      </c>
    </row>
    <row r="34" spans="2:10" x14ac:dyDescent="0.25">
      <c r="B34" s="1">
        <v>45978</v>
      </c>
      <c r="C34" t="s">
        <v>116</v>
      </c>
      <c r="D34">
        <f>SUMIFS(Table14[Debit], Table14[Date], Table5[[#This Row],[Date]], Table14[Party], "Rashan")</f>
        <v>0</v>
      </c>
      <c r="H34" s="1">
        <v>45978</v>
      </c>
      <c r="J34">
        <f>SUMIFS(Table14[Debit], Table14[Date], Table15[[#This Row],[Date]], Table14[Party], "Parts")</f>
        <v>0</v>
      </c>
    </row>
    <row r="35" spans="2:10" x14ac:dyDescent="0.25">
      <c r="B35" s="1"/>
      <c r="D35">
        <f>SUM(Table5[Amount])</f>
        <v>0</v>
      </c>
      <c r="H35" s="1"/>
      <c r="J35">
        <f>SUM(Table15[Amount])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2" sqref="G22"/>
    </sheetView>
  </sheetViews>
  <sheetFormatPr defaultRowHeight="15" x14ac:dyDescent="0.25"/>
  <cols>
    <col min="1" max="1" width="16.7109375" customWidth="1"/>
    <col min="2" max="2" width="20.28515625" customWidth="1"/>
    <col min="3" max="3" width="17" customWidth="1"/>
  </cols>
  <sheetData>
    <row r="1" spans="1:3" x14ac:dyDescent="0.25">
      <c r="A1" t="s">
        <v>2</v>
      </c>
      <c r="B1" t="s">
        <v>17</v>
      </c>
      <c r="C1" s="103" t="s">
        <v>18</v>
      </c>
    </row>
    <row r="2" spans="1:3" ht="21" x14ac:dyDescent="0.35">
      <c r="A2" s="105" t="str">
        <f>Billing!Q5</f>
        <v>BSC</v>
      </c>
      <c r="B2" s="108">
        <f ca="1">Billing!AA5</f>
        <v>18411676</v>
      </c>
      <c r="C2" s="106">
        <f ca="1">Billing!AB5</f>
        <v>2030205.8580834009</v>
      </c>
    </row>
    <row r="3" spans="1:3" ht="21" x14ac:dyDescent="0.35">
      <c r="A3" s="105" t="str">
        <f>Billing!Q6</f>
        <v>Ejaz Sahab</v>
      </c>
      <c r="B3" s="108">
        <f ca="1">Billing!AA6</f>
        <v>3163904</v>
      </c>
      <c r="C3" s="106">
        <f ca="1">Billing!AB6</f>
        <v>-171072.06876371615</v>
      </c>
    </row>
    <row r="4" spans="1:3" ht="21" x14ac:dyDescent="0.35">
      <c r="A4" s="105" t="str">
        <f>Billing!Q7</f>
        <v>Arshad</v>
      </c>
      <c r="B4" s="108">
        <f ca="1">Billing!AA7</f>
        <v>4102935</v>
      </c>
      <c r="C4" s="107">
        <f ca="1">Billing!AB7</f>
        <v>409.91587417759001</v>
      </c>
    </row>
    <row r="5" spans="1:3" ht="21" x14ac:dyDescent="0.35">
      <c r="A5" s="105" t="str">
        <f>Billing!Q8</f>
        <v>Shehzad Kamoki</v>
      </c>
      <c r="B5" s="108">
        <f ca="1">Billing!AA8</f>
        <v>1268740</v>
      </c>
      <c r="C5" s="107">
        <f ca="1">Billing!AB8</f>
        <v>530.34403803967871</v>
      </c>
    </row>
    <row r="6" spans="1:3" ht="21" x14ac:dyDescent="0.35">
      <c r="A6" s="105" t="str">
        <f>Billing!Q9</f>
        <v>Sufi Nawaz Sahab</v>
      </c>
      <c r="B6" s="108">
        <f ca="1">Billing!AA9</f>
        <v>10629100</v>
      </c>
      <c r="C6" s="106">
        <f ca="1">Billing!AB9</f>
        <v>609704.47256766632</v>
      </c>
    </row>
    <row r="7" spans="1:3" ht="21" x14ac:dyDescent="0.35">
      <c r="A7" s="105" t="str">
        <f>Billing!Q10</f>
        <v>Sajad Khan</v>
      </c>
      <c r="B7" s="108">
        <f ca="1">Billing!AA10</f>
        <v>5544810</v>
      </c>
      <c r="C7" s="106">
        <f ca="1">Billing!AB10</f>
        <v>918.78566203359514</v>
      </c>
    </row>
    <row r="8" spans="1:3" ht="21" x14ac:dyDescent="0.35">
      <c r="A8" s="105" t="str">
        <f>Billing!Q11</f>
        <v>Raaz Fabrics</v>
      </c>
      <c r="B8" s="108">
        <f ca="1">Billing!AA11</f>
        <v>900000</v>
      </c>
      <c r="C8" s="107">
        <f ca="1">Billing!AB11</f>
        <v>22787.125091441208</v>
      </c>
    </row>
    <row r="9" spans="1:3" ht="21" x14ac:dyDescent="0.35">
      <c r="A9" s="105" t="str">
        <f>Billing!Q12</f>
        <v>Azam</v>
      </c>
      <c r="B9" s="108">
        <f ca="1">Billing!AA12</f>
        <v>1617620</v>
      </c>
      <c r="C9" s="106">
        <f ca="1">Billing!AB12</f>
        <v>327915.84491587454</v>
      </c>
    </row>
    <row r="10" spans="1:3" ht="21" x14ac:dyDescent="0.35">
      <c r="A10" s="105" t="str">
        <f>Billing!Q13</f>
        <v>Ubaidullah</v>
      </c>
      <c r="B10" s="108">
        <f ca="1">Billing!AA13</f>
        <v>630150</v>
      </c>
      <c r="C10" s="106">
        <f ca="1">Billing!AB13</f>
        <v>11124.689100219635</v>
      </c>
    </row>
    <row r="11" spans="1:3" ht="21" x14ac:dyDescent="0.35">
      <c r="A11" s="105" t="str">
        <f>Billing!Q14</f>
        <v>Ashraf Zia</v>
      </c>
      <c r="B11" s="108">
        <f ca="1">Billing!AA14</f>
        <v>0</v>
      </c>
      <c r="C11" s="106">
        <f ca="1">Billing!AB14</f>
        <v>255724.21360643749</v>
      </c>
    </row>
    <row r="12" spans="1:3" ht="21" x14ac:dyDescent="0.35">
      <c r="A12" s="105" t="str">
        <f>Billing!Q15</f>
        <v>Hafiz Qureshi</v>
      </c>
      <c r="B12" s="108">
        <f ca="1">Billing!AA15</f>
        <v>1200000</v>
      </c>
      <c r="C12" s="106">
        <f ca="1">Billing!AB15</f>
        <v>11512.435991221806</v>
      </c>
    </row>
    <row r="13" spans="1:3" ht="21" x14ac:dyDescent="0.35">
      <c r="A13" s="105" t="str">
        <f>Billing!Q16</f>
        <v>Badshah Fabrics</v>
      </c>
      <c r="B13" s="108">
        <f ca="1">Billing!AA16</f>
        <v>4000544</v>
      </c>
      <c r="C13" s="106">
        <f ca="1">Billing!AB16</f>
        <v>175216.79005120741</v>
      </c>
    </row>
    <row r="14" spans="1:3" ht="21" x14ac:dyDescent="0.35">
      <c r="A14" s="105" t="str">
        <f>Billing!Q17</f>
        <v>Reject</v>
      </c>
      <c r="B14" s="108">
        <f ca="1">Billing!AA17</f>
        <v>0</v>
      </c>
      <c r="C14" s="106">
        <f ca="1">Billing!AB17</f>
        <v>0</v>
      </c>
    </row>
    <row r="15" spans="1:3" ht="21" x14ac:dyDescent="0.35">
      <c r="A15" s="105" t="str">
        <f>Billing!Q18</f>
        <v>Amjad 7up</v>
      </c>
      <c r="B15" s="108">
        <f ca="1">Billing!AA18</f>
        <v>480000</v>
      </c>
      <c r="C15" s="107">
        <f ca="1">Billing!AB18</f>
        <v>3851.4996342355735</v>
      </c>
    </row>
    <row r="16" spans="1:3" ht="21" x14ac:dyDescent="0.35">
      <c r="A16" s="105" t="str">
        <f>Billing!Q19</f>
        <v>Hazrat Khan</v>
      </c>
      <c r="B16" s="108">
        <f ca="1">Billing!AA19</f>
        <v>95000</v>
      </c>
      <c r="C16" s="107">
        <f ca="1">Billing!AB19</f>
        <v>-5844.9158741770225</v>
      </c>
    </row>
    <row r="17" spans="1:3" ht="21" x14ac:dyDescent="0.35">
      <c r="A17" s="105" t="str">
        <f>Billing!Q20</f>
        <v>Haseeb Shamsi</v>
      </c>
      <c r="B17" s="108">
        <f ca="1">Billing!AA20</f>
        <v>474200</v>
      </c>
      <c r="C17" s="106">
        <f ca="1">Billing!AB20</f>
        <v>92506.291148500517</v>
      </c>
    </row>
    <row r="18" spans="1:3" ht="21" x14ac:dyDescent="0.35">
      <c r="A18" s="105" t="str">
        <f>Billing!Q21</f>
        <v>Faizan</v>
      </c>
      <c r="B18" s="108">
        <f ca="1">Billing!AA21</f>
        <v>2915571</v>
      </c>
      <c r="C18" s="107">
        <f ca="1">Billing!AB21</f>
        <v>-268441.3365032915</v>
      </c>
    </row>
    <row r="19" spans="1:3" ht="21" x14ac:dyDescent="0.35">
      <c r="A19" s="105" t="str">
        <f>Billing!Q22</f>
        <v>Shafique Ansari</v>
      </c>
      <c r="B19" s="108">
        <f ca="1">Billing!AA22</f>
        <v>835660</v>
      </c>
      <c r="C19" s="107">
        <f ca="1">Billing!AB22</f>
        <v>356.82516459410544</v>
      </c>
    </row>
    <row r="20" spans="1:3" ht="21" x14ac:dyDescent="0.35">
      <c r="A20" s="105" t="str">
        <f>Billing!Q23</f>
        <v>Amjad sohail</v>
      </c>
      <c r="B20" s="108">
        <f ca="1">Billing!AA23</f>
        <v>800000</v>
      </c>
      <c r="C20" s="106">
        <f ca="1">Billing!AB23</f>
        <v>322257.6810534019</v>
      </c>
    </row>
    <row r="21" spans="1:3" ht="18.75" x14ac:dyDescent="0.3">
      <c r="A21" s="81" t="str">
        <f>Billing!Q24</f>
        <v>Salman Zaffar</v>
      </c>
      <c r="B21" s="14">
        <f ca="1">Billing!AA24</f>
        <v>0</v>
      </c>
      <c r="C21" s="94">
        <f ca="1">Billing!AB24</f>
        <v>408318.39795171918</v>
      </c>
    </row>
    <row r="22" spans="1:3" ht="18.75" x14ac:dyDescent="0.3">
      <c r="A22">
        <f>Billing!Q25</f>
        <v>0</v>
      </c>
      <c r="B22" s="14">
        <f ca="1">Billing!AA25</f>
        <v>0</v>
      </c>
      <c r="C22" s="94">
        <f ca="1">Billing!AB25</f>
        <v>0</v>
      </c>
    </row>
    <row r="23" spans="1:3" ht="18.75" x14ac:dyDescent="0.3">
      <c r="A23">
        <f>Billing!Q26</f>
        <v>0</v>
      </c>
      <c r="B23" s="14">
        <f ca="1">Billing!AA26</f>
        <v>0</v>
      </c>
      <c r="C23" s="94">
        <f ca="1">Billing!AB26</f>
        <v>0</v>
      </c>
    </row>
    <row r="24" spans="1:3" ht="18.75" x14ac:dyDescent="0.3">
      <c r="A24">
        <f>Billing!Q27</f>
        <v>0</v>
      </c>
      <c r="B24" s="14">
        <f ca="1">Billing!AA27</f>
        <v>0</v>
      </c>
      <c r="C24" s="94">
        <f ca="1">Billing!AB27</f>
        <v>0</v>
      </c>
    </row>
    <row r="25" spans="1:3" ht="18.75" x14ac:dyDescent="0.3">
      <c r="A25">
        <f>Billing!Q28</f>
        <v>0</v>
      </c>
      <c r="B25" s="14">
        <f ca="1">Billing!AA28</f>
        <v>0</v>
      </c>
      <c r="C25" s="94">
        <f ca="1">Billing!AB28</f>
        <v>0</v>
      </c>
    </row>
    <row r="26" spans="1:3" ht="18.75" x14ac:dyDescent="0.3">
      <c r="A26">
        <f>Billing!Q29</f>
        <v>0</v>
      </c>
      <c r="B26" s="14">
        <f ca="1">Billing!AA29</f>
        <v>0</v>
      </c>
      <c r="C26" s="94">
        <f ca="1">Billing!AB29</f>
        <v>0</v>
      </c>
    </row>
    <row r="27" spans="1:3" ht="18.75" x14ac:dyDescent="0.3">
      <c r="A27">
        <f>Billing!Q30</f>
        <v>0</v>
      </c>
      <c r="B27" s="14">
        <f ca="1">Billing!AA30</f>
        <v>0</v>
      </c>
      <c r="C27" s="94">
        <f ca="1">Billing!AB30</f>
        <v>0</v>
      </c>
    </row>
    <row r="28" spans="1:3" ht="18.75" x14ac:dyDescent="0.3">
      <c r="A28">
        <f>Billing!Q31</f>
        <v>0</v>
      </c>
      <c r="B28" s="14">
        <f ca="1">Billing!AA31</f>
        <v>0</v>
      </c>
      <c r="C28" s="94">
        <f ca="1">Billing!AB31</f>
        <v>0</v>
      </c>
    </row>
  </sheetData>
  <conditionalFormatting sqref="C2:C28">
    <cfRule type="cellIs" dxfId="1" priority="1" operator="lessThan">
      <formula>20000</formula>
    </cfRule>
  </conditionalFormatting>
  <conditionalFormatting sqref="C2:C29">
    <cfRule type="cellIs" dxfId="0"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5" x14ac:dyDescent="0.25"/>
  <cols>
    <col min="1" max="1" width="13.42578125" customWidth="1"/>
    <col min="2" max="2" width="15.7109375" customWidth="1"/>
  </cols>
  <sheetData>
    <row r="1" spans="1:2" x14ac:dyDescent="0.25">
      <c r="A1" t="s">
        <v>171</v>
      </c>
      <c r="B1" t="s">
        <v>69</v>
      </c>
    </row>
    <row r="2" spans="1:2" x14ac:dyDescent="0.25">
      <c r="A2" t="str">
        <f>Billing!Q5</f>
        <v>BSC</v>
      </c>
      <c r="B2" s="10">
        <f>_xlfn.XLOOKUP($A2,[1]Billing!$Q$5:$Q$29,[1]Billing!$AA$5:$AA$29)</f>
        <v>18411676</v>
      </c>
    </row>
    <row r="3" spans="1:2" x14ac:dyDescent="0.25">
      <c r="A3" t="str">
        <f>Billing!Q6</f>
        <v>Ejaz Sahab</v>
      </c>
      <c r="B3" s="10">
        <f>_xlfn.XLOOKUP($A3,[1]Billing!$Q$5:$Q$29,[1]Billing!$AA$5:$AA$29)</f>
        <v>3163904</v>
      </c>
    </row>
    <row r="4" spans="1:2" x14ac:dyDescent="0.25">
      <c r="A4" t="str">
        <f>Billing!Q7</f>
        <v>Arshad</v>
      </c>
      <c r="B4" s="10">
        <f>_xlfn.XLOOKUP($A4,[1]Billing!$Q$5:$Q$29,[1]Billing!$AA$5:$AA$29)</f>
        <v>4102935</v>
      </c>
    </row>
    <row r="5" spans="1:2" x14ac:dyDescent="0.25">
      <c r="A5" t="str">
        <f>Billing!Q8</f>
        <v>Shehzad Kamoki</v>
      </c>
      <c r="B5" s="10">
        <f>_xlfn.XLOOKUP($A5,[1]Billing!$Q$5:$Q$29,[1]Billing!$AA$5:$AA$29)</f>
        <v>1268740</v>
      </c>
    </row>
    <row r="6" spans="1:2" x14ac:dyDescent="0.25">
      <c r="A6" t="str">
        <f>Billing!Q9</f>
        <v>Sufi Nawaz Sahab</v>
      </c>
      <c r="B6" s="10">
        <f>_xlfn.XLOOKUP($A6,[1]Billing!$Q$5:$Q$29,[1]Billing!$AA$5:$AA$29)</f>
        <v>10629100</v>
      </c>
    </row>
    <row r="7" spans="1:2" x14ac:dyDescent="0.25">
      <c r="A7" t="str">
        <f>Billing!Q10</f>
        <v>Sajad Khan</v>
      </c>
      <c r="B7" s="10">
        <f>_xlfn.XLOOKUP($A7,[1]Billing!$Q$5:$Q$29,[1]Billing!$AA$5:$AA$29)</f>
        <v>5544810</v>
      </c>
    </row>
    <row r="8" spans="1:2" x14ac:dyDescent="0.25">
      <c r="A8" t="str">
        <f>Billing!Q11</f>
        <v>Raaz Fabrics</v>
      </c>
      <c r="B8" s="10">
        <f>_xlfn.XLOOKUP($A8,[1]Billing!$Q$5:$Q$29,[1]Billing!$AA$5:$AA$29)</f>
        <v>900000</v>
      </c>
    </row>
    <row r="9" spans="1:2" x14ac:dyDescent="0.25">
      <c r="A9" t="str">
        <f>Billing!Q12</f>
        <v>Azam</v>
      </c>
      <c r="B9" s="10">
        <f>_xlfn.XLOOKUP($A9,[1]Billing!$Q$5:$Q$29,[1]Billing!$AA$5:$AA$29)</f>
        <v>1617620</v>
      </c>
    </row>
    <row r="10" spans="1:2" x14ac:dyDescent="0.25">
      <c r="A10" t="str">
        <f>Billing!Q13</f>
        <v>Ubaidullah</v>
      </c>
      <c r="B10" s="10">
        <f>_xlfn.XLOOKUP($A10,[1]Billing!$Q$5:$Q$29,[1]Billing!$AA$5:$AA$29)</f>
        <v>630150</v>
      </c>
    </row>
    <row r="11" spans="1:2" x14ac:dyDescent="0.25">
      <c r="A11" t="str">
        <f>Billing!Q14</f>
        <v>Ashraf Zia</v>
      </c>
      <c r="B11" s="10">
        <f>_xlfn.XLOOKUP($A11,[1]Billing!$Q$5:$Q$29,[1]Billing!$AA$5:$AA$29)</f>
        <v>0</v>
      </c>
    </row>
    <row r="12" spans="1:2" x14ac:dyDescent="0.25">
      <c r="A12" t="str">
        <f>Billing!Q15</f>
        <v>Hafiz Qureshi</v>
      </c>
      <c r="B12" s="10">
        <f>_xlfn.XLOOKUP($A12,[1]Billing!$Q$5:$Q$29,[1]Billing!$AA$5:$AA$29)</f>
        <v>1200000</v>
      </c>
    </row>
    <row r="13" spans="1:2" x14ac:dyDescent="0.25">
      <c r="A13" t="str">
        <f>Billing!Q16</f>
        <v>Badshah Fabrics</v>
      </c>
      <c r="B13" s="10">
        <f>_xlfn.XLOOKUP($A13,[1]Billing!$Q$5:$Q$29,[1]Billing!$AA$5:$AA$29)</f>
        <v>4000544</v>
      </c>
    </row>
    <row r="14" spans="1:2" x14ac:dyDescent="0.25">
      <c r="A14" t="str">
        <f>Billing!Q17</f>
        <v>Reject</v>
      </c>
      <c r="B14" s="10">
        <f>_xlfn.XLOOKUP($A14,[1]Billing!$Q$5:$Q$29,[1]Billing!$AA$5:$AA$29)</f>
        <v>0</v>
      </c>
    </row>
    <row r="15" spans="1:2" x14ac:dyDescent="0.25">
      <c r="A15" t="str">
        <f>Billing!Q18</f>
        <v>Amjad 7up</v>
      </c>
      <c r="B15" s="10">
        <f>_xlfn.XLOOKUP($A15,[1]Billing!$Q$5:$Q$29,[1]Billing!$AA$5:$AA$29)</f>
        <v>480000</v>
      </c>
    </row>
    <row r="16" spans="1:2" x14ac:dyDescent="0.25">
      <c r="A16" t="str">
        <f>Billing!Q19</f>
        <v>Hazrat Khan</v>
      </c>
      <c r="B16" s="10">
        <f>_xlfn.XLOOKUP($A16,[1]Billing!$Q$5:$Q$29,[1]Billing!$AA$5:$AA$29)</f>
        <v>95000</v>
      </c>
    </row>
    <row r="17" spans="1:2" x14ac:dyDescent="0.25">
      <c r="A17" t="str">
        <f>Billing!Q20</f>
        <v>Haseeb Shamsi</v>
      </c>
      <c r="B17" s="10">
        <f>_xlfn.XLOOKUP($A17,[1]Billing!$Q$5:$Q$29,[1]Billing!$AA$5:$AA$29)</f>
        <v>474200</v>
      </c>
    </row>
    <row r="18" spans="1:2" x14ac:dyDescent="0.25">
      <c r="A18" t="str">
        <f>Billing!Q21</f>
        <v>Faizan</v>
      </c>
      <c r="B18" s="10">
        <f>_xlfn.XLOOKUP($A18,[1]Billing!$Q$5:$Q$29,[1]Billing!$AA$5:$AA$29)</f>
        <v>2915571</v>
      </c>
    </row>
    <row r="19" spans="1:2" x14ac:dyDescent="0.25">
      <c r="A19" t="str">
        <f>Billing!Q22</f>
        <v>Shafique Ansari</v>
      </c>
      <c r="B19" s="127">
        <f>_xlfn.XLOOKUP($A19,[1]Billing!$Q$5:$Q$29,[1]Billing!$AA$5:$AA$29)</f>
        <v>835660</v>
      </c>
    </row>
    <row r="20" spans="1:2" x14ac:dyDescent="0.25">
      <c r="A20" t="str">
        <f>Billing!Q23</f>
        <v>Amjad sohail</v>
      </c>
      <c r="B20" s="127">
        <f>_xlfn.XLOOKUP($A20,[1]Billing!$Q$5:$Q$29,[1]Billing!$AA$5:$AA$29)</f>
        <v>800000</v>
      </c>
    </row>
    <row r="21" spans="1:2" x14ac:dyDescent="0.25">
      <c r="A21" t="str">
        <f>Billing!Q24</f>
        <v>Salman Zaffar</v>
      </c>
      <c r="B21" s="127">
        <f>_xlfn.XLOOKUP($A21,[1]Billing!$Q$5:$Q$29,[1]Billing!$AA$5:$AA$29)</f>
        <v>0</v>
      </c>
    </row>
    <row r="22" spans="1:2" x14ac:dyDescent="0.25">
      <c r="A22">
        <f>Billing!Q25</f>
        <v>0</v>
      </c>
      <c r="B22" s="127"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2025-11-18T22:29:00Z</dcterms:modified>
  <cp:category/>
  <cp:contentStatus/>
</cp:coreProperties>
</file>