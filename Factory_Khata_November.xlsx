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042" documentId="8_{475843C5-500E-4738-B9D9-47939CD7324F}" xr6:coauthVersionLast="47" xr6:coauthVersionMax="47" xr10:uidLastSave="{D2B14B2E-83DA-4F02-9E2A-6EA7F2DFFAB3}"/>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0"/>
    <pivotCache cacheId="14" r:id="rId21"/>
    <pivotCache cacheId="20" r:id="rId22"/>
    <pivotCache cacheId="25" r:id="rId23"/>
    <pivotCache cacheId="29" r:id="rId24"/>
    <pivotCache cacheId="3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3" i="1" l="1"/>
  <c r="J183" i="1" a="1"/>
  <c r="J183" i="1" s="1"/>
  <c r="I184" i="1"/>
  <c r="J184" i="1" a="1"/>
  <c r="J184" i="1"/>
  <c r="I185" i="1"/>
  <c r="J185" i="1" a="1"/>
  <c r="J185" i="1"/>
  <c r="I186" i="1"/>
  <c r="J186" i="1" a="1"/>
  <c r="J186" i="1"/>
  <c r="I187" i="1"/>
  <c r="J187" i="1" a="1"/>
  <c r="J187" i="1" s="1"/>
  <c r="I188" i="1"/>
  <c r="J188" i="1" a="1"/>
  <c r="J188" i="1"/>
  <c r="I189" i="1"/>
  <c r="J189" i="1" a="1"/>
  <c r="J189" i="1"/>
  <c r="I190" i="1"/>
  <c r="J190" i="1" a="1"/>
  <c r="J190" i="1" s="1"/>
  <c r="I191" i="1"/>
  <c r="J191" i="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l="1"/>
  <c r="J168" i="1" a="1"/>
  <c r="J168" i="1" s="1"/>
  <c r="I169" i="1"/>
  <c r="J169" i="1" s="1" a="1"/>
  <c r="J169" i="1" s="1"/>
  <c r="I170" i="1"/>
  <c r="J170" i="1" a="1"/>
  <c r="J170" i="1" s="1"/>
  <c r="I171" i="1"/>
  <c r="J171" i="1" a="1"/>
  <c r="J171" i="1" s="1"/>
  <c r="I172" i="1"/>
  <c r="J172" i="1" s="1" a="1"/>
  <c r="J172" i="1" s="1"/>
  <c r="I173" i="1"/>
  <c r="J173" i="1" s="1" a="1"/>
  <c r="J173" i="1" s="1"/>
  <c r="I174" i="1"/>
  <c r="J174" i="1" a="1"/>
  <c r="J174" i="1" s="1"/>
  <c r="I175" i="1"/>
  <c r="J175" i="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a="1"/>
  <c r="J182" i="1" s="1"/>
  <c r="F173" i="1"/>
  <c r="H30" i="6"/>
  <c r="I30" i="6" s="1"/>
  <c r="H31" i="6"/>
  <c r="I31" i="6" s="1"/>
  <c r="G31" i="6"/>
  <c r="G30" i="6"/>
  <c r="G14" i="7"/>
  <c r="H14" i="7" s="1"/>
  <c r="G29" i="6"/>
  <c r="H28" i="6"/>
  <c r="I28" i="6" s="1"/>
  <c r="H29" i="6"/>
  <c r="I29" i="6" s="1"/>
  <c r="G28" i="6"/>
  <c r="F14" i="15"/>
  <c r="F15" i="15"/>
  <c r="F16" i="15"/>
  <c r="F17" i="15"/>
  <c r="F18" i="15"/>
  <c r="F19" i="15"/>
  <c r="G14" i="15"/>
  <c r="H14" i="15" s="1"/>
  <c r="G15" i="15"/>
  <c r="H15" i="15" s="1"/>
  <c r="G16" i="15"/>
  <c r="H16" i="15" s="1"/>
  <c r="G17" i="15"/>
  <c r="H17" i="15" s="1"/>
  <c r="G18" i="15"/>
  <c r="H18" i="15" s="1"/>
  <c r="G19" i="15"/>
  <c r="H19" i="15" s="1"/>
  <c r="I159" i="1"/>
  <c r="J159" i="1" s="1" a="1"/>
  <c r="J159" i="1" s="1"/>
  <c r="I160" i="1"/>
  <c r="I162" i="1"/>
  <c r="J162" i="1" s="1" a="1"/>
  <c r="J162" i="1" s="1"/>
  <c r="I163" i="1"/>
  <c r="J163" i="1" s="1" a="1"/>
  <c r="J163" i="1" s="1"/>
  <c r="I164" i="1"/>
  <c r="J164" i="1" s="1" a="1"/>
  <c r="J164" i="1" s="1"/>
  <c r="I165" i="1"/>
  <c r="J165" i="1" s="1" a="1"/>
  <c r="J165" i="1" s="1"/>
  <c r="I166" i="1"/>
  <c r="J166" i="1" a="1"/>
  <c r="J166" i="1" s="1"/>
  <c r="I167" i="1"/>
  <c r="J167" i="1" s="1" a="1"/>
  <c r="J167" i="1" s="1"/>
  <c r="G161" i="1"/>
  <c r="I161" i="1" s="1"/>
  <c r="J161" i="1" s="1" a="1"/>
  <c r="J161" i="1" s="1"/>
  <c r="H160" i="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B49" i="9" a="1"/>
  <c r="I83" i="1"/>
  <c r="J83" i="1" s="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s="1" a="1"/>
  <c r="J142" i="1" s="1"/>
  <c r="I143" i="1"/>
  <c r="J143" i="1" a="1"/>
  <c r="J143" i="1" s="1"/>
  <c r="I144" i="1"/>
  <c r="J144" i="1" s="1" a="1"/>
  <c r="J144" i="1" s="1"/>
  <c r="I145" i="1"/>
  <c r="J145" i="1" s="1" a="1"/>
  <c r="J145" i="1" s="1"/>
  <c r="I148" i="1"/>
  <c r="J148" i="1" s="1" a="1"/>
  <c r="J148" i="1" s="1"/>
  <c r="H25" i="6"/>
  <c r="I25" i="6" s="1"/>
  <c r="H26" i="6"/>
  <c r="I26" i="6" s="1"/>
  <c r="H27" i="6"/>
  <c r="I27" i="6" s="1"/>
  <c r="G26" i="6"/>
  <c r="G27" i="6"/>
  <c r="G74" i="9" a="1"/>
  <c r="G74" i="9" s="1"/>
  <c r="G75" i="9" a="1"/>
  <c r="G75" i="9" s="1"/>
  <c r="G76" i="9" a="1"/>
  <c r="G76" i="9" s="1"/>
  <c r="G77" i="9" a="1"/>
  <c r="G77" i="9" s="1"/>
  <c r="G78" i="9" a="1"/>
  <c r="G78" i="9" s="1"/>
  <c r="H74" i="9" a="1"/>
  <c r="H74" i="9" s="1"/>
  <c r="H75" i="9" a="1"/>
  <c r="H75" i="9" s="1"/>
  <c r="H76" i="9" a="1"/>
  <c r="H76" i="9" s="1"/>
  <c r="H77" i="9" a="1"/>
  <c r="H77" i="9" s="1"/>
  <c r="H78" i="9" a="1"/>
  <c r="H78" i="9" s="1"/>
  <c r="I78" i="9" a="1"/>
  <c r="I78" i="9" s="1"/>
  <c r="J78" i="9" a="1"/>
  <c r="J78" i="9" s="1"/>
  <c r="I74" i="9" a="1"/>
  <c r="I74" i="9" s="1"/>
  <c r="I75" i="9" a="1"/>
  <c r="I75" i="9" s="1"/>
  <c r="I76" i="9" a="1"/>
  <c r="I76" i="9" s="1"/>
  <c r="I77" i="9" a="1"/>
  <c r="I77" i="9" s="1"/>
  <c r="J74" i="9" a="1"/>
  <c r="J74" i="9" s="1"/>
  <c r="J75" i="9" a="1"/>
  <c r="J75" i="9" s="1"/>
  <c r="J76" i="9" a="1"/>
  <c r="J76" i="9" s="1"/>
  <c r="J77" i="9" a="1"/>
  <c r="J77" i="9" s="1"/>
  <c r="L74" i="9"/>
  <c r="L75" i="9"/>
  <c r="L76" i="9"/>
  <c r="L77" i="9"/>
  <c r="L78" i="9"/>
  <c r="I131" i="1"/>
  <c r="J131" i="1" s="1" a="1"/>
  <c r="J131" i="1" s="1"/>
  <c r="H24" i="6"/>
  <c r="I24" i="6" s="1"/>
  <c r="G24" i="6"/>
  <c r="G25" i="6"/>
  <c r="C9" i="8"/>
  <c r="G11" i="7"/>
  <c r="H11" i="7" s="1"/>
  <c r="G12" i="7"/>
  <c r="H12" i="7" s="1"/>
  <c r="G13" i="7"/>
  <c r="H13" i="7" s="1"/>
  <c r="H22" i="6"/>
  <c r="I22" i="6" s="1"/>
  <c r="H23" i="6"/>
  <c r="I23" i="6" s="1"/>
  <c r="G22" i="6"/>
  <c r="G23" i="6"/>
  <c r="I128" i="1"/>
  <c r="J128" i="1" s="1" a="1"/>
  <c r="J128" i="1" s="1"/>
  <c r="I129" i="1"/>
  <c r="J129" i="1" a="1"/>
  <c r="J129" i="1" s="1"/>
  <c r="I130" i="1"/>
  <c r="J130" i="1" s="1" a="1"/>
  <c r="J130" i="1" s="1"/>
  <c r="I119" i="1"/>
  <c r="J119" i="1" a="1"/>
  <c r="J119" i="1" s="1"/>
  <c r="I120" i="1"/>
  <c r="J120" i="1" s="1" a="1"/>
  <c r="J120" i="1" s="1"/>
  <c r="I127" i="1"/>
  <c r="J127" i="1" s="1" a="1"/>
  <c r="J127" i="1" s="1"/>
  <c r="I132" i="1"/>
  <c r="J132" i="1" s="1" a="1"/>
  <c r="J132" i="1" s="1"/>
  <c r="I133" i="1"/>
  <c r="J133" i="1" a="1"/>
  <c r="J133" i="1" s="1"/>
  <c r="I134" i="1"/>
  <c r="J134" i="1" s="1" a="1"/>
  <c r="J134" i="1" s="1"/>
  <c r="I135" i="1"/>
  <c r="J135" i="1" s="1" a="1"/>
  <c r="J135" i="1" s="1"/>
  <c r="G10" i="7"/>
  <c r="H10" i="7" s="1"/>
  <c r="G9" i="7"/>
  <c r="H9" i="7" s="1"/>
  <c r="G8" i="7"/>
  <c r="H8" i="7" s="1"/>
  <c r="H21" i="6"/>
  <c r="I21" i="6" s="1"/>
  <c r="H20" i="6"/>
  <c r="I20" i="6" s="1"/>
  <c r="G20" i="6"/>
  <c r="G21" i="6"/>
  <c r="F12" i="15"/>
  <c r="G12" i="15"/>
  <c r="H12" i="15" s="1"/>
  <c r="G13" i="15"/>
  <c r="H13" i="15" s="1"/>
  <c r="F8" i="15"/>
  <c r="G8" i="15"/>
  <c r="I121" i="1"/>
  <c r="J121" i="1" a="1"/>
  <c r="J121" i="1" s="1"/>
  <c r="I122" i="1"/>
  <c r="J122" i="1" s="1" a="1"/>
  <c r="J122" i="1" s="1"/>
  <c r="I123" i="1"/>
  <c r="J123" i="1" s="1" a="1"/>
  <c r="J123" i="1" s="1"/>
  <c r="I124" i="1"/>
  <c r="J124" i="1" s="1" a="1"/>
  <c r="J124" i="1" s="1"/>
  <c r="I125" i="1"/>
  <c r="J125" i="1" s="1" a="1"/>
  <c r="J125" i="1" s="1"/>
  <c r="I126" i="1"/>
  <c r="J126" i="1" s="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a="1"/>
  <c r="J115" i="1" s="1"/>
  <c r="I116" i="1"/>
  <c r="J116" i="1" s="1" a="1"/>
  <c r="J116" i="1" s="1"/>
  <c r="I117" i="1"/>
  <c r="J117" i="1" s="1" a="1"/>
  <c r="J117" i="1" s="1"/>
  <c r="I118" i="1"/>
  <c r="J118" i="1" a="1"/>
  <c r="J118" i="1" s="1"/>
  <c r="I99" i="1"/>
  <c r="J99" i="1" s="1" a="1"/>
  <c r="J99" i="1" s="1"/>
  <c r="I100" i="1"/>
  <c r="J100" i="1" s="1" a="1"/>
  <c r="J100" i="1" s="1"/>
  <c r="I101" i="1"/>
  <c r="J101" i="1" s="1" a="1"/>
  <c r="J101" i="1" s="1"/>
  <c r="I102" i="1"/>
  <c r="J102" i="1" s="1" a="1"/>
  <c r="J102" i="1" s="1"/>
  <c r="I103" i="1"/>
  <c r="J103" i="1" a="1"/>
  <c r="J103" i="1" s="1"/>
  <c r="I104" i="1"/>
  <c r="J104" i="1" s="1" a="1"/>
  <c r="J104" i="1" s="1"/>
  <c r="I105" i="1"/>
  <c r="J105" i="1" a="1"/>
  <c r="J105" i="1" s="1"/>
  <c r="I106" i="1"/>
  <c r="J106" i="1" s="1" a="1"/>
  <c r="J106" i="1" s="1"/>
  <c r="I107" i="1"/>
  <c r="J107" i="1" s="1" a="1"/>
  <c r="J107" i="1" s="1"/>
  <c r="I108" i="1"/>
  <c r="J108" i="1" s="1" a="1"/>
  <c r="J108" i="1" s="1"/>
  <c r="I109" i="1"/>
  <c r="J109" i="1" s="1" a="1"/>
  <c r="J109" i="1" s="1"/>
  <c r="I110" i="1"/>
  <c r="J110" i="1" s="1" a="1"/>
  <c r="J110" i="1" s="1"/>
  <c r="I111" i="1"/>
  <c r="J111" i="1" s="1" a="1"/>
  <c r="J111" i="1" s="1"/>
  <c r="F11" i="15"/>
  <c r="F10"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43" i="7"/>
  <c r="E42" i="7"/>
  <c r="G5" i="7"/>
  <c r="H5" i="7" s="1"/>
  <c r="G4" i="7"/>
  <c r="H4" i="7" s="1"/>
  <c r="G7" i="6"/>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0" i="9" a="1"/>
  <c r="R30" i="9" s="1"/>
  <c r="S30" i="9" a="1"/>
  <c r="S30" i="9" s="1"/>
  <c r="T30" i="9" a="1"/>
  <c r="T30" i="9" s="1"/>
  <c r="U30" i="9" a="1"/>
  <c r="U30" i="9" s="1"/>
  <c r="AA30" i="9"/>
  <c r="B27" i="20" s="1"/>
  <c r="R31" i="9" a="1"/>
  <c r="R31" i="9" s="1"/>
  <c r="S31" i="9" a="1"/>
  <c r="S31" i="9" s="1"/>
  <c r="T31" i="9" a="1"/>
  <c r="T31" i="9" s="1"/>
  <c r="U31" i="9" a="1"/>
  <c r="U31" i="9" s="1"/>
  <c r="AA31" i="9"/>
  <c r="B28" i="20" s="1"/>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20" i="15"/>
  <c r="F6" i="15"/>
  <c r="B84" i="9" a="1"/>
  <c r="B84" i="9" s="1"/>
  <c r="E21" i="7"/>
  <c r="E46" i="7"/>
  <c r="C5" i="8"/>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7" i="20"/>
  <c r="A28" i="20"/>
  <c r="Q5" i="9" a="1"/>
  <c r="A22" i="21" s="1"/>
  <c r="B22"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G57" i="2" s="1"/>
  <c r="H173" i="1" s="1"/>
  <c r="E58" i="2"/>
  <c r="F58" i="2"/>
  <c r="G58" i="2" s="1"/>
  <c r="H174" i="1" s="1"/>
  <c r="F27" i="2"/>
  <c r="E27" i="2"/>
  <c r="E59" i="2"/>
  <c r="F59" i="2"/>
  <c r="H59" i="2" s="1"/>
  <c r="I59" i="2" s="1"/>
  <c r="D59" i="2" s="1"/>
  <c r="F28" i="2"/>
  <c r="H28" i="2" s="1"/>
  <c r="I28" i="2" s="1"/>
  <c r="D28" i="2" s="1"/>
  <c r="E28" i="2"/>
  <c r="E60" i="2"/>
  <c r="F60" i="2"/>
  <c r="E61" i="2"/>
  <c r="F61" i="2"/>
  <c r="H61" i="2"/>
  <c r="I61" i="2"/>
  <c r="D61" i="2" s="1"/>
  <c r="E62" i="2"/>
  <c r="F62" i="2"/>
  <c r="H62" i="2" s="1"/>
  <c r="I62" i="2" s="1"/>
  <c r="D62" i="2" s="1"/>
  <c r="E63" i="2"/>
  <c r="F63" i="2"/>
  <c r="H63" i="2" s="1"/>
  <c r="I63" i="2" s="1"/>
  <c r="D63" i="2" s="1"/>
  <c r="E64" i="2"/>
  <c r="F64" i="2"/>
  <c r="G64" i="2" s="1"/>
  <c r="H64" i="2"/>
  <c r="I64" i="2" s="1"/>
  <c r="D64" i="2" s="1"/>
  <c r="E65" i="2"/>
  <c r="F65" i="2"/>
  <c r="G65" i="2" s="1"/>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H45" i="2" s="1"/>
  <c r="I45" i="2" s="1"/>
  <c r="D45" i="2" s="1"/>
  <c r="E46" i="2"/>
  <c r="F46" i="2"/>
  <c r="H46" i="2" s="1"/>
  <c r="I46" i="2" s="1"/>
  <c r="D46" i="2" s="1"/>
  <c r="E47" i="2"/>
  <c r="F47" i="2"/>
  <c r="G47" i="2" s="1"/>
  <c r="H150" i="1" s="1"/>
  <c r="E48" i="2"/>
  <c r="F48" i="2"/>
  <c r="F20" i="2"/>
  <c r="H20" i="2" s="1"/>
  <c r="I20" i="2" s="1"/>
  <c r="D20" i="2" s="1"/>
  <c r="E20" i="2"/>
  <c r="G20" i="2" s="1"/>
  <c r="H104" i="1" s="1"/>
  <c r="E49" i="2"/>
  <c r="F49" i="2"/>
  <c r="G49" i="2" s="1"/>
  <c r="F21" i="2"/>
  <c r="H21" i="2" s="1"/>
  <c r="I21" i="2" s="1"/>
  <c r="D21" i="2" s="1"/>
  <c r="E21" i="2"/>
  <c r="E50" i="2"/>
  <c r="F50" i="2"/>
  <c r="G50" i="2" s="1"/>
  <c r="H156" i="1" s="1"/>
  <c r="E51" i="2"/>
  <c r="G51" i="2" s="1"/>
  <c r="H157" i="1" s="1"/>
  <c r="F51" i="2"/>
  <c r="H51" i="2"/>
  <c r="I51" i="2" s="1"/>
  <c r="D51" i="2" s="1"/>
  <c r="E52" i="2"/>
  <c r="F52" i="2"/>
  <c r="H52" i="2" s="1"/>
  <c r="I52" i="2" s="1"/>
  <c r="D52" i="2" s="1"/>
  <c r="E53" i="2"/>
  <c r="F53" i="2"/>
  <c r="H53" i="2" s="1"/>
  <c r="I53" i="2" s="1"/>
  <c r="D53" i="2" s="1"/>
  <c r="E54" i="2"/>
  <c r="F54" i="2"/>
  <c r="G54" i="2" s="1"/>
  <c r="F24" i="2"/>
  <c r="H24" i="2"/>
  <c r="I24" i="2" s="1"/>
  <c r="D24" i="2" s="1"/>
  <c r="E24" i="2"/>
  <c r="E55" i="2"/>
  <c r="F55" i="2"/>
  <c r="F25" i="2"/>
  <c r="G25" i="2" s="1"/>
  <c r="H111" i="1"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E6" i="2"/>
  <c r="F5" i="2"/>
  <c r="H5" i="2" s="1"/>
  <c r="I5" i="2" s="1"/>
  <c r="D5" i="2" s="1"/>
  <c r="E5" i="2"/>
  <c r="E34" i="2"/>
  <c r="F34" i="2"/>
  <c r="H34" i="2" s="1"/>
  <c r="I34" i="2" s="1"/>
  <c r="D34" i="2" s="1"/>
  <c r="G34" i="2"/>
  <c r="H131" i="1" s="1"/>
  <c r="F18" i="2"/>
  <c r="H18" i="2" s="1"/>
  <c r="I18" i="2" s="1"/>
  <c r="D18" i="2" s="1"/>
  <c r="E18" i="2"/>
  <c r="E35" i="2"/>
  <c r="F35" i="2"/>
  <c r="H35" i="2" s="1"/>
  <c r="I35" i="2" s="1"/>
  <c r="D35" i="2" s="1"/>
  <c r="E36" i="2"/>
  <c r="F36" i="2"/>
  <c r="G36" i="2" s="1"/>
  <c r="H135" i="1" s="1"/>
  <c r="F22" i="2"/>
  <c r="G22" i="2" s="1"/>
  <c r="H106" i="1" s="1"/>
  <c r="E22" i="2"/>
  <c r="F7" i="2"/>
  <c r="G7" i="2" s="1"/>
  <c r="H83" i="1" s="1"/>
  <c r="E7" i="2"/>
  <c r="E37" i="2"/>
  <c r="F37" i="2"/>
  <c r="H37" i="2" s="1"/>
  <c r="I37" i="2" s="1"/>
  <c r="D37" i="2" s="1"/>
  <c r="E39" i="2"/>
  <c r="F39" i="2"/>
  <c r="G39" i="2" s="1"/>
  <c r="E40" i="2"/>
  <c r="F40" i="2"/>
  <c r="H40" i="2" s="1"/>
  <c r="I40" i="2" s="1"/>
  <c r="D40" i="2" s="1"/>
  <c r="E41" i="2"/>
  <c r="F41" i="2"/>
  <c r="G41" i="2"/>
  <c r="H143" i="1"/>
  <c r="E42" i="2"/>
  <c r="F42" i="2"/>
  <c r="G42" i="2" s="1"/>
  <c r="H144" i="1" s="1"/>
  <c r="E43" i="2"/>
  <c r="F43" i="2"/>
  <c r="H43" i="2" s="1"/>
  <c r="I43" i="2" s="1"/>
  <c r="D43" i="2" s="1"/>
  <c r="E44" i="2"/>
  <c r="F44" i="2"/>
  <c r="H44" i="2" s="1"/>
  <c r="I44" i="2" s="1"/>
  <c r="D44" i="2" s="1"/>
  <c r="F19" i="2"/>
  <c r="H19" i="2"/>
  <c r="I19" i="2" s="1"/>
  <c r="D19" i="2" s="1"/>
  <c r="E19" i="2"/>
  <c r="F38" i="2"/>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G13" i="2" s="1"/>
  <c r="H95" i="1" s="1"/>
  <c r="F23" i="2"/>
  <c r="H23" i="2" s="1"/>
  <c r="I23" i="2" s="1"/>
  <c r="D23" i="2" s="1"/>
  <c r="E23" i="2"/>
  <c r="G23" i="2" s="1"/>
  <c r="F15" i="2"/>
  <c r="H15" i="2"/>
  <c r="I15" i="2" s="1"/>
  <c r="D15" i="2" s="1"/>
  <c r="E15" i="2"/>
  <c r="F16" i="2"/>
  <c r="G16" i="2" s="1"/>
  <c r="H139" i="1" s="1"/>
  <c r="E16" i="2"/>
  <c r="F26" i="2"/>
  <c r="H26" i="2" s="1"/>
  <c r="I26" i="2" s="1"/>
  <c r="D26" i="2" s="1"/>
  <c r="E26" i="2"/>
  <c r="F29" i="2"/>
  <c r="H29" i="2"/>
  <c r="I29" i="2" s="1"/>
  <c r="D29" i="2" s="1"/>
  <c r="E29" i="2"/>
  <c r="G29" i="2" s="1"/>
  <c r="H119" i="1" s="1"/>
  <c r="F30" i="2"/>
  <c r="H30" i="2" s="1"/>
  <c r="I30" i="2" s="1"/>
  <c r="D30" i="2" s="1"/>
  <c r="F31" i="2"/>
  <c r="H31" i="2" s="1"/>
  <c r="I31" i="2" s="1"/>
  <c r="D31" i="2" s="1"/>
  <c r="E31" i="2"/>
  <c r="F32" i="2"/>
  <c r="G32" i="2" s="1"/>
  <c r="F14" i="2"/>
  <c r="H14" i="2" s="1"/>
  <c r="I14" i="2" s="1"/>
  <c r="D14" i="2" s="1"/>
  <c r="E14" i="2"/>
  <c r="E30" i="2"/>
  <c r="E32" i="2"/>
  <c r="N4" i="17"/>
  <c r="F12" i="2"/>
  <c r="E12" i="2"/>
  <c r="F11" i="2"/>
  <c r="E11" i="2"/>
  <c r="E17" i="2"/>
  <c r="G17" i="2" s="1"/>
  <c r="H101" i="1" s="1"/>
  <c r="F17" i="2"/>
  <c r="H17" i="2" s="1"/>
  <c r="I17" i="2" s="1"/>
  <c r="D17" i="2" s="1"/>
  <c r="F9" i="2"/>
  <c r="E9" i="2"/>
  <c r="E8" i="2"/>
  <c r="F8" i="2"/>
  <c r="H8" i="2" s="1"/>
  <c r="I8" i="2" s="1"/>
  <c r="D8" i="2" s="1"/>
  <c r="E10" i="2"/>
  <c r="E4" i="2"/>
  <c r="C8" i="8"/>
  <c r="F10" i="2"/>
  <c r="G10" i="2" s="1"/>
  <c r="H90" i="1" s="1"/>
  <c r="H10" i="2"/>
  <c r="I10" i="2" s="1"/>
  <c r="D10" i="2" s="1"/>
  <c r="F4" i="2"/>
  <c r="G4" i="2" s="1"/>
  <c r="N3" i="7"/>
  <c r="N5" i="7"/>
  <c r="E6" i="11"/>
  <c r="D6" i="11"/>
  <c r="F3" i="2"/>
  <c r="J15" i="14"/>
  <c r="H92" i="2"/>
  <c r="I92" i="2"/>
  <c r="D92" i="2"/>
  <c r="G76" i="2"/>
  <c r="G88" i="2"/>
  <c r="G81" i="2"/>
  <c r="G72" i="2"/>
  <c r="G87" i="2"/>
  <c r="H94" i="2"/>
  <c r="I94" i="2"/>
  <c r="D94" i="2"/>
  <c r="G91" i="2"/>
  <c r="G90" i="2"/>
  <c r="H89" i="2"/>
  <c r="I89" i="2"/>
  <c r="D89" i="2"/>
  <c r="E15" i="7"/>
  <c r="G83" i="2"/>
  <c r="G80" i="2"/>
  <c r="H98" i="2"/>
  <c r="I98" i="2"/>
  <c r="D98" i="2"/>
  <c r="H93" i="2"/>
  <c r="I93" i="2"/>
  <c r="D93" i="2"/>
  <c r="G85" i="2"/>
  <c r="H88" i="2"/>
  <c r="I88" i="2"/>
  <c r="D88" i="2"/>
  <c r="H95" i="2"/>
  <c r="I95" i="2"/>
  <c r="D95" i="2"/>
  <c r="G84" i="2"/>
  <c r="H97" i="2"/>
  <c r="I97" i="2"/>
  <c r="D97" i="2"/>
  <c r="H72" i="2"/>
  <c r="I72" i="2"/>
  <c r="D72" i="2"/>
  <c r="G86" i="2"/>
  <c r="G77" i="2"/>
  <c r="G75" i="2"/>
  <c r="G74" i="2"/>
  <c r="G82" i="2"/>
  <c r="G78" i="2"/>
  <c r="H85" i="2"/>
  <c r="I85" i="2"/>
  <c r="D85" i="2"/>
  <c r="G79" i="2"/>
  <c r="H82" i="2"/>
  <c r="I82" i="2"/>
  <c r="D82" i="2"/>
  <c r="H74" i="2"/>
  <c r="I74" i="2"/>
  <c r="D74" i="2"/>
  <c r="H81" i="2"/>
  <c r="I81" i="2"/>
  <c r="D81" i="2"/>
  <c r="H76" i="2"/>
  <c r="I76" i="2"/>
  <c r="D76" i="2"/>
  <c r="G73" i="2"/>
  <c r="H65" i="2"/>
  <c r="I65" i="2"/>
  <c r="D65" i="2" s="1"/>
  <c r="B2" i="2"/>
  <c r="C314" i="17"/>
  <c r="K4" i="17" s="1"/>
  <c r="C16" i="10"/>
  <c r="J30" i="15"/>
  <c r="G67" i="2"/>
  <c r="G71" i="2"/>
  <c r="G66" i="2"/>
  <c r="G69" i="2"/>
  <c r="G68" i="2"/>
  <c r="G70" i="2"/>
  <c r="G62" i="2"/>
  <c r="H60" i="2"/>
  <c r="I60" i="2"/>
  <c r="D60" i="2" s="1"/>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N6" i="17" s="1"/>
  <c r="D2"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H55" i="2"/>
  <c r="I55" i="2"/>
  <c r="D55" i="2" s="1"/>
  <c r="G56" i="2"/>
  <c r="H177" i="1" s="1"/>
  <c r="G53" i="2"/>
  <c r="H170" i="1" s="1"/>
  <c r="G9" i="2"/>
  <c r="H89" i="1" s="1"/>
  <c r="G21" i="2"/>
  <c r="H105" i="1" s="1"/>
  <c r="H41" i="2"/>
  <c r="I41" i="2" s="1"/>
  <c r="D41" i="2" s="1"/>
  <c r="H54" i="2"/>
  <c r="I54" i="2" s="1"/>
  <c r="D54" i="2" s="1"/>
  <c r="H22" i="2"/>
  <c r="I22" i="2" s="1"/>
  <c r="D22" i="2" s="1"/>
  <c r="G24" i="2"/>
  <c r="H110" i="1" s="1"/>
  <c r="H36" i="2"/>
  <c r="I36" i="2" s="1"/>
  <c r="D36" i="2" s="1"/>
  <c r="G15" i="2"/>
  <c r="H97" i="1" s="1"/>
  <c r="G33" i="2"/>
  <c r="H125" i="1" s="1"/>
  <c r="H48" i="2"/>
  <c r="I48" i="2"/>
  <c r="D48" i="2" s="1"/>
  <c r="G46" i="2"/>
  <c r="H149" i="1" s="1"/>
  <c r="G30" i="2"/>
  <c r="H171" i="1" s="1"/>
  <c r="G40" i="2"/>
  <c r="H142" i="1" s="1"/>
  <c r="G44" i="2"/>
  <c r="H163" i="1"/>
  <c r="G5" i="2"/>
  <c r="H98" i="1"/>
  <c r="H16" i="2"/>
  <c r="I16" i="2"/>
  <c r="D16" i="2" s="1"/>
  <c r="H9" i="2"/>
  <c r="I9" i="2"/>
  <c r="D9" i="2" s="1"/>
  <c r="G38" i="2"/>
  <c r="H164" i="1" s="1"/>
  <c r="H12" i="2"/>
  <c r="I12" i="2"/>
  <c r="D12" i="2" s="1"/>
  <c r="G35" i="2"/>
  <c r="H134" i="1" s="1"/>
  <c r="X28" i="9" a="1"/>
  <c r="X28" i="9" s="1"/>
  <c r="L70" i="9"/>
  <c r="H120" i="1"/>
  <c r="H146" i="1"/>
  <c r="H153" i="1"/>
  <c r="C2" i="2"/>
  <c r="H186" i="1" l="1"/>
  <c r="H189" i="1"/>
  <c r="H128" i="1"/>
  <c r="H184" i="1"/>
  <c r="H188" i="1"/>
  <c r="H138" i="1"/>
  <c r="G52" i="2"/>
  <c r="H158" i="1" s="1"/>
  <c r="G59" i="2"/>
  <c r="H25" i="2"/>
  <c r="I25" i="2" s="1"/>
  <c r="D25" i="2" s="1"/>
  <c r="G18" i="2"/>
  <c r="H102" i="1" s="1"/>
  <c r="H112" i="1"/>
  <c r="H137" i="1"/>
  <c r="H50" i="2"/>
  <c r="I50" i="2" s="1"/>
  <c r="D50" i="2" s="1"/>
  <c r="H108" i="1"/>
  <c r="G63" i="2"/>
  <c r="H185" i="1" s="1"/>
  <c r="H4" i="2"/>
  <c r="I4" i="2" s="1"/>
  <c r="D4" i="2" s="1"/>
  <c r="H7" i="2"/>
  <c r="I7" i="2" s="1"/>
  <c r="D7" i="2" s="1"/>
  <c r="G55" i="2"/>
  <c r="H169" i="1" s="1"/>
  <c r="G48" i="2"/>
  <c r="H151" i="1" s="1"/>
  <c r="G27" i="2"/>
  <c r="H116" i="1" s="1"/>
  <c r="G19" i="2"/>
  <c r="H103" i="1" s="1"/>
  <c r="G61" i="2"/>
  <c r="H183" i="1" s="1"/>
  <c r="G12" i="2"/>
  <c r="H93" i="1" s="1"/>
  <c r="H133" i="1"/>
  <c r="H58" i="2"/>
  <c r="I58" i="2" s="1"/>
  <c r="D58" i="2" s="1"/>
  <c r="G26" i="2"/>
  <c r="H115" i="1" s="1"/>
  <c r="G60" i="2"/>
  <c r="G11" i="2"/>
  <c r="H127" i="1"/>
  <c r="H167" i="1"/>
  <c r="G31" i="2"/>
  <c r="G8" i="2"/>
  <c r="H86" i="1" s="1"/>
  <c r="G6" i="2"/>
  <c r="N5" i="17"/>
  <c r="N7" i="17" s="1"/>
  <c r="P7" i="17" s="1"/>
  <c r="G41" i="6"/>
  <c r="K6" i="6"/>
  <c r="C4" i="8" s="1"/>
  <c r="C12" i="10"/>
  <c r="D314" i="17"/>
  <c r="K5" i="17" s="1"/>
  <c r="K6" i="17" s="1"/>
  <c r="T28" i="9" a="1"/>
  <c r="T28" i="9" s="1"/>
  <c r="I73" i="9" a="1"/>
  <c r="I73" i="9" s="1"/>
  <c r="R29" i="9" a="1"/>
  <c r="R29" i="9" s="1"/>
  <c r="X29" i="9" a="1"/>
  <c r="X29" i="9" s="1"/>
  <c r="S29" i="9" a="1"/>
  <c r="S29" i="9" s="1"/>
  <c r="T29" i="9" a="1"/>
  <c r="T29" i="9" s="1"/>
  <c r="V29" i="9" a="1"/>
  <c r="V29" i="9" s="1"/>
  <c r="J73" i="9" a="1"/>
  <c r="J73" i="9" s="1"/>
  <c r="U29" i="9" a="1"/>
  <c r="U29" i="9" s="1"/>
  <c r="Y29" i="9" a="1"/>
  <c r="Y29" i="9" s="1"/>
  <c r="H73" i="9" a="1"/>
  <c r="H73" i="9" s="1"/>
  <c r="H168" i="1"/>
  <c r="H166" i="1"/>
  <c r="H121" i="1"/>
  <c r="H148" i="1"/>
  <c r="H176" i="1"/>
  <c r="H126" i="1"/>
  <c r="H124" i="1"/>
  <c r="H92" i="1"/>
  <c r="H172" i="1"/>
  <c r="H165" i="1"/>
  <c r="H179" i="1"/>
  <c r="H182" i="1"/>
  <c r="H113" i="1"/>
  <c r="H107" i="1"/>
  <c r="H94" i="1"/>
  <c r="H91" i="1"/>
  <c r="H141" i="1"/>
  <c r="H140" i="1"/>
  <c r="H155" i="1"/>
  <c r="H161" i="1"/>
  <c r="H82" i="1"/>
  <c r="H84" i="1"/>
  <c r="H132" i="1"/>
  <c r="H49" i="2"/>
  <c r="I49" i="2" s="1"/>
  <c r="D49" i="2" s="1"/>
  <c r="H162" i="1"/>
  <c r="H11" i="2"/>
  <c r="I11" i="2" s="1"/>
  <c r="H47" i="2"/>
  <c r="I47" i="2" s="1"/>
  <c r="D47" i="2" s="1"/>
  <c r="H32" i="2"/>
  <c r="I32" i="2" s="1"/>
  <c r="D32" i="2" s="1"/>
  <c r="H39" i="2"/>
  <c r="I39" i="2" s="1"/>
  <c r="D39" i="2" s="1"/>
  <c r="H27" i="2"/>
  <c r="I27" i="2" s="1"/>
  <c r="D27" i="2" s="1"/>
  <c r="H159" i="1"/>
  <c r="G28" i="2"/>
  <c r="H180" i="1"/>
  <c r="G43" i="2"/>
  <c r="H145" i="1" s="1"/>
  <c r="G37" i="2"/>
  <c r="H136" i="1" s="1"/>
  <c r="H117" i="1"/>
  <c r="H99" i="1"/>
  <c r="H130" i="1"/>
  <c r="H109" i="1"/>
  <c r="G14" i="2"/>
  <c r="G45" i="2"/>
  <c r="H6" i="2"/>
  <c r="I6" i="2" s="1"/>
  <c r="D6" i="2" s="1"/>
  <c r="H42" i="2"/>
  <c r="I42" i="2" s="1"/>
  <c r="D42" i="2" s="1"/>
  <c r="H57" i="2"/>
  <c r="I57" i="2" s="1"/>
  <c r="D57" i="2" s="1"/>
  <c r="A26" i="20"/>
  <c r="L73" i="9"/>
  <c r="G73" i="9" a="1"/>
  <c r="G73" i="9" s="1"/>
  <c r="AA29" i="9"/>
  <c r="B26" i="20" s="1"/>
  <c r="W29" i="9" a="1"/>
  <c r="W29" i="9" s="1"/>
  <c r="I37" i="12"/>
  <c r="C43" i="12"/>
  <c r="E38" i="18"/>
  <c r="I41" i="6"/>
  <c r="D38" i="18"/>
  <c r="J37" i="14"/>
  <c r="C12" i="8" s="1"/>
  <c r="H41" i="6"/>
  <c r="D37" i="14"/>
  <c r="C10" i="8" s="1"/>
  <c r="H20" i="15"/>
  <c r="H15" i="7"/>
  <c r="G20" i="15"/>
  <c r="U28" i="9" a="1"/>
  <c r="U28" i="9" s="1"/>
  <c r="L94" i="9"/>
  <c r="AA15" i="9" s="1"/>
  <c r="B12" i="20" s="1"/>
  <c r="S28" i="9" a="1"/>
  <c r="S28" i="9" s="1"/>
  <c r="I100" i="9"/>
  <c r="X21" i="9" s="1" a="1"/>
  <c r="X21" i="9" s="1"/>
  <c r="B18" i="9"/>
  <c r="E18" i="9" s="1"/>
  <c r="I192" i="1" a="1"/>
  <c r="I192" i="1" s="1"/>
  <c r="I64" i="9" a="1"/>
  <c r="I64" i="9" s="1"/>
  <c r="L85" i="9"/>
  <c r="AA6" i="9" s="1"/>
  <c r="B3" i="20" s="1"/>
  <c r="B8" i="9"/>
  <c r="C8" i="9" s="1"/>
  <c r="S27" i="9" a="1"/>
  <c r="S27" i="9" s="1"/>
  <c r="X25" i="9" a="1"/>
  <c r="X25" i="9" s="1"/>
  <c r="J102" i="9"/>
  <c r="Y23" i="9" s="1" a="1"/>
  <c r="Y23" i="9" s="1"/>
  <c r="H88" i="9"/>
  <c r="W9" i="9" s="1" a="1"/>
  <c r="W9" i="9" s="1"/>
  <c r="C94" i="9"/>
  <c r="R15" i="9" s="1" a="1"/>
  <c r="R15" i="9" s="1"/>
  <c r="V28" i="9" a="1"/>
  <c r="V28" i="9" s="1"/>
  <c r="C100" i="9"/>
  <c r="R21" i="9" s="1" a="1"/>
  <c r="R21" i="9" s="1"/>
  <c r="H52" i="9" a="1"/>
  <c r="H52" i="9" s="1"/>
  <c r="I90" i="9"/>
  <c r="X11" i="9" s="1" a="1"/>
  <c r="X11" i="9" s="1"/>
  <c r="L65" i="9"/>
  <c r="L53" i="9"/>
  <c r="J60" i="9" a="1"/>
  <c r="J60" i="9" s="1"/>
  <c r="X26" i="9" a="1"/>
  <c r="X26" i="9" s="1"/>
  <c r="J66" i="9" a="1"/>
  <c r="J66" i="9" s="1"/>
  <c r="G50" i="9" a="1"/>
  <c r="G50" i="9" s="1"/>
  <c r="J71" i="9" a="1"/>
  <c r="J71" i="9" s="1"/>
  <c r="L93" i="9"/>
  <c r="AA14" i="9" s="1"/>
  <c r="B11" i="20" s="1"/>
  <c r="H87" i="9"/>
  <c r="W8" i="9" s="1" a="1"/>
  <c r="W8" i="9" s="1"/>
  <c r="D98" i="9"/>
  <c r="S19" i="9" s="1" a="1"/>
  <c r="S19" i="9" s="1"/>
  <c r="A15" i="21"/>
  <c r="B15" i="21" s="1"/>
  <c r="I60" i="9" a="1"/>
  <c r="I60" i="9" s="1"/>
  <c r="J53" i="9" a="1"/>
  <c r="J53" i="9" s="1"/>
  <c r="Y26" i="9" a="1"/>
  <c r="Y26" i="9" s="1"/>
  <c r="F86" i="9"/>
  <c r="U7" i="9" s="1" a="1"/>
  <c r="U7" i="9" s="1"/>
  <c r="I71" i="9" a="1"/>
  <c r="I71" i="9" s="1"/>
  <c r="G102" i="9"/>
  <c r="V23" i="9" s="1" a="1"/>
  <c r="V23" i="9" s="1"/>
  <c r="F94" i="9"/>
  <c r="U15" i="9" s="1" a="1"/>
  <c r="U15" i="9" s="1"/>
  <c r="C87" i="9"/>
  <c r="R8" i="9" s="1" a="1"/>
  <c r="R8" i="9" s="1"/>
  <c r="I54" i="9" a="1"/>
  <c r="I54" i="9" s="1"/>
  <c r="B14" i="9"/>
  <c r="C14" i="9" s="1"/>
  <c r="G63" i="9" a="1"/>
  <c r="G63" i="9" s="1"/>
  <c r="I58" i="9" a="1"/>
  <c r="I58" i="9" s="1"/>
  <c r="I59" i="9" a="1"/>
  <c r="I59" i="9" s="1"/>
  <c r="I69" i="9" a="1"/>
  <c r="I69" i="9" s="1"/>
  <c r="G85" i="9"/>
  <c r="V6" i="9" s="1" a="1"/>
  <c r="V6" i="9" s="1"/>
  <c r="L90" i="9"/>
  <c r="AA11" i="9" s="1"/>
  <c r="B8" i="20" s="1"/>
  <c r="G91" i="9"/>
  <c r="L88" i="9"/>
  <c r="H98" i="9"/>
  <c r="W19" i="9" s="1" a="1"/>
  <c r="W19" i="9" s="1"/>
  <c r="C95" i="9"/>
  <c r="R16" i="9" s="1" a="1"/>
  <c r="R16" i="9" s="1"/>
  <c r="B16" i="9"/>
  <c r="E16" i="9" s="1"/>
  <c r="L51" i="9"/>
  <c r="G93" i="9"/>
  <c r="V14" i="9" s="1" a="1"/>
  <c r="V14" i="9" s="1"/>
  <c r="E90" i="9"/>
  <c r="T11" i="9" s="1" a="1"/>
  <c r="T11" i="9" s="1"/>
  <c r="J68" i="9" a="1"/>
  <c r="J68" i="9" s="1"/>
  <c r="H102" i="9"/>
  <c r="W23" i="9" s="1" a="1"/>
  <c r="W23" i="9" s="1"/>
  <c r="D93" i="9"/>
  <c r="S14" i="9" s="1" a="1"/>
  <c r="S14" i="9" s="1"/>
  <c r="J57" i="9" a="1"/>
  <c r="J57" i="9" s="1"/>
  <c r="L87" i="9"/>
  <c r="AA8" i="9" s="1"/>
  <c r="B5" i="20" s="1"/>
  <c r="L98" i="9"/>
  <c r="AA19" i="9" s="1"/>
  <c r="B16" i="20" s="1"/>
  <c r="I95" i="9"/>
  <c r="X16" i="9" s="1" a="1"/>
  <c r="X16" i="9" s="1"/>
  <c r="I86" i="9"/>
  <c r="X7" i="9" s="1" a="1"/>
  <c r="X7" i="9" s="1"/>
  <c r="J92" i="9"/>
  <c r="Y13" i="9" s="1" a="1"/>
  <c r="Y13" i="9" s="1"/>
  <c r="I97" i="9"/>
  <c r="X18" i="9" s="1" a="1"/>
  <c r="X18" i="9" s="1"/>
  <c r="H55" i="9" a="1"/>
  <c r="H55" i="9" s="1"/>
  <c r="J95" i="9"/>
  <c r="Y16" i="9" s="1" a="1"/>
  <c r="Y16" i="9" s="1"/>
  <c r="B11" i="9"/>
  <c r="C11" i="9" s="1"/>
  <c r="I91" i="9"/>
  <c r="X12" i="9" s="1" a="1"/>
  <c r="X12" i="9" s="1"/>
  <c r="L59" i="9"/>
  <c r="J55" i="9" a="1"/>
  <c r="J55" i="9" s="1"/>
  <c r="C93" i="9"/>
  <c r="R14" i="9" s="1" a="1"/>
  <c r="R14" i="9" s="1"/>
  <c r="I92" i="9"/>
  <c r="X13" i="9" s="1" a="1"/>
  <c r="X13" i="9" s="1"/>
  <c r="C89" i="9"/>
  <c r="R10" i="9" s="1" a="1"/>
  <c r="R10" i="9" s="1"/>
  <c r="L100" i="9"/>
  <c r="AA21" i="9" s="1"/>
  <c r="B18" i="20" s="1"/>
  <c r="J97" i="9"/>
  <c r="Y18" i="9" s="1" a="1"/>
  <c r="Y18" i="9" s="1"/>
  <c r="B7" i="9"/>
  <c r="C7" i="9" s="1"/>
  <c r="Y27" i="9" a="1"/>
  <c r="Y27" i="9" s="1"/>
  <c r="D99" i="9"/>
  <c r="S20" i="9" s="1" a="1"/>
  <c r="S20" i="9" s="1"/>
  <c r="H85" i="9"/>
  <c r="W6" i="9" s="1" a="1"/>
  <c r="W6" i="9" s="1"/>
  <c r="J52" i="9" a="1"/>
  <c r="J52" i="9" s="1"/>
  <c r="H94" i="9"/>
  <c r="W15" i="9" s="1" a="1"/>
  <c r="W15" i="9" s="1"/>
  <c r="D87" i="9"/>
  <c r="S8" i="9" s="1" a="1"/>
  <c r="S8" i="9" s="1"/>
  <c r="I88" i="9"/>
  <c r="X9" i="9" s="1" a="1"/>
  <c r="X9" i="9" s="1"/>
  <c r="L68" i="9"/>
  <c r="G68" i="9" a="1"/>
  <c r="G68" i="9" s="1"/>
  <c r="J62" i="9" a="1"/>
  <c r="J62" i="9" s="1"/>
  <c r="J59" i="9" a="1"/>
  <c r="J59" i="9" s="1"/>
  <c r="L97" i="9"/>
  <c r="AA18" i="9" s="1"/>
  <c r="B15" i="20" s="1"/>
  <c r="H89" i="9"/>
  <c r="W10" i="9" s="1" a="1"/>
  <c r="W10" i="9" s="1"/>
  <c r="J85" i="9"/>
  <c r="Y6" i="9" s="1" a="1"/>
  <c r="Y6" i="9" s="1"/>
  <c r="I52" i="9" a="1"/>
  <c r="I52" i="9" s="1"/>
  <c r="I72" i="9" a="1"/>
  <c r="I72" i="9" s="1"/>
  <c r="I61" i="9" a="1"/>
  <c r="I61" i="9" s="1"/>
  <c r="E96" i="9"/>
  <c r="T17" i="9" s="1" a="1"/>
  <c r="T17" i="9" s="1"/>
  <c r="D85" i="9"/>
  <c r="S6" i="9" s="1" a="1"/>
  <c r="S6" i="9" s="1"/>
  <c r="I87" i="9"/>
  <c r="X8" i="9" s="1" a="1"/>
  <c r="X8" i="9" s="1"/>
  <c r="Y25" i="9" a="1"/>
  <c r="Y25" i="9" s="1"/>
  <c r="I51" i="9" a="1"/>
  <c r="I51" i="9" s="1"/>
  <c r="L103" i="9"/>
  <c r="AA24" i="9" s="1"/>
  <c r="B21" i="20" s="1"/>
  <c r="I89" i="9"/>
  <c r="X10" i="9" s="1" a="1"/>
  <c r="X10" i="9" s="1"/>
  <c r="R26" i="9" a="1"/>
  <c r="R26" i="9" s="1"/>
  <c r="F85" i="9"/>
  <c r="U6" i="9" s="1" a="1"/>
  <c r="U6" i="9" s="1"/>
  <c r="F99" i="9"/>
  <c r="U20" i="9" s="1" a="1"/>
  <c r="U20" i="9" s="1"/>
  <c r="E97" i="9"/>
  <c r="T18" i="9" s="1" a="1"/>
  <c r="T18" i="9" s="1"/>
  <c r="I68" i="9" a="1"/>
  <c r="I68" i="9" s="1"/>
  <c r="D90" i="9"/>
  <c r="S11" i="9" s="1" a="1"/>
  <c r="S11" i="9" s="1"/>
  <c r="S25" i="9" a="1"/>
  <c r="S25" i="9" s="1"/>
  <c r="J86" i="9"/>
  <c r="Y7" i="9" s="1" a="1"/>
  <c r="Y7" i="9" s="1"/>
  <c r="B49" i="9"/>
  <c r="D84" i="9" s="1"/>
  <c r="G62" i="9" a="1"/>
  <c r="G62" i="9" s="1"/>
  <c r="J90" i="9"/>
  <c r="Y11" i="9" s="1" a="1"/>
  <c r="Y11" i="9" s="1"/>
  <c r="D102" i="9"/>
  <c r="S23" i="9" s="1" a="1"/>
  <c r="S23" i="9" s="1"/>
  <c r="J99" i="9"/>
  <c r="Y20" i="9" s="1" a="1"/>
  <c r="Y20" i="9" s="1"/>
  <c r="J72" i="9" a="1"/>
  <c r="J72" i="9" s="1"/>
  <c r="H58" i="9" a="1"/>
  <c r="H58" i="9" s="1"/>
  <c r="C104" i="9"/>
  <c r="R25" i="9" s="1" a="1"/>
  <c r="R25" i="9" s="1"/>
  <c r="J94" i="9"/>
  <c r="Y15" i="9" s="1" a="1"/>
  <c r="Y15" i="9" s="1"/>
  <c r="L66" i="9"/>
  <c r="T27" i="9" a="1"/>
  <c r="T27" i="9" s="1"/>
  <c r="B15" i="9"/>
  <c r="C15" i="9" s="1"/>
  <c r="D92" i="9"/>
  <c r="S13" i="9" s="1" a="1"/>
  <c r="S13" i="9" s="1"/>
  <c r="F103" i="9"/>
  <c r="U24" i="9" s="1" a="1"/>
  <c r="U24" i="9" s="1"/>
  <c r="B4" i="9"/>
  <c r="E4" i="9" s="1"/>
  <c r="H100" i="9"/>
  <c r="W21" i="9" s="1" a="1"/>
  <c r="W21" i="9" s="1"/>
  <c r="L67" i="9"/>
  <c r="L54" i="9"/>
  <c r="G64" i="9" a="1"/>
  <c r="G64" i="9" s="1"/>
  <c r="I57" i="9" a="1"/>
  <c r="I57" i="9" s="1"/>
  <c r="E87" i="9"/>
  <c r="T8" i="9" s="1" a="1"/>
  <c r="T8" i="9" s="1"/>
  <c r="E93" i="9"/>
  <c r="T14" i="9" s="1" a="1"/>
  <c r="T14" i="9" s="1"/>
  <c r="D101" i="9"/>
  <c r="S22" i="9" s="1" a="1"/>
  <c r="S22" i="9" s="1"/>
  <c r="D91" i="9"/>
  <c r="S12" i="9" s="1" a="1"/>
  <c r="S12" i="9" s="1"/>
  <c r="J58" i="9" a="1"/>
  <c r="J58" i="9" s="1"/>
  <c r="L62" i="9"/>
  <c r="F96" i="9"/>
  <c r="U17" i="9" s="1" a="1"/>
  <c r="U17" i="9" s="1"/>
  <c r="D95" i="9"/>
  <c r="S16" i="9" s="1" a="1"/>
  <c r="S16" i="9" s="1"/>
  <c r="I99" i="9"/>
  <c r="X20" i="9" s="1" a="1"/>
  <c r="X20" i="9" s="1"/>
  <c r="U26" i="9" a="1"/>
  <c r="U26" i="9" s="1"/>
  <c r="C90" i="9"/>
  <c r="R11" i="9" s="1" a="1"/>
  <c r="R11" i="9" s="1"/>
  <c r="C97" i="9"/>
  <c r="R18" i="9" s="1" a="1"/>
  <c r="R18" i="9" s="1"/>
  <c r="D88" i="9"/>
  <c r="S9" i="9" s="1" a="1"/>
  <c r="S9" i="9" s="1"/>
  <c r="J65" i="9" a="1"/>
  <c r="J65" i="9" s="1"/>
  <c r="F92" i="9"/>
  <c r="U13" i="9" s="1" a="1"/>
  <c r="U13" i="9" s="1"/>
  <c r="J50" i="9" a="1"/>
  <c r="J50" i="9" s="1"/>
  <c r="I55" i="9" a="1"/>
  <c r="I55" i="9" s="1"/>
  <c r="E102" i="9"/>
  <c r="T23" i="9" s="1" a="1"/>
  <c r="T23" i="9" s="1"/>
  <c r="B6" i="9"/>
  <c r="C6" i="9" s="1"/>
  <c r="J63" i="9" a="1"/>
  <c r="J63" i="9" s="1"/>
  <c r="I63" i="9" a="1"/>
  <c r="I63" i="9" s="1"/>
  <c r="G92" i="9"/>
  <c r="V13" i="9" s="1" a="1"/>
  <c r="V13" i="9" s="1"/>
  <c r="J103" i="9"/>
  <c r="Y24" i="9" s="1" a="1"/>
  <c r="Y24" i="9" s="1"/>
  <c r="G52" i="9" a="1"/>
  <c r="G52" i="9" s="1"/>
  <c r="C101" i="9"/>
  <c r="R22" i="9" s="1" a="1"/>
  <c r="R22" i="9" s="1"/>
  <c r="G66" i="9" a="1"/>
  <c r="G66" i="9" s="1"/>
  <c r="H62" i="9" a="1"/>
  <c r="H62" i="9" s="1"/>
  <c r="I67" i="9" a="1"/>
  <c r="I67" i="9" s="1"/>
  <c r="L55" i="9"/>
  <c r="L72" i="9"/>
  <c r="F97" i="9"/>
  <c r="U18" i="9" s="1" a="1"/>
  <c r="U18" i="9" s="1"/>
  <c r="V27" i="9" a="1"/>
  <c r="V27" i="9" s="1"/>
  <c r="L63" i="9"/>
  <c r="H90" i="9"/>
  <c r="W11" i="9" s="1" a="1"/>
  <c r="W11" i="9" s="1"/>
  <c r="A13" i="20"/>
  <c r="G86" i="9"/>
  <c r="V7" i="9" s="1" a="1"/>
  <c r="V7" i="9" s="1"/>
  <c r="G97" i="9"/>
  <c r="V18" i="9" s="1" a="1"/>
  <c r="V18" i="9" s="1"/>
  <c r="H53" i="9" a="1"/>
  <c r="H53" i="9" s="1"/>
  <c r="D86" i="9"/>
  <c r="S7" i="9" s="1" a="1"/>
  <c r="S7" i="9" s="1"/>
  <c r="F102" i="9"/>
  <c r="U23" i="9" s="1" a="1"/>
  <c r="U23" i="9" s="1"/>
  <c r="L91" i="9"/>
  <c r="AA12" i="9" s="1"/>
  <c r="B9" i="20" s="1"/>
  <c r="I103" i="9"/>
  <c r="X24" i="9" s="1" a="1"/>
  <c r="X24" i="9" s="1"/>
  <c r="H93" i="9"/>
  <c r="W14" i="9" s="1" a="1"/>
  <c r="W14" i="9" s="1"/>
  <c r="G87" i="9"/>
  <c r="V8" i="9" s="1" a="1"/>
  <c r="V8" i="9" s="1"/>
  <c r="T25" i="9" a="1"/>
  <c r="T25" i="9" s="1"/>
  <c r="G89" i="9"/>
  <c r="V10" i="9" s="1" a="1"/>
  <c r="V10" i="9" s="1"/>
  <c r="L95" i="9"/>
  <c r="AA16" i="9" s="1"/>
  <c r="B13" i="20" s="1"/>
  <c r="C88" i="9"/>
  <c r="R9" i="9" s="1" a="1"/>
  <c r="R9" i="9" s="1"/>
  <c r="W25" i="9" a="1"/>
  <c r="W25" i="9" s="1"/>
  <c r="G98" i="9"/>
  <c r="V19" i="9" s="1" a="1"/>
  <c r="V19" i="9" s="1"/>
  <c r="L50" i="9"/>
  <c r="H66" i="9" a="1"/>
  <c r="H66" i="9" s="1"/>
  <c r="L96" i="9"/>
  <c r="AA17" i="9" s="1"/>
  <c r="B14" i="20" s="1"/>
  <c r="A9" i="20"/>
  <c r="L102" i="9"/>
  <c r="AA23" i="9" s="1"/>
  <c r="B20" i="20" s="1"/>
  <c r="Y28" i="9" a="1"/>
  <c r="Y28" i="9" s="1"/>
  <c r="L58" i="9"/>
  <c r="S26" i="9" a="1"/>
  <c r="S26" i="9" s="1"/>
  <c r="L71" i="9"/>
  <c r="J61" i="9" a="1"/>
  <c r="J61" i="9" s="1"/>
  <c r="B5" i="9"/>
  <c r="C5" i="9" s="1"/>
  <c r="C103" i="9"/>
  <c r="R24" i="9" s="1" a="1"/>
  <c r="R24" i="9" s="1"/>
  <c r="H96" i="9"/>
  <c r="W17" i="9" s="1" a="1"/>
  <c r="W17" i="9" s="1"/>
  <c r="H72" i="9" a="1"/>
  <c r="H72" i="9" s="1"/>
  <c r="H61" i="9" a="1"/>
  <c r="H61" i="9" s="1"/>
  <c r="L99" i="9"/>
  <c r="AA20" i="9" s="1"/>
  <c r="B17" i="20" s="1"/>
  <c r="G57" i="9" a="1"/>
  <c r="G57" i="9" s="1"/>
  <c r="E86" i="9"/>
  <c r="T7" i="9" s="1" a="1"/>
  <c r="T7" i="9" s="1"/>
  <c r="J69" i="9" a="1"/>
  <c r="J69" i="9" s="1"/>
  <c r="E94" i="9"/>
  <c r="T15" i="9" s="1" a="1"/>
  <c r="T15" i="9" s="1"/>
  <c r="E101" i="9"/>
  <c r="T22" i="9" s="1" a="1"/>
  <c r="T22" i="9" s="1"/>
  <c r="I62" i="9" a="1"/>
  <c r="I62" i="9" s="1"/>
  <c r="H63" i="9" a="1"/>
  <c r="H63" i="9" s="1"/>
  <c r="H59" i="9" a="1"/>
  <c r="H59" i="9" s="1"/>
  <c r="B3" i="9"/>
  <c r="J51" i="9" a="1"/>
  <c r="J51" i="9" s="1"/>
  <c r="D96" i="9"/>
  <c r="S17" i="9" s="1" a="1"/>
  <c r="S17" i="9" s="1"/>
  <c r="G95" i="9"/>
  <c r="V16" i="9" s="1" a="1"/>
  <c r="V16" i="9" s="1"/>
  <c r="D97" i="9"/>
  <c r="S18" i="9" s="1" a="1"/>
  <c r="S18" i="9" s="1"/>
  <c r="I102" i="9"/>
  <c r="X23" i="9" s="1" a="1"/>
  <c r="X23" i="9" s="1"/>
  <c r="F87" i="9"/>
  <c r="U8" i="9" s="1" a="1"/>
  <c r="U8" i="9" s="1"/>
  <c r="H67" i="9" a="1"/>
  <c r="H67" i="9" s="1"/>
  <c r="F91" i="9"/>
  <c r="U12" i="9" s="1" a="1"/>
  <c r="U12" i="9" s="1"/>
  <c r="G96" i="9"/>
  <c r="V17" i="9" s="1" a="1"/>
  <c r="V17" i="9" s="1"/>
  <c r="E89" i="9"/>
  <c r="T10" i="9" s="1" a="1"/>
  <c r="T10" i="9" s="1"/>
  <c r="F101" i="9"/>
  <c r="U22" i="9" s="1" a="1"/>
  <c r="U22" i="9" s="1"/>
  <c r="J70" i="9" a="1"/>
  <c r="J70" i="9" s="1"/>
  <c r="I66" i="9" a="1"/>
  <c r="I66" i="9" s="1"/>
  <c r="U25" i="9" a="1"/>
  <c r="U25" i="9" s="1"/>
  <c r="L60" i="9"/>
  <c r="C99" i="9"/>
  <c r="R20" i="9" s="1" a="1"/>
  <c r="R20" i="9" s="1"/>
  <c r="T26" i="9" a="1"/>
  <c r="T26" i="9" s="1"/>
  <c r="I94" i="9"/>
  <c r="X15" i="9" s="1" a="1"/>
  <c r="X15" i="9" s="1"/>
  <c r="H86" i="9"/>
  <c r="W7" i="9" s="1" a="1"/>
  <c r="W7" i="9" s="1"/>
  <c r="G103" i="9"/>
  <c r="V24" i="9" s="1" a="1"/>
  <c r="V24" i="9" s="1"/>
  <c r="G58" i="9" a="1"/>
  <c r="G58" i="9" s="1"/>
  <c r="C102" i="9"/>
  <c r="R23" i="9" s="1" a="1"/>
  <c r="R23" i="9" s="1"/>
  <c r="L57" i="9"/>
  <c r="L101" i="9"/>
  <c r="AA22" i="9" s="1"/>
  <c r="B19" i="20" s="1"/>
  <c r="H64" i="9" a="1"/>
  <c r="H64" i="9" s="1"/>
  <c r="J64" i="9" a="1"/>
  <c r="J64" i="9" s="1"/>
  <c r="E100" i="9"/>
  <c r="T21" i="9" s="1" a="1"/>
  <c r="T21" i="9" s="1"/>
  <c r="H69" i="9" a="1"/>
  <c r="H69" i="9" s="1"/>
  <c r="G100" i="9"/>
  <c r="X27" i="9" a="1"/>
  <c r="X27" i="9" s="1"/>
  <c r="H54" i="9" a="1"/>
  <c r="H54" i="9" s="1"/>
  <c r="J98" i="9"/>
  <c r="Y19" i="9" s="1" a="1"/>
  <c r="Y19" i="9" s="1"/>
  <c r="F90" i="9"/>
  <c r="U11" i="9" s="1" a="1"/>
  <c r="U11" i="9" s="1"/>
  <c r="G94" i="9"/>
  <c r="V15" i="9" s="1" a="1"/>
  <c r="V15" i="9" s="1"/>
  <c r="H97" i="9"/>
  <c r="W18" i="9" s="1" a="1"/>
  <c r="W18" i="9" s="1"/>
  <c r="D94" i="9"/>
  <c r="S15" i="9" s="1" a="1"/>
  <c r="S15" i="9" s="1"/>
  <c r="G90" i="9"/>
  <c r="V11" i="9" s="1" a="1"/>
  <c r="V11" i="9" s="1"/>
  <c r="D100" i="9"/>
  <c r="S21" i="9" s="1" a="1"/>
  <c r="S21" i="9" s="1"/>
  <c r="E98" i="9"/>
  <c r="T19" i="9" s="1" a="1"/>
  <c r="T19" i="9" s="1"/>
  <c r="H99" i="9"/>
  <c r="W20" i="9" s="1" a="1"/>
  <c r="W20" i="9" s="1"/>
  <c r="C98" i="9"/>
  <c r="R19" i="9" s="1" a="1"/>
  <c r="R19" i="9" s="1"/>
  <c r="I96" i="9"/>
  <c r="X17" i="9" s="1" a="1"/>
  <c r="X17" i="9" s="1"/>
  <c r="J96" i="9"/>
  <c r="Y17" i="9" s="1" a="1"/>
  <c r="Y17" i="9" s="1"/>
  <c r="I56" i="9" a="1"/>
  <c r="I56" i="9" s="1"/>
  <c r="J67" i="9" a="1"/>
  <c r="J67" i="9" s="1"/>
  <c r="I53" i="9" a="1"/>
  <c r="I53" i="9" s="1"/>
  <c r="H70" i="9" a="1"/>
  <c r="H70" i="9" s="1"/>
  <c r="W28" i="9" a="1"/>
  <c r="W28" i="9" s="1"/>
  <c r="I50" i="9" a="1"/>
  <c r="I50" i="9" s="1"/>
  <c r="H101" i="9"/>
  <c r="W22" i="9" s="1" a="1"/>
  <c r="W22" i="9" s="1"/>
  <c r="G72" i="9" a="1"/>
  <c r="G72" i="9" s="1"/>
  <c r="B13" i="9"/>
  <c r="E13" i="9" s="1"/>
  <c r="G61" i="9" a="1"/>
  <c r="G61" i="9" s="1"/>
  <c r="R27" i="9" a="1"/>
  <c r="R27" i="9" s="1"/>
  <c r="I70" i="9" a="1"/>
  <c r="I70" i="9" s="1"/>
  <c r="J100" i="9"/>
  <c r="Y21" i="9" s="1" a="1"/>
  <c r="Y21" i="9" s="1"/>
  <c r="L56" i="9"/>
  <c r="G99" i="9"/>
  <c r="V20" i="9" s="1" a="1"/>
  <c r="V20" i="9" s="1"/>
  <c r="G53" i="9" a="1"/>
  <c r="G53" i="9" s="1"/>
  <c r="J87" i="9"/>
  <c r="Y8" i="9" s="1" a="1"/>
  <c r="Y8" i="9" s="1"/>
  <c r="E91" i="9"/>
  <c r="T12" i="9" s="1" a="1"/>
  <c r="T12" i="9" s="1"/>
  <c r="C91" i="9"/>
  <c r="R12" i="9" s="1" a="1"/>
  <c r="R12" i="9" s="1"/>
  <c r="L86" i="9"/>
  <c r="AA7" i="9" s="1"/>
  <c r="B4" i="20" s="1"/>
  <c r="D89" i="9"/>
  <c r="S10" i="9" s="1" a="1"/>
  <c r="S10" i="9" s="1"/>
  <c r="J89" i="9"/>
  <c r="Y10" i="9" s="1" a="1"/>
  <c r="Y10" i="9" s="1"/>
  <c r="I85" i="9"/>
  <c r="X6" i="9" s="1" a="1"/>
  <c r="X6" i="9" s="1"/>
  <c r="G88" i="9"/>
  <c r="V9" i="9" s="1" a="1"/>
  <c r="V9" i="9" s="1"/>
  <c r="E85" i="9"/>
  <c r="T6" i="9" s="1" a="1"/>
  <c r="T6" i="9" s="1"/>
  <c r="E95" i="9"/>
  <c r="T16" i="9" s="1" a="1"/>
  <c r="T16" i="9" s="1"/>
  <c r="W26" i="9" a="1"/>
  <c r="W26" i="9" s="1"/>
  <c r="H56" i="9" a="1"/>
  <c r="H56" i="9" s="1"/>
  <c r="L89" i="9"/>
  <c r="AA10" i="9" s="1"/>
  <c r="B7" i="20" s="1"/>
  <c r="F93" i="9"/>
  <c r="U14" i="9" s="1" a="1"/>
  <c r="U14" i="9" s="1"/>
  <c r="E92" i="9"/>
  <c r="T13" i="9" s="1" a="1"/>
  <c r="T13" i="9" s="1"/>
  <c r="R28" i="9" a="1"/>
  <c r="R28" i="9" s="1"/>
  <c r="E88" i="9"/>
  <c r="T9" i="9" s="1" a="1"/>
  <c r="T9" i="9" s="1"/>
  <c r="J93" i="9"/>
  <c r="Y14" i="9" s="1" a="1"/>
  <c r="Y14" i="9" s="1"/>
  <c r="J56" i="9" a="1"/>
  <c r="J56" i="9" s="1"/>
  <c r="B10" i="9"/>
  <c r="E10" i="9" s="1"/>
  <c r="H57" i="9" a="1"/>
  <c r="H57" i="9" s="1"/>
  <c r="F100" i="9"/>
  <c r="U21" i="9" s="1" a="1"/>
  <c r="U21" i="9" s="1"/>
  <c r="J88" i="9"/>
  <c r="Y9" i="9" s="1" a="1"/>
  <c r="Y9" i="9" s="1"/>
  <c r="L92" i="9"/>
  <c r="AA13" i="9" s="1"/>
  <c r="B10" i="20" s="1"/>
  <c r="C86" i="9"/>
  <c r="R7" i="9" s="1" a="1"/>
  <c r="R7" i="9" s="1"/>
  <c r="I65" i="9" a="1"/>
  <c r="I65" i="9" s="1"/>
  <c r="B12" i="9"/>
  <c r="C12" i="9" s="1"/>
  <c r="F98" i="9"/>
  <c r="U19" i="9" s="1" a="1"/>
  <c r="U19" i="9" s="1"/>
  <c r="J101" i="9"/>
  <c r="Y22" i="9" s="1" a="1"/>
  <c r="Y22" i="9" s="1"/>
  <c r="H91" i="9"/>
  <c r="W12" i="9" s="1" a="1"/>
  <c r="W12" i="9" s="1"/>
  <c r="F89" i="9"/>
  <c r="U10" i="9" s="1" a="1"/>
  <c r="U10" i="9" s="1"/>
  <c r="C92" i="9"/>
  <c r="R13" i="9" s="1" a="1"/>
  <c r="R13" i="9" s="1"/>
  <c r="G65" i="9" a="1"/>
  <c r="G65" i="9" s="1"/>
  <c r="J91" i="9"/>
  <c r="Y12" i="9" s="1" a="1"/>
  <c r="Y12" i="9" s="1"/>
  <c r="C96" i="9"/>
  <c r="R17" i="9" s="1" a="1"/>
  <c r="R17" i="9" s="1"/>
  <c r="D103" i="9"/>
  <c r="S24" i="9" s="1" a="1"/>
  <c r="S24" i="9" s="1"/>
  <c r="G71" i="9" a="1"/>
  <c r="G71" i="9" s="1"/>
  <c r="H92" i="9"/>
  <c r="W13" i="9" s="1" a="1"/>
  <c r="W13" i="9" s="1"/>
  <c r="I101" i="9"/>
  <c r="X22" i="9" s="1" a="1"/>
  <c r="X22" i="9" s="1"/>
  <c r="L52" i="9"/>
  <c r="E103" i="9"/>
  <c r="T24" i="9" s="1" a="1"/>
  <c r="T24" i="9" s="1"/>
  <c r="I98" i="9"/>
  <c r="X19" i="9" s="1" a="1"/>
  <c r="X19" i="9" s="1"/>
  <c r="H103" i="9"/>
  <c r="W24" i="9" s="1" a="1"/>
  <c r="W24" i="9" s="1"/>
  <c r="L61" i="9"/>
  <c r="H95" i="9"/>
  <c r="W16" i="9" s="1" a="1"/>
  <c r="W16" i="9" s="1"/>
  <c r="U27" i="9" a="1"/>
  <c r="U27" i="9" s="1"/>
  <c r="E99" i="9"/>
  <c r="T20" i="9" s="1" a="1"/>
  <c r="T20" i="9" s="1"/>
  <c r="L69" i="9"/>
  <c r="J54" i="9" a="1"/>
  <c r="J54" i="9" s="1"/>
  <c r="B17" i="9"/>
  <c r="E17" i="9" s="1"/>
  <c r="F95" i="9"/>
  <c r="U16" i="9" s="1" a="1"/>
  <c r="U16" i="9" s="1"/>
  <c r="G101" i="9"/>
  <c r="V22" i="9" s="1" a="1"/>
  <c r="V22" i="9" s="1"/>
  <c r="I93" i="9"/>
  <c r="X14" i="9" s="1" a="1"/>
  <c r="X14" i="9" s="1"/>
  <c r="F88" i="9"/>
  <c r="U9" i="9" s="1" a="1"/>
  <c r="U9" i="9" s="1"/>
  <c r="C85" i="9"/>
  <c r="R6" i="9" s="1" a="1"/>
  <c r="R6" i="9" s="1"/>
  <c r="B9" i="9"/>
  <c r="E9" i="9" s="1"/>
  <c r="G59" i="9" a="1"/>
  <c r="G59" i="9" s="1"/>
  <c r="AA27" i="9"/>
  <c r="B24" i="20" s="1"/>
  <c r="A25" i="20"/>
  <c r="AA28" i="9"/>
  <c r="B25" i="20" s="1"/>
  <c r="A14" i="20"/>
  <c r="A10" i="20"/>
  <c r="A12" i="20"/>
  <c r="A4" i="21"/>
  <c r="B4" i="21" s="1"/>
  <c r="A7" i="21"/>
  <c r="B7" i="21" s="1"/>
  <c r="A13" i="21"/>
  <c r="B13" i="21" s="1"/>
  <c r="A24" i="20"/>
  <c r="A18" i="21"/>
  <c r="B18" i="21" s="1"/>
  <c r="A8" i="20"/>
  <c r="A20" i="21"/>
  <c r="B20" i="21" s="1"/>
  <c r="A5" i="20"/>
  <c r="Z35" i="9"/>
  <c r="AB35" i="9" s="1"/>
  <c r="A17" i="20"/>
  <c r="A19" i="21"/>
  <c r="B19" i="21" s="1"/>
  <c r="A4" i="20"/>
  <c r="A7" i="20"/>
  <c r="A21" i="21"/>
  <c r="B21" i="21" s="1"/>
  <c r="A21" i="20"/>
  <c r="A6" i="21"/>
  <c r="B6" i="21" s="1"/>
  <c r="A17" i="21"/>
  <c r="B17" i="21" s="1"/>
  <c r="A16" i="21"/>
  <c r="B16" i="21" s="1"/>
  <c r="A8" i="21"/>
  <c r="B8" i="21" s="1"/>
  <c r="AA25" i="9"/>
  <c r="B22" i="20" s="1"/>
  <c r="W27" i="9" a="1"/>
  <c r="W27" i="9" s="1"/>
  <c r="A9" i="21"/>
  <c r="B9" i="21" s="1"/>
  <c r="Q5" i="9"/>
  <c r="A11" i="21"/>
  <c r="B11" i="21" s="1"/>
  <c r="A19" i="20"/>
  <c r="A11" i="20"/>
  <c r="A15" i="20"/>
  <c r="A23" i="20"/>
  <c r="A6" i="20"/>
  <c r="AA26" i="9"/>
  <c r="B23" i="20" s="1"/>
  <c r="A10" i="21"/>
  <c r="B10" i="21" s="1"/>
  <c r="A16" i="20"/>
  <c r="A12" i="21"/>
  <c r="B12" i="21" s="1"/>
  <c r="A3" i="20"/>
  <c r="G70" i="9" a="1"/>
  <c r="G70" i="9" s="1"/>
  <c r="A20" i="20"/>
  <c r="A14" i="21"/>
  <c r="B14" i="21" s="1"/>
  <c r="A5" i="21"/>
  <c r="B5" i="21" s="1"/>
  <c r="AA9" i="9"/>
  <c r="B6" i="20" s="1"/>
  <c r="A3" i="21"/>
  <c r="B3" i="21" s="1"/>
  <c r="A18" i="20"/>
  <c r="A22" i="20"/>
  <c r="Z34" i="9"/>
  <c r="AB34" i="9" s="1"/>
  <c r="V26" i="9" a="1"/>
  <c r="V26" i="9" s="1"/>
  <c r="G56" i="9" a="1"/>
  <c r="G56" i="9" s="1"/>
  <c r="K78" i="9"/>
  <c r="M78" i="9" s="1"/>
  <c r="H71" i="9" a="1"/>
  <c r="H71" i="9" s="1"/>
  <c r="V25" i="9" a="1"/>
  <c r="V25" i="9" s="1"/>
  <c r="G69" i="9" a="1"/>
  <c r="G69" i="9" s="1"/>
  <c r="G51" i="9" a="1"/>
  <c r="G51" i="9" s="1"/>
  <c r="Z32" i="9"/>
  <c r="AB32" i="9" s="1"/>
  <c r="H50" i="9" a="1"/>
  <c r="H50" i="9" s="1"/>
  <c r="H60" i="9" a="1"/>
  <c r="H60" i="9" s="1"/>
  <c r="Z31" i="9"/>
  <c r="AB31" i="9" s="1"/>
  <c r="C28" i="20" s="1"/>
  <c r="G67" i="9" a="1"/>
  <c r="G67" i="9" s="1"/>
  <c r="K192" i="1"/>
  <c r="H68" i="9" a="1"/>
  <c r="H68" i="9" s="1"/>
  <c r="G55" i="9" a="1"/>
  <c r="G55" i="9" s="1"/>
  <c r="K77" i="9"/>
  <c r="M77" i="9" s="1"/>
  <c r="H51" i="9" a="1"/>
  <c r="H51" i="9" s="1"/>
  <c r="K76" i="9"/>
  <c r="M76" i="9" s="1"/>
  <c r="H65" i="9" a="1"/>
  <c r="H65" i="9" s="1"/>
  <c r="K75" i="9"/>
  <c r="M75" i="9" s="1"/>
  <c r="K74" i="9"/>
  <c r="M74" i="9" s="1"/>
  <c r="Z33" i="9"/>
  <c r="AB33" i="9" s="1"/>
  <c r="Z30" i="9"/>
  <c r="AB30" i="9" s="1"/>
  <c r="C27" i="20" s="1"/>
  <c r="G54" i="9" a="1"/>
  <c r="G54" i="9" s="1"/>
  <c r="G60" i="9" a="1"/>
  <c r="G60" i="9" s="1"/>
  <c r="J192" i="1" a="1"/>
  <c r="J192" i="1" s="1"/>
  <c r="V12" i="9" a="1"/>
  <c r="V12" i="9" s="1"/>
  <c r="D2" i="2"/>
  <c r="H187" i="1" l="1"/>
  <c r="H190" i="1"/>
  <c r="H178" i="1"/>
  <c r="H129" i="1"/>
  <c r="H191" i="1"/>
  <c r="H114" i="1"/>
  <c r="H88" i="1"/>
  <c r="H123" i="1"/>
  <c r="H87" i="1"/>
  <c r="H85" i="1"/>
  <c r="H181" i="1"/>
  <c r="H175" i="1"/>
  <c r="C18" i="9"/>
  <c r="C19" i="10"/>
  <c r="F314" i="17"/>
  <c r="Z29" i="9"/>
  <c r="AB29" i="9" s="1"/>
  <c r="C26" i="20" s="1"/>
  <c r="K73" i="9"/>
  <c r="M73" i="9" s="1"/>
  <c r="F38" i="18"/>
  <c r="C11" i="8"/>
  <c r="C14" i="8" s="1"/>
  <c r="C4" i="10" s="1"/>
  <c r="C15" i="10" s="1"/>
  <c r="C17" i="10" s="1"/>
  <c r="H122" i="1"/>
  <c r="H118" i="1"/>
  <c r="H154" i="1"/>
  <c r="H147" i="1"/>
  <c r="H96" i="1"/>
  <c r="H152" i="1"/>
  <c r="H100" i="1"/>
  <c r="F49" i="9" a="1"/>
  <c r="F49" i="9" s="1"/>
  <c r="E15" i="9"/>
  <c r="E11" i="9"/>
  <c r="G49" i="9" a="1"/>
  <c r="G49" i="9" s="1"/>
  <c r="L84" i="9"/>
  <c r="AA5" i="9" s="1"/>
  <c r="B2" i="20" s="1"/>
  <c r="E49" i="9" a="1"/>
  <c r="E49" i="9" s="1"/>
  <c r="J49" i="9" a="1"/>
  <c r="J49" i="9" s="1"/>
  <c r="C12" i="19" a="1"/>
  <c r="C12" i="19" s="1"/>
  <c r="K99" i="9"/>
  <c r="M99" i="9" s="1"/>
  <c r="L49" i="9"/>
  <c r="I49" i="9" a="1"/>
  <c r="I49" i="9" s="1"/>
  <c r="E6" i="9"/>
  <c r="C16" i="9"/>
  <c r="E8" i="9"/>
  <c r="C4" i="9"/>
  <c r="E14" i="9"/>
  <c r="K52" i="9"/>
  <c r="M52" i="9" s="1"/>
  <c r="K100" i="9"/>
  <c r="M100" i="9" s="1"/>
  <c r="K66" i="9"/>
  <c r="M66" i="9" s="1"/>
  <c r="C10" i="9"/>
  <c r="C13" i="9"/>
  <c r="Z28" i="9"/>
  <c r="AB28" i="9" s="1"/>
  <c r="C25" i="20" s="1"/>
  <c r="Z25" i="9"/>
  <c r="AB25" i="9" s="1"/>
  <c r="C22" i="20" s="1"/>
  <c r="E5" i="9"/>
  <c r="Z20" i="9"/>
  <c r="AB20" i="9" s="1"/>
  <c r="C17" i="20" s="1"/>
  <c r="C14" i="19" a="1"/>
  <c r="C14" i="19" s="1"/>
  <c r="E7" i="9" a="1"/>
  <c r="E7" i="9" s="1"/>
  <c r="C84" i="9"/>
  <c r="R5" i="9" s="1" a="1"/>
  <c r="R5" i="9" s="1"/>
  <c r="D8" i="19" s="1" a="1"/>
  <c r="D8" i="19" s="1"/>
  <c r="H84" i="9"/>
  <c r="W5" i="9" s="1" a="1"/>
  <c r="W5" i="9" s="1"/>
  <c r="H49" i="9" a="1"/>
  <c r="H49" i="9" s="1"/>
  <c r="G84" i="9"/>
  <c r="V5" i="9" s="1" a="1"/>
  <c r="V5" i="9" s="1"/>
  <c r="I84" i="9"/>
  <c r="X5" i="9" s="1" a="1"/>
  <c r="X5" i="9" s="1"/>
  <c r="S5" i="9" a="1"/>
  <c r="S5" i="9" s="1"/>
  <c r="D10" i="19" s="1" a="1"/>
  <c r="D10" i="19" s="1"/>
  <c r="D49" i="9" a="1"/>
  <c r="D49" i="9" s="1"/>
  <c r="E84" i="9"/>
  <c r="T5" i="9" s="1" a="1"/>
  <c r="T5" i="9" s="1"/>
  <c r="D12" i="19" s="1" a="1"/>
  <c r="D12" i="19" s="1"/>
  <c r="C49" i="9" a="1"/>
  <c r="C49" i="9" s="1"/>
  <c r="B2" i="9"/>
  <c r="C2" i="9" s="1"/>
  <c r="J84" i="9"/>
  <c r="Y5" i="9" s="1" a="1"/>
  <c r="Y5" i="9" s="1"/>
  <c r="F84" i="9"/>
  <c r="U5" i="9" s="1" a="1"/>
  <c r="U5" i="9" s="1"/>
  <c r="D14" i="19" s="1" a="1"/>
  <c r="D14" i="19" s="1"/>
  <c r="K68" i="9"/>
  <c r="M68" i="9" s="1"/>
  <c r="K56" i="9"/>
  <c r="M56" i="9" s="1"/>
  <c r="Z13" i="9"/>
  <c r="AB13" i="9" s="1"/>
  <c r="C10" i="20" s="1"/>
  <c r="K95" i="9"/>
  <c r="M95" i="9" s="1"/>
  <c r="K63" i="9"/>
  <c r="M63" i="9" s="1"/>
  <c r="V21" i="9" a="1"/>
  <c r="V21" i="9" s="1"/>
  <c r="Z21" i="9" s="1"/>
  <c r="AB21" i="9" s="1"/>
  <c r="C18" i="20" s="1"/>
  <c r="K88" i="9"/>
  <c r="M88" i="9" s="1"/>
  <c r="Z22" i="9"/>
  <c r="AB22" i="9" s="1"/>
  <c r="C19" i="20" s="1"/>
  <c r="K61" i="9"/>
  <c r="M61" i="9" s="1"/>
  <c r="K62" i="9"/>
  <c r="M62" i="9" s="1"/>
  <c r="K92" i="9"/>
  <c r="M92" i="9" s="1"/>
  <c r="K69" i="9"/>
  <c r="M69" i="9" s="1"/>
  <c r="K58" i="9"/>
  <c r="M58" i="9" s="1"/>
  <c r="Z23" i="9"/>
  <c r="AB23" i="9" s="1"/>
  <c r="C20" i="20" s="1"/>
  <c r="K102" i="9"/>
  <c r="M102" i="9" s="1"/>
  <c r="Z11" i="9"/>
  <c r="AB11" i="9" s="1"/>
  <c r="C8" i="20" s="1"/>
  <c r="K64" i="9"/>
  <c r="M64" i="9" s="1"/>
  <c r="K71" i="9"/>
  <c r="M71" i="9" s="1"/>
  <c r="Z19" i="9"/>
  <c r="AB19" i="9" s="1"/>
  <c r="C16" i="20" s="1"/>
  <c r="K65" i="9"/>
  <c r="M65" i="9" s="1"/>
  <c r="K55" i="9"/>
  <c r="M55" i="9" s="1"/>
  <c r="Z18" i="9"/>
  <c r="AB18" i="9" s="1"/>
  <c r="C15" i="20" s="1"/>
  <c r="Z10" i="9"/>
  <c r="AB10" i="9" s="1"/>
  <c r="C7" i="20" s="1"/>
  <c r="Z27" i="9"/>
  <c r="AB27" i="9" s="1"/>
  <c r="C24" i="20" s="1"/>
  <c r="Z8" i="9"/>
  <c r="AB8" i="9" s="1"/>
  <c r="C5" i="20" s="1"/>
  <c r="C9" i="9"/>
  <c r="K97" i="9"/>
  <c r="M97" i="9" s="1"/>
  <c r="K89" i="9"/>
  <c r="M89" i="9" s="1"/>
  <c r="C17" i="9"/>
  <c r="K53" i="9"/>
  <c r="M53" i="9" s="1"/>
  <c r="K57" i="9"/>
  <c r="M57" i="9" s="1"/>
  <c r="K101" i="9"/>
  <c r="M101" i="9" s="1"/>
  <c r="K86" i="9"/>
  <c r="M86" i="9" s="1"/>
  <c r="K94" i="9"/>
  <c r="M94" i="9" s="1"/>
  <c r="Z26" i="9"/>
  <c r="AB26" i="9" s="1"/>
  <c r="C23" i="20" s="1"/>
  <c r="Z24" i="9"/>
  <c r="AB24" i="9" s="1"/>
  <c r="C21" i="20" s="1"/>
  <c r="K72" i="9"/>
  <c r="M72" i="9" s="1"/>
  <c r="Z9" i="9"/>
  <c r="AB9" i="9" s="1"/>
  <c r="C6" i="20" s="1"/>
  <c r="K85" i="9"/>
  <c r="M85" i="9" s="1"/>
  <c r="K96" i="9"/>
  <c r="M96" i="9" s="1"/>
  <c r="E12" i="9"/>
  <c r="K87" i="9"/>
  <c r="M87" i="9" s="1"/>
  <c r="K67" i="9"/>
  <c r="M67" i="9" s="1"/>
  <c r="Z14" i="9"/>
  <c r="AB14" i="9" s="1"/>
  <c r="C11" i="20" s="1"/>
  <c r="Z15" i="9"/>
  <c r="AB15" i="9" s="1"/>
  <c r="C12" i="20" s="1"/>
  <c r="Z17" i="9"/>
  <c r="AB17" i="9" s="1"/>
  <c r="C14" i="20" s="1"/>
  <c r="K54" i="9"/>
  <c r="M54" i="9" s="1"/>
  <c r="K59" i="9"/>
  <c r="M59" i="9" s="1"/>
  <c r="K70" i="9"/>
  <c r="M70" i="9" s="1"/>
  <c r="K90" i="9"/>
  <c r="M90" i="9" s="1"/>
  <c r="Z6" i="9"/>
  <c r="AB6" i="9" s="1"/>
  <c r="C3" i="20" s="1"/>
  <c r="K103" i="9"/>
  <c r="M103" i="9" s="1"/>
  <c r="K93" i="9"/>
  <c r="M93" i="9" s="1"/>
  <c r="C3" i="9"/>
  <c r="E3" i="9"/>
  <c r="Z12" i="9"/>
  <c r="AB12" i="9" s="1"/>
  <c r="C9" i="20" s="1"/>
  <c r="K50" i="9"/>
  <c r="M50" i="9" s="1"/>
  <c r="K91" i="9"/>
  <c r="M91" i="9" s="1"/>
  <c r="K98" i="9"/>
  <c r="M98" i="9" s="1"/>
  <c r="Z7" i="9"/>
  <c r="AB7" i="9" s="1"/>
  <c r="C4" i="20" s="1"/>
  <c r="A2" i="20"/>
  <c r="A2" i="21"/>
  <c r="B2" i="21" s="1"/>
  <c r="Z16" i="9"/>
  <c r="AB16" i="9" s="1"/>
  <c r="C13" i="20" s="1"/>
  <c r="K51" i="9"/>
  <c r="M51" i="9" s="1"/>
  <c r="K60" i="9"/>
  <c r="M60" i="9" s="1"/>
  <c r="E12" i="19" l="1"/>
  <c r="K49" i="9"/>
  <c r="C23" i="9" s="1"/>
  <c r="C3" i="10" s="1"/>
  <c r="Z5" i="9"/>
  <c r="AB5" i="9" s="1"/>
  <c r="E14" i="19"/>
  <c r="E2" i="9"/>
  <c r="K84" i="9"/>
  <c r="M84" i="9" s="1"/>
  <c r="E18" i="19" a="1"/>
  <c r="E18" i="19" s="1"/>
  <c r="C21" i="9" l="1"/>
  <c r="M49" i="9"/>
  <c r="E16" i="19"/>
  <c r="C2" i="20"/>
  <c r="E20" i="19" a="1"/>
  <c r="E20" i="19" s="1"/>
  <c r="C11" i="10"/>
  <c r="C13" i="10" s="1"/>
  <c r="C21" i="10"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<sst xmlns="http://schemas.openxmlformats.org/spreadsheetml/2006/main" count="1900" uniqueCount="377">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</sst>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9">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771185</xdr:colOff>
      <xdr:row>207</xdr:row>
      <xdr:rowOff>147194</xdr:rowOff>
    </xdr:from>
    <xdr:to>
      <xdr:col>2</xdr:col>
      <xdr:colOff>406402</xdr:colOff>
      <xdr:row>216</xdr:row>
      <xdr:rowOff>21374</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771185" y="38280689"/>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62</xdr:row>
      <xdr:rowOff>66933</xdr:rowOff>
    </xdr:from>
    <xdr:to>
      <xdr:col>11</xdr:col>
      <xdr:colOff>66829</xdr:colOff>
      <xdr:row>75</xdr:row>
      <xdr:rowOff>103505</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481023</xdr:colOff>
      <xdr:row>7</xdr:row>
      <xdr:rowOff>43181</xdr:rowOff>
    </xdr:from>
    <xdr:to>
      <xdr:col>13</xdr:col>
      <xdr:colOff>342772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179312</xdr:colOff>
      <xdr:row>12</xdr:row>
      <xdr:rowOff>138748</xdr:rowOff>
    </xdr:from>
    <xdr:to>
      <xdr:col>14</xdr:col>
      <xdr:colOff>478515</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-672015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9.010302083334" createdVersion="8" refreshedVersion="8" minRefreshableVersion="3" recordCount="202" xr:uid="{46CBB50D-3613-4E5B-8212-DD0313DCD05A}">
  <cacheSource type="worksheet">
    <worksheetSource name="Table1"/>
  </cacheSource>
  <cacheFields count="14">
    <cacheField name="Date" numFmtId="0">
      <sharedItems containsNonDate="0" containsDate="1" containsString="0" containsBlank="1" minDate="2025-11-18T00:00:00" maxDate="2025-12-07T00:00:00"/>
    </cacheField>
    <cacheField name="Party Name" numFmtId="0">
      <sharedItems containsBlank="1" count="31">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m/>
        <s v="YING" u="1"/>
        <s v="Meow" u="1"/>
        <s v="Umer Sb" u="1"/>
        <s v="-" u="1"/>
        <s v="Sajjad" u="1"/>
        <s v="Haji Ejaz" u="1"/>
      </sharedItems>
    </cacheField>
    <cacheField name="Bill Number" numFmtId="0">
      <sharedItems containsBlank="1" containsMixedTypes="1" containsNumber="1" containsInteger="1" minValue="1091" maxValue="1200"/>
    </cacheField>
    <cacheField name="Quality" numFmtId="0">
      <sharedItems containsBlank="1"/>
    </cacheField>
    <cacheField name="Shipment Number" numFmtId="164">
      <sharedItems containsBlank="1" containsMixedTypes="1" containsNumber="1" containsInteger="1" minValue="1558" maxValue="17000" count="305">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38493"/>
    </cacheField>
    <cacheField name="shortage %" numFmtId="165">
      <sharedItems containsBlank="1" containsMixedTypes="1" containsNumber="1" minValue="-16.665301155806887"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9.010302430557"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9.010302546296" createdVersion="8" refreshedVersion="8" minRefreshableVersion="3" recordCount="39" xr:uid="{3E5C2981-ACF5-44A9-8567-B1D65DB3A8D2}">
  <cacheSource type="worksheet">
    <worksheetSource name="Table3"/>
  </cacheSource>
  <cacheFields count="9">
    <cacheField name="Date" numFmtId="14">
      <sharedItems containsSemiMixedTypes="0" containsNonDate="0" containsDate="1" containsString="0" minDate="2025-05-02T00:00:00" maxDate="2025-12-07T00:00:00" count="124">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2">
        <s v="Closing Balance CF"/>
        <m/>
        <s v="TKL 364"/>
        <n v="9662"/>
        <s v="APL"/>
        <s v="C 8947"/>
        <s v="E 3229"/>
        <s v="E 9399"/>
        <s v="TAD 290"/>
        <s v="NAD 668"/>
        <s v="CAR 6957"/>
        <s v="LES 8294"/>
        <s v="LEI 2223"/>
        <s v="C 1605"/>
        <s v="JU 4472"/>
        <s v="TKT 364"/>
        <s v="LEI 9662"/>
        <n v="8618"/>
        <s v="LEJ 9662"/>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9.01030277778" createdVersion="8" refreshedVersion="8" minRefreshableVersion="3" recordCount="13" xr:uid="{AC867DCC-CE64-4D1A-827D-F1F3EE10EE4E}">
  <cacheSource type="worksheet">
    <worksheetSource name="Table8"/>
  </cacheSource>
  <cacheFields count="9">
    <cacheField name="Date" numFmtId="0">
      <sharedItems containsNonDate="0" containsDate="1" containsString="0" containsBlank="1" minDate="2025-05-16T00:00:00" maxDate="2025-12-05T00:00:00" count="45">
        <d v="2025-10-17T00:00:00"/>
        <d v="2025-11-18T00:00:00"/>
        <d v="2025-11-20T00:00:00"/>
        <d v="2025-11-22T00:00:00"/>
        <d v="2025-11-25T00:00:00"/>
        <d v="2025-11-26T00:00:00"/>
        <d v="2025-11-27T00:00:00"/>
        <d v="2025-11-29T00:00:00"/>
        <d v="2025-12-02T00:00:00"/>
        <d v="2025-12-04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46000" maxValue="2424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9.01030300925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97699.34162399417"/>
    </cacheField>
    <cacheField name="Rate" numFmtId="0">
      <sharedItems containsString="0" containsBlank="1" containsNumber="1" minValue="10" maxValue="12"/>
    </cacheField>
    <cacheField name="Total" numFmtId="164">
      <sharedItems containsSemiMixedTypes="0" containsString="0" containsNumber="1" minValue="0" maxValue="2177324.4330651062"/>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9.010303240742" createdVersion="8" refreshedVersion="8" minRefreshableVersion="3" recordCount="312" xr:uid="{B5BDFB73-D93A-4A7A-8149-666BC190B09B}">
  <cacheSource type="worksheet">
    <worksheetSource name="Table14"/>
  </cacheSource>
  <cacheFields count="7">
    <cacheField name="Date" numFmtId="14">
      <sharedItems containsNonDate="0" containsDate="1" containsString="0" containsBlank="1" minDate="2025-10-17T00:00:00" maxDate="2025-12-08T00:00:00"/>
    </cacheField>
    <cacheField name="Party" numFmtId="0">
      <sharedItems containsBlank="1" count="7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Zia-ullah" u="1"/>
        <s v="Closing September CF" u="1"/>
        <s v="Temp" u="1"/>
        <s v="copper" u="1"/>
        <s v="sunsuper theka" u="1"/>
        <s v="Dyes" u="1"/>
        <s v="electric bill" u="1"/>
        <s v="Shafique Ansari" u="1"/>
        <s v="Chain Acc"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20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16.665301155806887"/>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6.9356643793187231"/>
    <n v="35198.427212874914"/>
    <n v="351984.27212874917"/>
    <m/>
  </r>
  <r>
    <d v="2025-11-25T00:00:00"/>
    <x v="0"/>
    <n v="1133"/>
    <s v="Chamki"/>
    <x v="28"/>
    <n v="38741"/>
    <n v="9822"/>
    <n v="45.809439904460334"/>
    <n v="8981.3460131675201"/>
    <n v="89813.460131675209"/>
    <m/>
  </r>
  <r>
    <d v="2025-11-25T00:00:00"/>
    <x v="10"/>
    <n v="1134"/>
    <s v="Chamki"/>
    <x v="29"/>
    <n v="21089"/>
    <n v="22527"/>
    <n v="2.3237740855342395"/>
    <n v="20598.939283101685"/>
    <n v="205989.39283101686"/>
    <m/>
  </r>
  <r>
    <d v="2025-11-25T00:00:00"/>
    <x v="0"/>
    <n v="1135"/>
    <s v="Chamki"/>
    <x v="28"/>
    <n v="38741"/>
    <n v="8240"/>
    <n v="45.80943990446033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6.9356643793187231"/>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6.9356643793187231"/>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12.170073656948006"/>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14.606391470011204"/>
    <n v="4508.9612289685447"/>
    <n v="58616.495976591083"/>
    <m/>
  </r>
  <r>
    <d v="2025-11-29T00:00:00"/>
    <x v="1"/>
    <n v="1156"/>
    <s v="Silky"/>
    <x v="41"/>
    <n v="12051"/>
    <n v="6942"/>
    <n v="2.3823827980048407"/>
    <n v="6347.8419897585964"/>
    <n v="82521.945866861759"/>
    <m/>
  </r>
  <r>
    <d v="2025-11-29T00:00:00"/>
    <x v="0"/>
    <n v="1157"/>
    <s v="Chamki"/>
    <x v="28"/>
    <n v="38741"/>
    <n v="2751"/>
    <n v="45.80943990446033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14.60639147001120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9.1641076470158538"/>
    <n v="10979.334308705194"/>
    <n v="142731.34601316752"/>
    <m/>
  </r>
  <r>
    <d v="2025-12-01T00:00:00"/>
    <x v="0"/>
    <n v="1166"/>
    <s v="Silky"/>
    <x v="47"/>
    <n v="12000"/>
    <n v="12170"/>
    <n v="7.26347232382345"/>
    <n v="11128.383321141186"/>
    <n v="144668.98317483542"/>
    <m/>
  </r>
  <r>
    <d v="2025-12-01T00:00:00"/>
    <x v="0"/>
    <n v="1167"/>
    <s v="Silky"/>
    <x v="48"/>
    <n v="4048"/>
    <n v="4300"/>
    <n v="2.8664077883250201"/>
    <n v="3931.9678127286029"/>
    <n v="51115.581565471839"/>
    <m/>
  </r>
  <r>
    <d v="2025-12-01T00:00:00"/>
    <x v="0"/>
    <n v="1168"/>
    <s v="Silky"/>
    <x v="13"/>
    <n v="10009"/>
    <n v="10964"/>
    <n v="-16.665301155806887"/>
    <n v="10025.603511338699"/>
    <n v="130332.84564740308"/>
    <m/>
  </r>
  <r>
    <d v="2025-12-02T00:00:00"/>
    <x v="16"/>
    <n v="1169"/>
    <m/>
    <x v="0"/>
    <m/>
    <m/>
    <e v="#DIV/0!"/>
    <n v="0"/>
    <m/>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14.60639147001120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17.269895343330035"/>
    <n v="5764.4476956839799"/>
    <n v="57644.476956839797"/>
    <m/>
  </r>
  <r>
    <d v="2025-12-02T00:00:00"/>
    <x v="20"/>
    <n v="1176"/>
    <s v="Chamki"/>
    <x v="52"/>
    <n v="28367"/>
    <n v="3396"/>
    <n v="73.406099574422811"/>
    <n v="3105.3401609363573"/>
    <n v="31053.401609363573"/>
    <m/>
  </r>
  <r>
    <d v="2025-12-02T00:00:00"/>
    <x v="0"/>
    <n v="1177"/>
    <s v="Chamki"/>
    <x v="51"/>
    <n v="54197"/>
    <n v="2197"/>
    <n v="17.269895343330035"/>
    <n v="2008.9612289685444"/>
    <n v="20089.612289685443"/>
    <m/>
  </r>
  <r>
    <d v="2025-12-03T00:00:00"/>
    <x v="0"/>
    <n v="1178"/>
    <s v="Chamki"/>
    <x v="51"/>
    <n v="54197"/>
    <n v="30179"/>
    <n v="17.269895343330035"/>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19.642474980155328"/>
    <n v="12085.771762984639"/>
    <n v="120857.71762984639"/>
    <m/>
  </r>
  <r>
    <d v="2025-12-03T00:00:00"/>
    <x v="20"/>
    <n v="1183"/>
    <s v="Chamki"/>
    <x v="54"/>
    <n v="26497"/>
    <n v="10929"/>
    <n v="62.284035467542267"/>
    <n v="9993.5991221653258"/>
    <n v="99935.991221653254"/>
    <m/>
  </r>
  <r>
    <d v="2025-12-03T00:00:00"/>
    <x v="0"/>
    <n v="1184"/>
    <s v="Chamki"/>
    <x v="51"/>
    <n v="54197"/>
    <n v="8094"/>
    <n v="17.269895343330035"/>
    <n v="7401.2435991221664"/>
    <n v="74012.435991221661"/>
    <m/>
  </r>
  <r>
    <d v="2025-12-03T00:00:00"/>
    <x v="0"/>
    <n v="1185"/>
    <s v="Chamki"/>
    <x v="28"/>
    <n v="38741"/>
    <n v="2146"/>
    <n v="45.809439904460334"/>
    <n v="1962.3262618873448"/>
    <n v="19623.262618873447"/>
    <m/>
  </r>
  <r>
    <d v="2025-12-03T00:00:00"/>
    <x v="20"/>
    <n v="1186"/>
    <s v="Chamki"/>
    <x v="52"/>
    <n v="28367"/>
    <n v="4854"/>
    <n v="73.406099574422811"/>
    <n v="4438.5515727871252"/>
    <n v="44385.51572787125"/>
    <m/>
  </r>
  <r>
    <d v="2025-12-03T00:00:00"/>
    <x v="10"/>
    <n v="1187"/>
    <s v="Chamki"/>
    <x v="55"/>
    <n v="44990"/>
    <n v="30694"/>
    <n v="37.615170273553431"/>
    <n v="28066.934893928312"/>
    <n v="280669.34893928311"/>
    <m/>
  </r>
  <r>
    <d v="2025-12-04T00:00:00"/>
    <x v="2"/>
    <n v="1188"/>
    <s v="Chamki"/>
    <x v="56"/>
    <n v="33679"/>
    <n v="9005"/>
    <n v="2.6128672585551129"/>
    <n v="8234.2721287490858"/>
    <n v="82342.721287490858"/>
    <m/>
  </r>
  <r>
    <d v="2025-12-04T00:00:00"/>
    <x v="2"/>
    <n v="1189"/>
    <s v="Chamki"/>
    <x v="27"/>
    <n v="62248"/>
    <n v="2108"/>
    <n v="6.9356643793187231"/>
    <n v="1927.5786393562548"/>
    <n v="19275.78639356255"/>
    <m/>
  </r>
  <r>
    <d v="2025-12-04T00:00:00"/>
    <x v="0"/>
    <n v="1190"/>
    <s v="Chamki"/>
    <x v="51"/>
    <n v="54197"/>
    <n v="2260"/>
    <n v="17.269895343330035"/>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s v="NF"/>
    <m/>
    <m/>
    <m/>
  </r>
  <r>
    <d v="2025-12-06T00:00:00"/>
    <x v="19"/>
    <n v="1194"/>
    <s v="Chamki"/>
    <x v="59"/>
    <n v="13869"/>
    <n v="5493"/>
    <s v="NF"/>
    <m/>
    <m/>
    <m/>
  </r>
  <r>
    <d v="2025-12-06T00:00:00"/>
    <x v="7"/>
    <n v="1195"/>
    <s v="Chamki"/>
    <x v="60"/>
    <n v="20436"/>
    <n v="16752"/>
    <s v="NF"/>
    <m/>
    <m/>
    <m/>
  </r>
  <r>
    <d v="2025-12-06T00:00:00"/>
    <x v="10"/>
    <n v="1196"/>
    <s v="Chamki"/>
    <x v="55"/>
    <n v="44990"/>
    <n v="8911"/>
    <n v="37.615170273553431"/>
    <m/>
    <m/>
    <m/>
  </r>
  <r>
    <d v="2025-12-06T00:00:00"/>
    <x v="6"/>
    <n v="1197"/>
    <s v="Chamki"/>
    <x v="58"/>
    <n v="24195"/>
    <n v="7852"/>
    <s v="NF"/>
    <m/>
    <m/>
    <m/>
  </r>
  <r>
    <d v="2025-12-06T00:00:00"/>
    <x v="7"/>
    <n v="1198"/>
    <s v="Chamki"/>
    <x v="60"/>
    <n v="20436"/>
    <n v="5152"/>
    <s v="NF"/>
    <m/>
    <m/>
    <m/>
  </r>
  <r>
    <d v="2025-12-06T00:00:00"/>
    <x v="10"/>
    <n v="1199"/>
    <s v="Chamki"/>
    <x v="55"/>
    <n v="44990"/>
    <n v="8192"/>
    <n v="37.615170273553431"/>
    <m/>
    <m/>
    <m/>
  </r>
  <r>
    <d v="2025-12-06T00:00:00"/>
    <x v="2"/>
    <n v="1200"/>
    <s v="Chamki"/>
    <x v="27"/>
    <n v="62248"/>
    <n v="3208"/>
    <n v="6.9356643793187231"/>
    <m/>
    <m/>
    <m/>
  </r>
  <r>
    <m/>
    <x v="24"/>
    <m/>
    <m/>
    <x v="0"/>
    <m/>
    <m/>
    <e v="#DIV/0!"/>
    <m/>
    <m/>
    <m/>
  </r>
  <r>
    <m/>
    <x v="24"/>
    <m/>
    <m/>
    <x v="0"/>
    <m/>
    <m/>
    <e v="#DIV/0!"/>
    <m/>
    <m/>
    <m/>
  </r>
  <r>
    <m/>
    <x v="24"/>
    <m/>
    <m/>
    <x v="0"/>
    <m/>
    <m/>
    <e v="#DIV/0!"/>
    <m/>
    <m/>
    <m/>
  </r>
  <r>
    <m/>
    <x v="24"/>
    <m/>
    <m/>
    <x v="0"/>
    <m/>
    <m/>
    <e v="#DIV/0!"/>
    <m/>
    <m/>
    <m/>
  </r>
  <r>
    <m/>
    <x v="24"/>
    <m/>
    <m/>
    <x v="0"/>
    <m/>
    <m/>
    <e v="#DIV/0!"/>
    <m/>
    <m/>
    <m/>
  </r>
  <r>
    <m/>
    <x v="24"/>
    <m/>
    <m/>
    <x v="0"/>
    <m/>
    <m/>
    <e v="#DIV/0!"/>
    <m/>
    <m/>
    <m/>
  </r>
  <r>
    <m/>
    <x v="24"/>
    <m/>
    <m/>
    <x v="0"/>
    <m/>
    <m/>
    <e v="#DIV/0!"/>
    <m/>
    <m/>
    <m/>
  </r>
  <r>
    <m/>
    <x v="24"/>
    <m/>
    <m/>
    <x v="0"/>
    <m/>
    <m/>
    <e v="#DIV/0!"/>
    <m/>
    <m/>
    <m/>
  </r>
  <r>
    <m/>
    <x v="24"/>
    <m/>
    <m/>
    <x v="0"/>
    <m/>
    <m/>
    <e v="#DIV/0!"/>
    <m/>
    <m/>
    <m/>
  </r>
  <r>
    <m/>
    <x v="24"/>
    <m/>
    <m/>
    <x v="0"/>
    <m/>
    <m/>
    <e v="#DIV/0!"/>
    <m/>
    <m/>
    <m/>
  </r>
  <r>
    <m/>
    <x v="24"/>
    <m/>
    <m/>
    <x v="0"/>
    <m/>
    <m/>
    <e v="#DIV/0!"/>
    <m/>
    <m/>
    <m/>
  </r>
  <r>
    <m/>
    <x v="2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
    <m/>
    <m/>
    <m/>
    <n v="0"/>
    <n v="128500"/>
    <n v="-12850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s v="Dyes"/>
    <m/>
    <m/>
    <n v="242450"/>
    <x v="1"/>
    <n v="242450"/>
    <n v="0"/>
    <m/>
  </r>
  <r>
    <x v="9"/>
    <s v="Dyes"/>
    <m/>
    <m/>
    <n v="56000"/>
    <x v="1"/>
    <n v="56000"/>
    <n v="0"/>
    <m/>
  </r>
  <r>
    <x v="10"/>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97699.34162399417"/>
    <n v="10"/>
    <n v="2177324.4330651062"/>
  </r>
  <r>
    <x v="1"/>
    <n v="55855.888807607902"/>
    <n v="10"/>
    <n v="670270.66569129482"/>
  </r>
  <r>
    <x v="2"/>
    <n v="156981.52889539138"/>
    <n v="10"/>
    <n v="1696452.0848573521"/>
  </r>
  <r>
    <x v="3"/>
    <n v="0"/>
    <n v="10.5"/>
    <n v="0"/>
  </r>
  <r>
    <x v="4"/>
    <n v="0"/>
    <n v="10"/>
    <n v="0"/>
  </r>
  <r>
    <x v="5"/>
    <n v="135306.32772494515"/>
    <n v="10"/>
    <n v="1353063.2772494515"/>
  </r>
  <r>
    <x v="6"/>
    <n v="47108.632040965625"/>
    <n v="10"/>
    <n v="471086.32040965627"/>
  </r>
  <r>
    <x v="7"/>
    <n v="84636.064374542795"/>
    <n v="10"/>
    <n v="846360.64374542795"/>
  </r>
  <r>
    <x v="8"/>
    <n v="0"/>
    <n v="10"/>
    <n v="0"/>
  </r>
  <r>
    <x v="9"/>
    <n v="0"/>
    <n v="12"/>
    <n v="0"/>
  </r>
  <r>
    <x v="10"/>
    <n v="64305.047549378207"/>
    <m/>
    <n v="643050.47549378208"/>
  </r>
  <r>
    <x v="11"/>
    <n v="64923.189465983909"/>
    <m/>
    <n v="750839.42940746166"/>
  </r>
  <r>
    <x v="12"/>
    <n v="0"/>
    <m/>
    <n v="0"/>
  </r>
  <r>
    <x v="13"/>
    <n v="0"/>
    <m/>
    <n v="0"/>
  </r>
  <r>
    <x v="14"/>
    <n v="0"/>
    <m/>
    <n v="0"/>
  </r>
  <r>
    <x v="15"/>
    <n v="0"/>
    <m/>
    <n v="0"/>
  </r>
  <r>
    <x v="16"/>
    <n v="113423.55523043161"/>
    <m/>
    <n v="1361082.662765179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
  <r>
    <d v="2025-10-17T00:00:00"/>
    <x v="0"/>
    <m/>
    <n v="-6720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10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8" firstHeaderRow="0" firstDataRow="1" firstDataCol="1" rowPageCount="1" colPageCount="1"/>
  <pivotFields count="9">
    <pivotField axis="axisRow" numFmtId="14" showAll="0">
      <items count="125">
        <item m="1" x="108"/>
        <item m="1" x="109"/>
        <item m="1" x="110"/>
        <item m="1" x="111"/>
        <item m="1" x="112"/>
        <item m="1" x="113"/>
        <item m="1" x="114"/>
        <item m="1" x="123"/>
        <item m="1" x="104"/>
        <item m="1" x="115"/>
        <item m="1" x="116"/>
        <item m="1" x="117"/>
        <item m="1" x="118"/>
        <item m="1" x="119"/>
        <item m="1" x="120"/>
        <item m="1" x="121"/>
        <item m="1" x="75"/>
        <item m="1" x="76"/>
        <item m="1" x="122"/>
        <item m="1" x="77"/>
        <item m="1" x="74"/>
        <item m="1" x="78"/>
        <item m="1" x="80"/>
        <item m="1" x="81"/>
        <item m="1" x="82"/>
        <item m="1" x="84"/>
        <item m="1" x="85"/>
        <item m="1" x="86"/>
        <item m="1" x="79"/>
        <item m="1" x="83"/>
        <item m="1" x="87"/>
        <item m="1" x="88"/>
        <item m="1" x="89"/>
        <item m="1" x="90"/>
        <item m="1" x="73"/>
        <item m="1" x="91"/>
        <item m="1" x="105"/>
        <item m="1" x="106"/>
        <item m="1" x="107"/>
        <item m="1" x="92"/>
        <item m="1" x="93"/>
        <item m="1" x="94"/>
        <item m="1" x="95"/>
        <item m="1" x="96"/>
        <item m="1" x="97"/>
        <item m="1" x="98"/>
        <item m="1" x="99"/>
        <item m="1" x="100"/>
        <item m="1" x="101"/>
        <item m="1" x="102"/>
        <item m="1" x="103"/>
        <item m="1" x="44"/>
        <item m="1" x="45"/>
        <item m="1" x="46"/>
        <item m="1" x="47"/>
        <item m="1" x="48"/>
        <item m="1" x="49"/>
        <item m="1" x="50"/>
        <item m="1" x="51"/>
        <item m="1" x="53"/>
        <item m="1" x="54"/>
        <item m="1" x="55"/>
        <item m="1" x="52"/>
        <item m="1" x="56"/>
        <item m="1" x="57"/>
        <item m="1" x="58"/>
        <item m="1" x="59"/>
        <item m="1" x="60"/>
        <item m="1" x="61"/>
        <item m="1" x="62"/>
        <item m="1" x="63"/>
        <item m="1" x="64"/>
        <item m="1" x="65"/>
        <item m="1" x="66"/>
        <item m="1" x="67"/>
        <item m="1" x="68"/>
        <item m="1" x="69"/>
        <item m="1" x="70"/>
        <item m="1" x="71"/>
        <item m="1" x="72"/>
        <item x="0"/>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x="1"/>
        <item x="4"/>
        <item x="2"/>
        <item x="3"/>
        <item x="5"/>
        <item x="6"/>
        <item x="7"/>
        <item x="8"/>
        <item x="9"/>
        <item x="10"/>
        <item x="11"/>
        <item x="12"/>
        <item x="13"/>
        <item x="14"/>
        <item x="15"/>
        <item x="16"/>
        <item x="17"/>
        <item t="default"/>
      </items>
    </pivotField>
    <pivotField axis="axisPage" showAll="0">
      <items count="12">
        <item x="1"/>
        <item x="0"/>
        <item m="1" x="8"/>
        <item m="1" x="10"/>
        <item x="2"/>
        <item x="3"/>
        <item x="4"/>
        <item m="1" x="9"/>
        <item x="5"/>
        <item x="6"/>
        <item x="7"/>
        <item t="default"/>
      </items>
    </pivotField>
    <pivotField axis="axisRow" showAll="0">
      <items count="73">
        <item m="1" x="62"/>
        <item m="1" x="46"/>
        <item m="1" x="58"/>
        <item m="1" x="28"/>
        <item m="1" x="63"/>
        <item m="1" x="64"/>
        <item m="1" x="59"/>
        <item m="1" x="60"/>
        <item m="1" x="61"/>
        <item m="1" x="39"/>
        <item m="1" x="65"/>
        <item m="1" x="66"/>
        <item m="1" x="67"/>
        <item m="1" x="68"/>
        <item m="1" x="69"/>
        <item m="1" x="70"/>
        <item m="1" x="35"/>
        <item m="1" x="36"/>
        <item m="1" x="71"/>
        <item m="1" x="37"/>
        <item x="0"/>
        <item m="1" x="38"/>
        <item m="1" x="40"/>
        <item m="1" x="41"/>
        <item m="1" x="42"/>
        <item m="1" x="43"/>
        <item m="1" x="44"/>
        <item m="1" x="45"/>
        <item m="1" x="47"/>
        <item m="1" x="48"/>
        <item m="1" x="30"/>
        <item m="1" x="49"/>
        <item m="1" x="50"/>
        <item m="1" x="51"/>
        <item m="1" x="34"/>
        <item m="1" x="52"/>
        <item m="1" x="53"/>
        <item m="1" x="32"/>
        <item m="1" x="54"/>
        <item m="1" x="55"/>
        <item m="1" x="56"/>
        <item m="1" x="57"/>
        <item m="1" x="20"/>
        <item m="1" x="21"/>
        <item m="1" x="22"/>
        <item m="1" x="23"/>
        <item m="1" x="24"/>
        <item m="1" x="25"/>
        <item m="1" x="26"/>
        <item m="1" x="27"/>
        <item m="1" x="29"/>
        <item m="1" x="31"/>
        <item m="1" x="33"/>
        <item m="1" x="19"/>
        <item x="1"/>
        <item x="2"/>
        <item x="3"/>
        <item x="4"/>
        <item x="5"/>
        <item x="6"/>
        <item x="7"/>
        <item x="8"/>
        <item x="9"/>
        <item x="10"/>
        <item x="11"/>
        <item x="13"/>
        <item x="12"/>
        <item x="14"/>
        <item x="15"/>
        <item x="16"/>
        <item x="17"/>
        <item x="18"/>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0">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8"/>
    </i>
    <i r="1">
      <x v="69"/>
    </i>
    <i r="1">
      <x v="70"/>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1">
      <pivotArea dataOnly="0" labelOnly="1" outline="0" fieldPosition="0">
        <references count="1">
          <reference field="1" count="1">
            <x v="1"/>
          </reference>
        </references>
      </pivotArea>
    </format>
    <format dxfId="11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74">
        <item x="13"/>
        <item x="9"/>
        <item x="7"/>
        <item m="1" x="59"/>
        <item m="1" x="63"/>
        <item x="12"/>
        <item x="5"/>
        <item x="25"/>
        <item x="6"/>
        <item x="10"/>
        <item x="8"/>
        <item m="1" x="71"/>
        <item m="1" x="58"/>
        <item x="11"/>
        <item m="1" x="54"/>
        <item m="1" x="69"/>
        <item x="2"/>
        <item m="1" x="44"/>
        <item x="1"/>
        <item x="15"/>
        <item x="36"/>
        <item x="27"/>
        <item m="1" x="72"/>
        <item m="1" x="53"/>
        <item x="29"/>
        <item m="1" x="70"/>
        <item m="1" x="62"/>
        <item x="32"/>
        <item m="1" x="64"/>
        <item m="1" x="65"/>
        <item m="1" x="66"/>
        <item m="1" x="67"/>
        <item x="37"/>
        <item m="1" x="68"/>
        <item m="1" x="55"/>
        <item x="26"/>
        <item m="1" x="47"/>
        <item x="17"/>
        <item m="1" x="57"/>
        <item m="1" x="50"/>
        <item x="18"/>
        <item x="3"/>
        <item x="31"/>
        <item m="1" x="60"/>
        <item x="22"/>
        <item m="1" x="61"/>
        <item m="1" x="43"/>
        <item x="24"/>
        <item x="14"/>
        <item m="1" x="45"/>
        <item m="1" x="46"/>
        <item m="1" x="48"/>
        <item m="1" x="49"/>
        <item m="1" x="51"/>
        <item x="19"/>
        <item x="20"/>
        <item m="1" x="52"/>
        <item m="1" x="56"/>
        <item x="4"/>
        <item x="23"/>
        <item x="0"/>
        <item x="16"/>
        <item x="21"/>
        <item x="28"/>
        <item m="1" x="42"/>
        <item x="33"/>
        <item x="34"/>
        <item x="35"/>
        <item x="38"/>
        <item x="30"/>
        <item x="39"/>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6"/>
    </i>
    <i>
      <x v="18"/>
    </i>
    <i>
      <x v="19"/>
    </i>
    <i>
      <x v="20"/>
    </i>
    <i>
      <x v="21"/>
    </i>
    <i>
      <x v="24"/>
    </i>
    <i>
      <x v="27"/>
    </i>
    <i>
      <x v="32"/>
    </i>
    <i>
      <x v="35"/>
    </i>
    <i>
      <x v="37"/>
    </i>
    <i>
      <x v="40"/>
    </i>
    <i>
      <x v="41"/>
    </i>
    <i>
      <x v="42"/>
    </i>
    <i>
      <x v="44"/>
    </i>
    <i>
      <x v="47"/>
    </i>
    <i>
      <x v="48"/>
    </i>
    <i>
      <x v="54"/>
    </i>
    <i>
      <x v="55"/>
    </i>
    <i>
      <x v="58"/>
    </i>
    <i>
      <x v="59"/>
    </i>
    <i>
      <x v="60"/>
    </i>
    <i>
      <x v="61"/>
    </i>
    <i>
      <x v="62"/>
    </i>
    <i>
      <x v="63"/>
    </i>
    <i>
      <x v="65"/>
    </i>
    <i>
      <x v="66"/>
    </i>
    <i>
      <x v="67"/>
    </i>
    <i>
      <x v="68"/>
    </i>
    <i>
      <x v="69"/>
    </i>
    <i>
      <x v="70"/>
    </i>
    <i>
      <x v="71"/>
    </i>
    <i>
      <x v="72"/>
    </i>
    <i t="grand">
      <x/>
    </i>
  </rowItems>
  <colFields count="1">
    <field x="-2"/>
  </colFields>
  <colItems count="2">
    <i>
      <x/>
    </i>
    <i i="1">
      <x v="1"/>
    </i>
  </colItems>
  <dataFields count="2">
    <dataField name="Sum of Credit" fld="3" baseField="0" baseItem="0"/>
    <dataField name="Sum of Debit" fld="2" baseField="0" baseItem="0"/>
  </dataFields>
  <formats count="1">
    <format dxfId="9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46">
        <item m="1" x="40"/>
        <item m="1" x="41"/>
        <item m="1" x="42"/>
        <item m="1" x="43"/>
        <item m="1" x="44"/>
        <item m="1" x="39"/>
        <item m="1" x="27"/>
        <item m="1" x="28"/>
        <item m="1" x="32"/>
        <item m="1" x="33"/>
        <item m="1" x="29"/>
        <item m="1" x="34"/>
        <item m="1" x="35"/>
        <item m="1" x="36"/>
        <item m="1" x="37"/>
        <item m="1" x="38"/>
        <item m="1" x="26"/>
        <item m="1" x="30"/>
        <item m="1" x="31"/>
        <item m="1" x="19"/>
        <item m="1" x="20"/>
        <item m="1" x="21"/>
        <item m="1" x="22"/>
        <item m="1" x="23"/>
        <item m="1" x="24"/>
        <item m="1" x="25"/>
        <item x="0"/>
        <item m="1" x="11"/>
        <item m="1" x="12"/>
        <item m="1" x="13"/>
        <item m="1" x="14"/>
        <item m="1" x="15"/>
        <item m="1" x="16"/>
        <item m="1" x="17"/>
        <item m="1" x="18"/>
        <item x="1"/>
        <item x="2"/>
        <item x="3"/>
        <item x="4"/>
        <item x="5"/>
        <item x="10"/>
        <item x="6"/>
        <item x="7"/>
        <item x="8"/>
        <item x="9"/>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2">
    <i>
      <x v="26"/>
    </i>
    <i>
      <x v="35"/>
    </i>
    <i>
      <x v="36"/>
    </i>
    <i>
      <x v="37"/>
    </i>
    <i>
      <x v="38"/>
    </i>
    <i>
      <x v="39"/>
    </i>
    <i>
      <x v="40"/>
    </i>
    <i>
      <x v="41"/>
    </i>
    <i>
      <x v="42"/>
    </i>
    <i>
      <x v="43"/>
    </i>
    <i>
      <x v="4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5" firstHeaderRow="0" firstDataRow="1" firstDataCol="1" rowPageCount="1" colPageCount="1"/>
  <pivotFields count="14">
    <pivotField showAll="0"/>
    <pivotField axis="axisPage" multipleItemSelectionAllowed="1" showAll="0">
      <items count="32">
        <item m="1" x="28"/>
        <item x="2"/>
        <item x="0"/>
        <item x="1"/>
        <item m="1" x="30"/>
        <item m="1" x="26"/>
        <item x="6"/>
        <item m="1" x="29"/>
        <item x="3"/>
        <item x="4"/>
        <item m="1" x="27"/>
        <item m="1" x="25"/>
        <item x="24"/>
        <item x="5"/>
        <item x="10"/>
        <item x="8"/>
        <item x="9"/>
        <item x="7"/>
        <item x="11"/>
        <item x="12"/>
        <item x="13"/>
        <item x="14"/>
        <item x="15"/>
        <item x="16"/>
        <item x="17"/>
        <item x="18"/>
        <item x="19"/>
        <item x="20"/>
        <item x="21"/>
        <item x="22"/>
        <item x="23"/>
        <item t="default"/>
      </items>
    </pivotField>
    <pivotField showAll="0"/>
    <pivotField showAll="0"/>
    <pivotField axis="axisRow" showAll="0">
      <items count="306">
        <item m="1" x="288"/>
        <item m="1" x="289"/>
        <item m="1" x="287"/>
        <item m="1" x="286"/>
        <item m="1" x="290"/>
        <item m="1" x="292"/>
        <item m="1" x="291"/>
        <item m="1" x="293"/>
        <item m="1" x="294"/>
        <item m="1" x="295"/>
        <item m="1" x="296"/>
        <item m="1" x="297"/>
        <item m="1" x="298"/>
        <item m="1" x="299"/>
        <item m="1" x="224"/>
        <item m="1" x="246"/>
        <item m="1" x="300"/>
        <item m="1" x="301"/>
        <item m="1" x="302"/>
        <item m="1" x="254"/>
        <item m="1" x="253"/>
        <item m="1" x="303"/>
        <item m="1" x="304"/>
        <item m="1" x="263"/>
        <item m="1" x="255"/>
        <item m="1" x="256"/>
        <item m="1" x="257"/>
        <item m="1" x="258"/>
        <item m="1" x="259"/>
        <item m="1" x="260"/>
        <item m="1" x="261"/>
        <item m="1" x="262"/>
        <item m="1" x="264"/>
        <item m="1" x="284"/>
        <item m="1" x="265"/>
        <item m="1" x="285"/>
        <item m="1" x="266"/>
        <item m="1" x="267"/>
        <item m="1" x="268"/>
        <item m="1" x="269"/>
        <item m="1" x="270"/>
        <item m="1" x="200"/>
        <item m="1" x="271"/>
        <item m="1" x="272"/>
        <item m="1" x="273"/>
        <item m="1" x="274"/>
        <item m="1" x="275"/>
        <item m="1" x="276"/>
        <item m="1" x="277"/>
        <item m="1" x="278"/>
        <item m="1" x="279"/>
        <item m="1" x="280"/>
        <item m="1" x="281"/>
        <item m="1" x="282"/>
        <item m="1" x="283"/>
        <item x="0"/>
        <item m="1" x="199"/>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7"/>
        <item m="1" x="248"/>
        <item m="1" x="249"/>
        <item m="1" x="250"/>
        <item m="1" x="251"/>
        <item m="1" x="252"/>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98"/>
        <item m="1" x="179"/>
        <item m="1" x="180"/>
        <item m="1" x="181"/>
        <item m="1" x="182"/>
        <item m="1" x="183"/>
        <item m="1" x="184"/>
        <item m="1" x="185"/>
        <item m="1" x="186"/>
        <item m="1" x="187"/>
        <item m="1" x="188"/>
        <item m="1" x="189"/>
        <item m="1" x="190"/>
        <item m="1" x="191"/>
        <item m="1" x="192"/>
        <item m="1" x="193"/>
        <item m="1" x="194"/>
        <item m="1" x="195"/>
        <item m="1" x="196"/>
        <item m="1" x="197"/>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x="11"/>
        <item m="1" x="116"/>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2">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5">
      <pivotArea type="all" dataOnly="0" outline="0" fieldPosition="0"/>
    </format>
    <format dxfId="54">
      <pivotArea outline="0" collapsedLevelsAreSubtotals="1" fieldPosition="0"/>
    </format>
    <format dxfId="53">
      <pivotArea field="4" type="button" dataOnly="0" labelOnly="1" outline="0" axis="axisRow" fieldPosition="0"/>
    </format>
    <format dxfId="52">
      <pivotArea dataOnly="0" labelOnly="1" fieldPosition="0">
        <references count="1">
          <reference field="4" count="0"/>
        </references>
      </pivotArea>
    </format>
    <format dxfId="51">
      <pivotArea dataOnly="0" labelOnly="1" grandRow="1" outline="0" fieldPosition="0"/>
    </format>
    <format dxfId="50">
      <pivotArea dataOnly="0" labelOnly="1" outline="0" fieldPosition="0">
        <references count="1">
          <reference field="4294967294" count="2">
            <x v="0"/>
            <x v="1"/>
          </reference>
        </references>
      </pivotArea>
    </format>
    <format dxfId="49">
      <pivotArea grandRow="1" outline="0" collapsedLevelsAreSubtotals="1" fieldPosition="0"/>
    </format>
    <format dxfId="48">
      <pivotArea field="4" type="button" dataOnly="0" labelOnly="1" outline="0" axis="axisRow" fieldPosition="0"/>
    </format>
    <format dxfId="4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05">
        <i x="50" s="1"/>
        <i x="29" s="1"/>
        <i x="22" s="1"/>
        <i x="2" s="1"/>
        <i x="46" s="1"/>
        <i x="11" s="1"/>
        <i x="8" s="1"/>
        <i x="21" s="1"/>
        <i x="4" s="1"/>
        <i x="1" s="1"/>
        <i x="19" s="1"/>
        <i x="12" s="1"/>
        <i x="25" s="1"/>
        <i x="43" s="1"/>
        <i x="17" s="1"/>
        <i x="31" s="1"/>
        <i x="23" s="1"/>
        <i x="20" s="1"/>
        <i x="33" s="1"/>
        <i x="34" s="1"/>
        <i x="5" s="1"/>
        <i x="7" s="1"/>
        <i x="41" s="1"/>
        <i x="14" s="1"/>
        <i x="55" s="1"/>
        <i x="27" s="1"/>
        <i x="10" s="1"/>
        <i x="44" s="1"/>
        <i x="56" s="1"/>
        <i x="52" s="1"/>
        <i x="16" s="1"/>
        <i x="39" s="1"/>
        <i x="38" s="1"/>
        <i x="54" s="1"/>
        <i x="40" s="1"/>
        <i x="13" s="1"/>
        <i x="9" s="1"/>
        <i x="42" s="1"/>
        <i x="6" s="1"/>
        <i x="47" s="1"/>
        <i x="48" s="1"/>
        <i x="53" s="1"/>
        <i x="32" s="1"/>
        <i x="26" s="1"/>
        <i x="60" s="1"/>
        <i x="15" s="1"/>
        <i x="49" s="1"/>
        <i x="28" s="1"/>
        <i x="30" s="1"/>
        <i x="35" s="1"/>
        <i x="36" s="1"/>
        <i x="45" s="1"/>
        <i x="37" s="1"/>
        <i x="57" s="1"/>
        <i x="58" s="1"/>
        <i x="51" s="1"/>
        <i x="59" s="1"/>
        <i x="18" s="1"/>
        <i x="24" s="1"/>
        <i x="3" s="1"/>
        <i x="259" s="1" nd="1"/>
        <i x="288" s="1" nd="1"/>
        <i x="289" s="1" nd="1"/>
        <i x="297" s="1" nd="1"/>
        <i x="287" s="1" nd="1"/>
        <i x="286" s="1" nd="1"/>
        <i x="290" s="1" nd="1"/>
        <i x="301" s="1" nd="1"/>
        <i x="293" s="1" nd="1"/>
        <i x="294" s="1" nd="1"/>
        <i x="291" s="1" nd="1"/>
        <i x="292" s="1" nd="1"/>
        <i x="302" s="1" nd="1"/>
        <i x="295" s="1" nd="1"/>
        <i x="296" s="1" nd="1"/>
        <i x="299" s="1" nd="1"/>
        <i x="300" s="1" nd="1"/>
        <i x="298" s="1" nd="1"/>
        <i x="254" s="1" nd="1"/>
        <i x="304" s="1" nd="1"/>
        <i x="253" s="1" nd="1"/>
        <i x="303" s="1" nd="1"/>
        <i x="256" s="1" nd="1"/>
        <i x="217" s="1" nd="1"/>
        <i x="255" s="1" nd="1"/>
        <i x="257" s="1" nd="1"/>
        <i x="263" s="1" nd="1"/>
        <i x="258" s="1" nd="1"/>
        <i x="260" s="1" nd="1"/>
        <i x="276" s="1" nd="1"/>
        <i x="199" s="1" nd="1"/>
        <i x="264" s="1" nd="1"/>
        <i x="204" s="1" nd="1"/>
        <i x="270" s="1" nd="1"/>
        <i x="265" s="1" nd="1"/>
        <i x="268" s="1" nd="1"/>
        <i x="273" s="1" nd="1"/>
        <i x="284" s="1" nd="1"/>
        <i x="266" s="1" nd="1"/>
        <i x="278" s="1" nd="1"/>
        <i x="281" s="1" nd="1"/>
        <i x="272" s="1" nd="1"/>
        <i x="261" s="1" nd="1"/>
        <i x="269" s="1" nd="1"/>
        <i x="262" s="1" nd="1"/>
        <i x="267" s="1" nd="1"/>
        <i x="200" s="1" nd="1"/>
        <i x="271" s="1" nd="1"/>
        <i x="277" s="1" nd="1"/>
        <i x="214" s="1" nd="1"/>
        <i x="274" s="1" nd="1"/>
        <i x="279" s="1" nd="1"/>
        <i x="275" s="1" nd="1"/>
        <i x="241" s="1" nd="1"/>
        <i x="280" s="1" nd="1"/>
        <i x="282" s="1" nd="1"/>
        <i x="202" s="1" nd="1"/>
        <i x="209" s="1" nd="1"/>
        <i x="283" s="1" nd="1"/>
        <i x="206" s="1" nd="1"/>
        <i x="207" s="1" nd="1"/>
        <i x="201" s="1" nd="1"/>
        <i x="205" s="1" nd="1"/>
        <i x="92" s="1" nd="1"/>
        <i x="203" s="1" nd="1"/>
        <i x="212" s="1" nd="1"/>
        <i x="208" s="1" nd="1"/>
        <i x="210" s="1" nd="1"/>
        <i x="213" s="1" nd="1"/>
        <i x="221" s="1" nd="1"/>
        <i x="211" s="1" nd="1"/>
        <i x="220" s="1" nd="1"/>
        <i x="225" s="1" nd="1"/>
        <i x="219" s="1" nd="1"/>
        <i x="222" s="1" nd="1"/>
        <i x="232" s="1" nd="1"/>
        <i x="218" s="1" nd="1"/>
        <i x="215" s="1" nd="1"/>
        <i x="216" s="1" nd="1"/>
        <i x="231" s="1" nd="1"/>
        <i x="88" s="1" nd="1"/>
        <i x="224" s="1" nd="1"/>
        <i x="235" s="1" nd="1"/>
        <i x="230" s="1" nd="1"/>
        <i x="223" s="1" nd="1"/>
        <i x="247" s="1" nd="1"/>
        <i x="228" s="1" nd="1"/>
        <i x="238" s="1" nd="1"/>
        <i x="236" s="1" nd="1"/>
        <i x="226" s="1" nd="1"/>
        <i x="234" s="1" nd="1"/>
        <i x="233" s="1" nd="1"/>
        <i x="229" s="1" nd="1"/>
        <i x="239" s="1" nd="1"/>
        <i x="237" s="1" nd="1"/>
        <i x="240" s="1" nd="1"/>
        <i x="227" s="1" nd="1"/>
        <i x="168" s="1" nd="1"/>
        <i x="242" s="1" nd="1"/>
        <i x="243" s="1" nd="1"/>
        <i x="126" s="1" nd="1"/>
        <i x="128" s="1" nd="1"/>
        <i x="250" s="1" nd="1"/>
        <i x="122" s="1" nd="1"/>
        <i x="169" s="1" nd="1"/>
        <i x="244" s="1" nd="1"/>
        <i x="245" s="1" nd="1"/>
        <i x="125" s="1" nd="1"/>
        <i x="252" s="1" nd="1"/>
        <i x="124" s="1" nd="1"/>
        <i x="139" s="1" nd="1"/>
        <i x="251" s="1" nd="1"/>
        <i x="246" s="1" nd="1"/>
        <i x="143" s="1" nd="1"/>
        <i x="249" s="1" nd="1"/>
        <i x="248" s="1" nd="1"/>
        <i x="164" s="1" nd="1"/>
        <i x="117" s="1" nd="1"/>
        <i x="129" s="1" nd="1"/>
        <i x="165" s="1" nd="1"/>
        <i x="163" s="1" nd="1"/>
        <i x="121" s="1" nd="1"/>
        <i x="123" s="1" nd="1"/>
        <i x="127" s="1" nd="1"/>
        <i x="118" s="1" nd="1"/>
        <i x="153" s="1" nd="1"/>
        <i x="158" s="1" nd="1"/>
        <i x="119" s="1" nd="1"/>
        <i x="120" s="1" nd="1"/>
        <i x="130" s="1" nd="1"/>
        <i x="133" s="1" nd="1"/>
        <i x="140" s="1" nd="1"/>
        <i x="132" s="1" nd="1"/>
        <i x="135" s="1" nd="1"/>
        <i x="134" s="1" nd="1"/>
        <i x="177" s="1" nd="1"/>
        <i x="131" s="1" nd="1"/>
        <i x="156" s="1" nd="1"/>
        <i x="172" s="1" nd="1"/>
        <i x="136" s="1" nd="1"/>
        <i x="161" s="1" nd="1"/>
        <i x="174" s="1" nd="1"/>
        <i x="145" s="1" nd="1"/>
        <i x="186" s="1" nd="1"/>
        <i x="144" s="1" nd="1"/>
        <i x="141" s="1" nd="1"/>
        <i x="137" s="1" nd="1"/>
        <i x="138" s="1" nd="1"/>
        <i x="157" s="1" nd="1"/>
        <i x="146" s="1" nd="1"/>
        <i x="69" s="1" nd="1"/>
        <i x="147" s="1" nd="1"/>
        <i x="142" s="1" nd="1"/>
        <i x="149" s="1" nd="1"/>
        <i x="150" s="1" nd="1"/>
        <i x="179" s="1" nd="1"/>
        <i x="148" s="1" nd="1"/>
        <i x="166" s="1" nd="1"/>
        <i x="154" s="1" nd="1"/>
        <i x="151" s="1" nd="1"/>
        <i x="155" s="1" nd="1"/>
        <i x="152" s="1" nd="1"/>
        <i x="159" s="1" nd="1"/>
        <i x="178" s="1" nd="1"/>
        <i x="173" s="1" nd="1"/>
        <i x="192" s="1" nd="1"/>
        <i x="160" s="1" nd="1"/>
        <i x="62" s="1" nd="1"/>
        <i x="171" s="1" nd="1"/>
        <i x="162" s="1" nd="1"/>
        <i x="187" s="1" nd="1"/>
        <i x="170" s="1" nd="1"/>
        <i x="185" s="1" nd="1"/>
        <i x="70" s="1" nd="1"/>
        <i x="176" s="1" nd="1"/>
        <i x="175" s="1" nd="1"/>
        <i x="191" s="1" nd="1"/>
        <i x="188" s="1" nd="1"/>
        <i x="81" s="1" nd="1"/>
        <i x="196" s="1" nd="1"/>
        <i x="180" s="1" nd="1"/>
        <i x="189" s="1" nd="1"/>
        <i x="194" s="1" nd="1"/>
        <i x="72" s="1" nd="1"/>
        <i x="98" s="1" nd="1"/>
        <i x="198" s="1" nd="1"/>
        <i x="195" s="1" nd="1"/>
        <i x="63" s="1" nd="1"/>
        <i x="83" s="1" nd="1"/>
        <i x="190" s="1" nd="1"/>
        <i x="65" s="1" nd="1"/>
        <i x="181" s="1" nd="1"/>
        <i x="184" s="1" nd="1"/>
        <i x="80" s="1" nd="1"/>
        <i x="193" s="1" nd="1"/>
        <i x="182" s="1" nd="1"/>
        <i x="183" s="1" nd="1"/>
        <i x="67" s="1" nd="1"/>
        <i x="85" s="1" nd="1"/>
        <i x="86" s="1" nd="1"/>
        <i x="99" s="1" nd="1"/>
        <i x="197" s="1" nd="1"/>
        <i x="61" s="1" nd="1"/>
        <i x="84" s="1" nd="1"/>
        <i x="77" s="1" nd="1"/>
        <i x="64" s="1" nd="1"/>
        <i x="68" s="1" nd="1"/>
        <i x="74" s="1" nd="1"/>
        <i x="66" s="1" nd="1"/>
        <i x="90" s="1" nd="1"/>
        <i x="94" s="1" nd="1"/>
        <i x="95" s="1" nd="1"/>
        <i x="87" s="1" nd="1"/>
        <i x="71" s="1" nd="1"/>
        <i x="73" s="1" nd="1"/>
        <i x="75" s="1" nd="1"/>
        <i x="78" s="1" nd="1"/>
        <i x="91" s="1" nd="1"/>
        <i x="76" s="1" nd="1"/>
        <i x="97" s="1" nd="1"/>
        <i x="112" s="1" nd="1"/>
        <i x="79" s="1" nd="1"/>
        <i x="100" s="1" nd="1"/>
        <i x="96" s="1" nd="1"/>
        <i x="82" s="1" nd="1"/>
        <i x="104" s="1" nd="1"/>
        <i x="89" s="1" nd="1"/>
        <i x="113" s="1" nd="1"/>
        <i x="93" s="1" nd="1"/>
        <i x="116" s="1" nd="1"/>
        <i x="103" s="1" nd="1"/>
        <i x="108" s="1" nd="1"/>
        <i x="105" s="1" nd="1"/>
        <i x="107" s="1" nd="1"/>
        <i x="102" s="1" nd="1"/>
        <i x="101" s="1" nd="1"/>
        <i x="106" s="1" nd="1"/>
        <i x="114" s="1" nd="1"/>
        <i x="110" s="1" nd="1"/>
        <i x="109" s="1" nd="1"/>
        <i x="115" s="1" nd="1"/>
        <i x="111" s="1" nd="1"/>
        <i x="167" s="1" nd="1"/>
        <i x="28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2" totalsRowCount="1" headerRowDxfId="124" dataDxfId="123" headerRowCellStyle="Comma" dataCellStyle="Comma">
  <autoFilter ref="A1:K191" xr:uid="{11DACEC6-751B-4B1D-817F-5C5BCD38EF6D}"/>
  <tableColumns count="11">
    <tableColumn id="1" xr3:uid="{2FCE3FA8-A48C-4685-8919-AE44C6C71FD9}" name="Date" dataDxfId="122" dataCellStyle="Comma"/>
    <tableColumn id="2" xr3:uid="{5780FD5F-0890-44E6-B59C-8E37A559FE36}" name="Party Name" dataDxfId="121" dataCellStyle="Comma"/>
    <tableColumn id="3" xr3:uid="{5B3ECD85-9174-40AC-BFBD-49CAC97A83D3}" name="Bill Number" dataDxfId="120" dataCellStyle="Comma"/>
    <tableColumn id="4" xr3:uid="{11B50761-04B6-4262-AD4D-7182450037D1}" name="Quality" dataDxfId="119" dataCellStyle="Comma"/>
    <tableColumn id="5" xr3:uid="{2C556969-B713-4967-BD24-466AACCBE5F5}" name="Shipment Number" dataDxfId="118" totalsRowDxfId="6" dataCellStyle="Comma"/>
    <tableColumn id="6" xr3:uid="{F4E1FD2B-9017-4DEB-B772-BF447ECE56F7}" name="Kora/metre" dataDxfId="117" totalsRowDxfId="5" dataCellStyle="Comma"/>
    <tableColumn id="7" xr3:uid="{52ACC1DA-7A76-4A90-B809-3A1AE728E7EA}" name="Tiyaar/gaz" dataDxfId="116" totalsRowDxfId="4" dataCellStyle="Comma"/>
    <tableColumn id="8" xr3:uid="{31A0FF5E-56F0-44D1-9865-73256B964660}" name="shortage %" dataDxfId="115" totalsRowDxfId="3" dataCellStyle="Comma">
      <calculatedColumnFormula>_xlfn.XLOOKUP(Table1[[#This Row],[Shipment Number]], 'pivot '!A:A,'pivot '!G:G, "NF")</calculatedColumnFormula>
    </tableColumn>
    <tableColumn id="9" xr3:uid="{F99075E0-AC8E-094D-BB85-272AD2C6C568}" name="tiyar/meters" totalsRowFunction="custom" dataDxfId="114" totalsRowDxfId="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113" totalsRowDxfId="1"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112" totalsRowDxfId="0"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1" totalsRowCount="1" headerRowDxfId="109" headerRowBorderDxfId="108" tableBorderDxfId="107">
  <autoFilter ref="A1:I40" xr:uid="{F8E8C957-ABE7-4E4F-8D4E-7D44E26B334F}">
    <filterColumn colId="1">
      <filters>
        <filter val="Rafaqat"/>
      </filters>
    </filterColumn>
  </autoFilter>
  <tableColumns count="9">
    <tableColumn id="1" xr3:uid="{C2E817D6-AB98-4DDD-8890-736B27F261CD}" name="Date" dataDxfId="106" totalsRowDxfId="35"/>
    <tableColumn id="2" xr3:uid="{CFB51890-CCDC-463C-81C9-3F8BD7469CB9}" name="Party Name"/>
    <tableColumn id="3" xr3:uid="{A113D971-1C9D-4733-99C4-BD0CC4333209}" name="Vehicle Number"/>
    <tableColumn id="4" xr3:uid="{49780304-3DD1-4AE9-98EE-2BC7EB8F3B57}" name="Weight" dataDxfId="105" totalsRowDxfId="34" dataCellStyle="Comma"/>
    <tableColumn id="5" xr3:uid="{FCAF1BC6-1D8C-42AD-8BBC-F924BF2DC7FE}" name="Rate" dataDxfId="104" totalsRowDxfId="33" dataCellStyle="Comma"/>
    <tableColumn id="6" xr3:uid="{8C70A624-4134-410C-9C45-9FDEB51D51BF}" name="Rent" dataDxfId="103" totalsRowDxfId="32" dataCellStyle="Comma"/>
    <tableColumn id="7" xr3:uid="{EBCE10AE-9634-4982-9C95-37ABC8A7078C}" name="Total" totalsRowFunction="sum" dataDxfId="102" totalsRowDxfId="31" dataCellStyle="Comma">
      <calculatedColumnFormula>D2*E2</calculatedColumnFormula>
    </tableColumn>
    <tableColumn id="9" xr3:uid="{D4788559-C94A-44D9-B9AE-E72B214355AC}" name="Paid" totalsRowFunction="sum" dataDxfId="101" totalsRowDxfId="30" dataCellStyle="Comma"/>
    <tableColumn id="8" xr3:uid="{E26F5BF0-1875-4FC6-994D-49F202ED562B}" name="balance" totalsRowFunction="sum" dataDxfId="100" totalsRowDxfId="2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14" totalsRowCount="1">
  <autoFilter ref="A1:G313" xr:uid="{CB032221-B416-47A8-9A76-693DE76CFD04}"/>
  <tableColumns count="7">
    <tableColumn id="1" xr3:uid="{554B1EED-65B6-4E9A-B646-82727FAC40DE}" name="Date" dataDxfId="98" totalsRowDxfId="39"/>
    <tableColumn id="2" xr3:uid="{32259059-42CF-4947-83DE-115AA430BE2B}" name="Party"/>
    <tableColumn id="3" xr3:uid="{A1320223-D55D-483C-91C3-AB19B95CC9D8}" name="Debit" totalsRowFunction="sum" dataDxfId="97" totalsRowDxfId="38" dataCellStyle="Comma"/>
    <tableColumn id="4" xr3:uid="{E9745767-9FF0-4B1C-9052-FF335D1D7588}" name="Credit" totalsRowFunction="sum" dataDxfId="96" totalsRowDxfId="37" dataCellStyle="Comma"/>
    <tableColumn id="5" xr3:uid="{5C88A48E-2467-4E6D-B626-2442B7FD0BE4}" name="Description"/>
    <tableColumn id="6" xr3:uid="{63CA4666-144E-4BE6-8B7C-7CB992BD3041}" name="Mode" totalsRowFunction="custom" dataDxfId="95" totalsRowDxfId="3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4" tableBorderDxfId="93" totalsRowBorderDxfId="92">
  <autoFilter ref="J3:K6" xr:uid="{DCE01694-23ED-48BF-8B92-4186B9ED10A8}"/>
  <tableColumns count="2">
    <tableColumn id="1" xr3:uid="{C8484DAF-2989-4C2F-9AEC-A6917E1C57F6}" name="Type" dataDxfId="91"/>
    <tableColumn id="2" xr3:uid="{B07B7A2A-4D4E-4654-BED6-FE2F0A7BEC34}" name="Amount" dataDxfId="9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9" headerRowBorderDxfId="88" tableBorderDxfId="87" totalsRowBorderDxfId="86">
  <autoFilter ref="M3:O6" xr:uid="{D166BDD1-ACD7-45D7-8AE9-7350373F8CEB}"/>
  <tableColumns count="3">
    <tableColumn id="1" xr3:uid="{64F0205E-DEA7-4571-BA86-E4374A5FEE28}" name="Type" totalsRowLabel="Total" dataDxfId="85" totalsRowDxfId="84"/>
    <tableColumn id="2" xr3:uid="{15FA05F9-789C-4459-9BE0-5C1EC84D3365}" name="amount" totalsRowFunction="custom" dataDxfId="83" totalsRowDxfId="82">
      <totalsRowFormula>SUM(N5:N6)</totalsRowFormula>
    </tableColumn>
    <tableColumn id="3" xr3:uid="{3681D409-90C6-44D0-BDE2-4B5943A516F0}" name="Actual" totalsRowFunction="custom" totalsRowDxfId="8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0" totalsRowDxfId="79"/>
    <tableColumn id="2" xr3:uid="{5B9D0FEE-4304-4C5C-A05C-5B27CF7841D3}" name="Type"/>
    <tableColumn id="3" xr3:uid="{6A91CA0D-C802-4C6F-9F39-CA53687E8EDE}" name="Description"/>
    <tableColumn id="4" xr3:uid="{A251D40C-AB87-4BB4-85F8-444B20E32FDF}" name="Total" totalsRowFunction="custom" dataDxfId="78" totalsRowDxfId="7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5" totalsRowCount="1" headerRowDxfId="76" headerRowBorderDxfId="75">
  <autoFilter ref="A1:I14"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4"/>
    <tableColumn id="4" xr3:uid="{1889A312-9B41-4EC4-BD8F-05252F27084A}" name="Price" totalsRowFunction="sum"/>
    <tableColumn id="6" xr3:uid="{8B974B20-F003-4E67-8660-024FA4F324A9}" name="Party"/>
    <tableColumn id="7" xr3:uid="{0A5A5C21-FD61-47DA-9F54-66A6479FA557}" name="Paid" dataDxfId="73">
      <calculatedColumnFormula>SUMIFS(Table14[Debit], Table14[Date], Table8[[#This Row],[Date]], Table14[Party], Table8[[#This Row],[Party]])</calculatedColumnFormula>
    </tableColumn>
    <tableColumn id="8" xr3:uid="{8DCB3B43-2161-4081-82EC-CDB0F4DE4E6F}" name="Balance" totalsRowFunction="sum" dataDxfId="7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71" headerRowBorderDxfId="70">
  <autoFilter ref="A4:H19" xr:uid="{A4C80688-A8BA-4BA7-90B4-791CD99446B4}"/>
  <sortState xmlns:xlrd2="http://schemas.microsoft.com/office/spreadsheetml/2017/richdata2" ref="A5:H6">
    <sortCondition ref="A4:A6"/>
  </sortState>
  <tableColumns count="8">
    <tableColumn id="1" xr3:uid="{4A818912-918E-4111-ACFC-BC93FEF7C1AD}" name="Date" dataDxfId="69" totalsRowDxfId="68"/>
    <tableColumn id="8" xr3:uid="{477ACFD5-62AF-4F69-974B-E9B974C11D7D}" name="Party Name" dataDxfId="6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6">
      <calculatedColumnFormula>Table2[[#This Row],[Quantity]]*200*Table2[[#This Row],[Boxes]]</calculatedColumnFormula>
    </tableColumn>
    <tableColumn id="6" xr3:uid="{30432929-CBD4-4BA8-B63F-CD0F6CF6405F}" name="Paid" totalsRowFunction="sum" dataDxfId="6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3" totalsRowDxfId="6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1" totalsRowDxfId="60"/>
    <tableColumn id="2" xr3:uid="{053BFC14-4828-417C-9F9F-95B6E232A945}" name="Amount" totalsRowFunction="custom" dataDxfId="59" totalsRowDxfId="5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7" totalsRowDxfId="5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46" totalsRowDxfId="4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44" totalsRowDxfId="4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2">
      <calculatedColumnFormula>Billing!Q5</calculatedColumnFormula>
    </tableColumn>
    <tableColumn id="2" xr3:uid="{7093A59E-B58F-487D-888A-9AA8156B5F9A}" name="Amount Paid" dataDxfId="41">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40"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7"/>
  <sheetViews>
    <sheetView topLeftCell="Q1" zoomScale="109" zoomScaleNormal="80" workbookViewId="0">
      <selection activeCell="C22" sqref="C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5546875" bestFit="1" customWidth="1"/>
    <col min="25" max="25" width="12.33203125" bestFit="1" customWidth="1"/>
    <col min="26" max="26" width="11.3320312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197699.34162399417</v>
      </c>
      <c r="D2">
        <v>10</v>
      </c>
      <c r="E2" s="14">
        <f>(SUMIFS(ledger!G:G, ledger!B:B, B2, ledger!E:E, "&lt;&gt;*RD*",ledger!D:D, "Silky") / 1.0936)*12 + (SUMIFS(ledger!G:G, ledger!B:B, B2, ledger!E:E, "&lt;&gt;*RD*",ledger!D:D, "Chamki") / 1.0936)*10</f>
        <v>2177324.4330651062</v>
      </c>
      <c r="Q2" t="s">
        <v>1</v>
      </c>
    </row>
    <row r="3" spans="2:30" x14ac:dyDescent="0.3">
      <c r="B3" t="str">
        <f t="shared" si="0"/>
        <v>Ejaz Sahab</v>
      </c>
      <c r="C3" s="18">
        <f>SUMIFS(ledger!G:G, ledger!B:B, B3, ledger!E:E, "&lt;&gt;*RD*") / 1.0936</f>
        <v>55855.888807607902</v>
      </c>
      <c r="D3">
        <v>10</v>
      </c>
      <c r="E3" s="14">
        <f>(SUMIFS(ledger!G:G, ledger!B:B, B3, ledger!E:E, "&lt;&gt;*RD*",ledger!D:D, "Silky") / 1.0936)*12 + (SUMIFS(ledger!G:G, ledger!B:B, B3, ledger!E:E, "&lt;&gt;*RD*",ledger!D:D, "Chamki") / 1.0936)*10</f>
        <v>670270.66569129482</v>
      </c>
    </row>
    <row r="4" spans="2:30" x14ac:dyDescent="0.3">
      <c r="B4" t="str">
        <f t="shared" si="0"/>
        <v>Arshad</v>
      </c>
      <c r="C4" s="18">
        <f>SUMIFS(ledger!G:G, ledger!B:B, B4, ledger!E:E, "&lt;&gt;*RD*") / 1.0936</f>
        <v>156981.52889539138</v>
      </c>
      <c r="D4">
        <v>10</v>
      </c>
      <c r="E4" s="14">
        <f>(SUMIFS(ledger!G:G, ledger!B:B, B4, ledger!E:E, "&lt;&gt;*RD*",ledger!D:D, "Silky") / 1.0936)*12 + (SUMIFS(ledger!G:G, ledger!B:B, B4, ledger!E:E, "&lt;&gt;*RD*",ledger!D:D, "Chamki") / 1.0936)*10</f>
        <v>1696452.0848573521</v>
      </c>
      <c r="Q4" s="21"/>
      <c r="R4" s="23" t="s">
        <v>10</v>
      </c>
      <c r="S4" s="23" t="s">
        <v>11</v>
      </c>
      <c r="T4" s="23" t="s">
        <v>12</v>
      </c>
      <c r="U4" s="23" t="s">
        <v>13</v>
      </c>
      <c r="V4" s="23" t="s">
        <v>14</v>
      </c>
      <c r="W4" s="23" t="s">
        <v>15</v>
      </c>
      <c r="X4" s="23" t="s">
        <v>190</v>
      </c>
      <c r="Y4" s="23" t="s">
        <v>191</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8">_xlfn.UNIQUE(Table1[Party Name])</f>
        <v>BSC</v>
      </c>
      <c r="R5" s="22" cm="1">
        <f t="array" ref="R5">_xlfn.BYROW(B49,_xlfn.LAMBDA(_xlpm.party,SUMIFS(ledger!G:G,ledger!B:B,_xlpm.party,ledger!E:E,"&lt;&gt;*RD*")))+_xlfn.IFNA(C84,0)</f>
        <v>2421612</v>
      </c>
      <c r="S5" s="22" cm="1">
        <f t="array" ref="S5">_xlfn.BYROW(B49, _xlfn.LAMBDA(_xlpm.party, SUMIFS(ledger!G:G, ledger!B:B, _xlpm.party, ledger!E:E, "&lt;&gt;*RD*") / 1.0936 ))+_xlfn.IFNA(D84,0)</f>
        <v>2214348.9392831018</v>
      </c>
      <c r="T5" s="22" cm="1">
        <f t="array" ref="T5">(_xlfn.BYROW(B49,_xlfn.LAMBDA(_xlpm.party,SUMIFS(ledger!G:G,ledger!B:B,_xlpm.party,ledger!E:E,"&lt;&gt;*RD*",ledger!D:D,"Chamki")+SUMIFS(ledger!G:G, ledger!B:B, _xlpm.party, ledger!E:E, "&lt;&gt;*RD*", ledger!D:D, "Crinkle")))/1.0936)+_xlfn.IFNA(E84,0)</f>
        <v>1992936.1741038773</v>
      </c>
      <c r="U5" s="70" cm="1">
        <f t="array" ref="U5">(_xlfn.BYROW(B49,_xlfn.LAMBDA(_xlpm.party,SUMIFS(ledger!G:G,ledger!B:B,_xlpm.party,ledger!E:E,"&lt;&gt;*RD*",ledger!D:D,"Silky")))/1.0936)+_xlfn.IFNA(F84,0)</f>
        <v>221412.7651792246</v>
      </c>
      <c r="V5" s="22" cm="1">
        <f t="array" ref="V5">(_xlfn.BYROW(B49,_xlfn.LAMBDA(_xlpm.party,
(SUMIFS(ledger!J:J,ledger!B:B,_xlpm.party,ledger!E:E,"&lt;&gt;*RD*",ledger!D:D,"Chamki",ledger!C:C,"&lt;&gt;October Closing CF")+
SUMIFS(ledger!J:J,ledger!B:B,_xlpm.party,ledger!E:E,"&lt;&gt;*RD*",ledger!D:D,"Crinkle",ledger!C:C,"&lt;&gt;October Closing CF")
)+_xlfn.IFNA(G84,0))))</f>
        <v>19929361.741038777</v>
      </c>
      <c r="W5" s="70" cm="1">
        <f t="array" ref="W5">_xlfn.BYROW(B49, _xlfn.LAMBDA(_xlpm.party,
   SUMIFS(ledger!J:J, ledger!B:B, _xlpm.party, ledger!E:E, "&lt;&gt;*RD*", ledger!D:D, "Silky", ledger!C:C, "&lt;&gt;October Closing CF")
)) + _xlfn.IFNA(H84, 0)</f>
        <v>2790010.058522312</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22719371.799561091</v>
      </c>
      <c r="AA5" s="22">
        <f>(SUMIF(Table14[Party],Q5,Table14[Credit]))+_xlfn.IFNA(L84,0)</f>
        <v>19744734</v>
      </c>
      <c r="AB5" s="33">
        <f>Z5-AA5</f>
        <v>2974637.7995610908</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338925</v>
      </c>
      <c r="S6" s="22" cm="1">
        <f t="array" ref="S6">_xlfn.BYROW(B50, _xlfn.LAMBDA(_xlpm.party, SUMIFS(ledger!G:G, ledger!B:B, _xlpm.party, ledger!E:E, "&lt;&gt;*RD*") / 1.0936 ))+_xlfn.IFNA(D85,0)</f>
        <v>309916.78858814924</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161771.21433796635</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2043881.6752011706</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3525337.4177029994</v>
      </c>
      <c r="AA6" s="22">
        <f>(SUMIF(Table14[Party],Q6,Table14[Credit]))+_xlfn.IFNA(L85,0)</f>
        <v>3663904</v>
      </c>
      <c r="AB6" s="33">
        <f>Z6-AA6</f>
        <v>-138566.58229700057</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617181</v>
      </c>
      <c r="S7" s="22" cm="1">
        <f t="array" ref="S7">_xlfn.BYROW(B51, _xlfn.LAMBDA(_xlpm.party, SUMIFS(ledger!G:G, ledger!B:B, _xlpm.party, ledger!E:E, "&lt;&gt;*RD*") / 1.0936 ))+_xlfn.IFNA(D86,0)</f>
        <v>564357.16898317495</v>
      </c>
      <c r="T7" s="22" cm="1">
        <f t="array" ref="T7">(_xlfn.BYROW(B51,_xlfn.LAMBDA(_xlpm.party,SUMIFS(ledger!G:G,ledger!B:B,_xlpm.party,ledger!E:E,"&lt;&gt;*RD*",ledger!D:D,"Chamki")+SUMIFS(ledger!G:G, ledger!B:B, _xlpm.party, ledger!E:E, "&lt;&gt;*RD*", ledger!D:D, "Crinkle")))/1.0936)+_xlfn.IFNA(E86,0)</f>
        <v>486244.5135332846</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4862445.1353328461</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5863115.3986832481</v>
      </c>
      <c r="AA7" s="22">
        <f>(SUMIF(Table14[Party],Q7,Table14[Credit]))+_xlfn.IFNA(L86,0)</f>
        <v>5702935</v>
      </c>
      <c r="AB7" s="33">
        <f>Z7-AA7</f>
        <v>160180.39868324809</v>
      </c>
      <c r="AC7" s="21">
        <v>10</v>
      </c>
      <c r="AD7" s="21">
        <v>13</v>
      </c>
    </row>
    <row r="8" spans="2:30"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84636.064374542795</v>
      </c>
      <c r="D9">
        <v>10</v>
      </c>
      <c r="E9" s="14">
        <f>(SUMIFS(ledger!G:G, ledger!B:B, B9, ledger!E:E, "&lt;&gt;*RD*",ledger!D:D, "Silky") / 1.0936)*12 + (SUMIFS(ledger!G:G, ledger!B:B, B9, ledger!E:E, "&lt;&gt;*RD*",ledger!D:D, "Chamki") / 1.0936)*10</f>
        <v>846360.64374542795</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1393873.4455010975</v>
      </c>
      <c r="AA11" s="22">
        <f>(SUMIF(Table14[Party],Q11,Table14[Credit]))+_xlfn.IFNA(L90,0)</f>
        <v>900000</v>
      </c>
      <c r="AB11" s="33">
        <f t="shared" si="2"/>
        <v>493873.44550109748</v>
      </c>
      <c r="AC11" s="21">
        <v>10</v>
      </c>
      <c r="AD11" s="21">
        <v>13</v>
      </c>
    </row>
    <row r="12" spans="2:30"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297058</v>
      </c>
      <c r="S12" s="22" cm="1">
        <f t="array" ref="S12">_xlfn.BYROW(B56, _xlfn.LAMBDA(_xlpm.party, SUMIFS(ledger!G:G, ledger!B:B, _xlpm.party, ledger!E:E, "&lt;&gt;*RD*") / 1.0936 ))+_xlfn.IFNA(D91,0)</f>
        <v>271633.13825896126</v>
      </c>
      <c r="T12" s="22" cm="1">
        <f t="array" ref="T12">(_xlfn.BYROW(B56,_xlfn.LAMBDA(_xlpm.party,SUMIFS(ledger!G:G,ledger!B:B,_xlpm.party,ledger!E:E,"&lt;&gt;*RD*",ledger!D:D,"Chamki")+SUMIFS(ledger!G:G, ledger!B:B, _xlpm.party, ledger!E:E, "&lt;&gt;*RD*", ledger!D:D, "Crinkle")))/1.0936)+_xlfn.IFNA(E91,0)</f>
        <v>246444.76956839798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2464447.6956839799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2791896.4886613023</v>
      </c>
      <c r="AA12" s="22">
        <f>(SUMIF(Table14[Party],Q12,Table14[Credit]))+_xlfn.IFNA(L91,0)</f>
        <v>2772620</v>
      </c>
      <c r="AB12" s="33">
        <f t="shared" si="2"/>
        <v>19276.488661302254</v>
      </c>
      <c r="AC12" s="21">
        <v>10</v>
      </c>
      <c r="AD12" s="21">
        <v>13</v>
      </c>
    </row>
    <row r="13" spans="2:30" x14ac:dyDescent="0.3">
      <c r="B13" t="str">
        <f t="shared" si="0"/>
        <v>Badshah Fabrics</v>
      </c>
      <c r="C13" s="18">
        <f>SUMIFS(ledger!G:G, ledger!B:B, B13, ledger!E:E, "&lt;&gt;*RD*") / 1.0936</f>
        <v>64923.189465983909</v>
      </c>
      <c r="E13" s="14">
        <f>(SUMIFS(ledger!G:G, ledger!B:B, B13, ledger!E:E, "&lt;&gt;*RD*",ledger!D:D, "Silky") / 1.0936)*12 + (SUMIFS(ledger!G:G, ledger!B:B, B13, ledger!E:E, "&lt;&gt;*RD*",ledger!D:D, "Chamki") / 1.0936)*10</f>
        <v>750839.42940746166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640190</v>
      </c>
      <c r="AB13" s="33">
        <f t="shared" si="2"/>
        <v>1084.6891002196353</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1854562.9114850038</v>
      </c>
      <c r="AA15" s="22">
        <f>(SUMIF(Table14[Party],Q15,Table14[Credit]))+_xlfn.IFNA(L94,0)</f>
        <v>1705980</v>
      </c>
      <c r="AB15" s="33">
        <f t="shared" si="2"/>
        <v>148582.91148500377</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513848</v>
      </c>
      <c r="S16" s="22" cm="1">
        <f t="array" ref="S16">_xlfn.BYROW(B60, _xlfn.LAMBDA(_xlpm.party, SUMIFS(ledger!G:G, ledger!B:B, _xlpm.party, ledger!E:E, "&lt;&gt;*RD*") / 1.0936 ))+_xlfn.IFNA(D95,0)</f>
        <v>469868.32479882956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113958.48573518655</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1418305.5961960498</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4977403.9868324809</v>
      </c>
      <c r="AA16" s="22">
        <f>(SUMIF(Table14[Party],Q16,Table14[Credit]))+_xlfn.IFNA(L95,0)</f>
        <v>4925761</v>
      </c>
      <c r="AB16" s="33">
        <f t="shared" si="2"/>
        <v>51642.986832480878</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113423.55523043161</v>
      </c>
      <c r="E18" s="14">
        <f>(SUMIFS(ledger!G:G, ledger!B:B, B18, ledger!E:E, "&lt;&gt;*RD*",ledger!D:D, "Silky") / 1.0936)*12 + (SUMIFS(ledger!G:G, ledger!B:B, B18, ledger!E:E, "&lt;&gt;*RD*",ledger!D:D, "Chamki") / 1.0936)*10</f>
        <v>1361082.6627651793</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SUM(K49:K78)</f>
        <v>13447626.188734461</v>
      </c>
      <c r="D21" t="s">
        <v>30</v>
      </c>
      <c r="Q21" s="101" t="str">
        <v>Faizan</v>
      </c>
      <c r="R21" s="22" cm="1">
        <f t="array" ref="R21">_xlfn.BYROW(B65,_xlfn.LAMBDA(_xlpm.party,SUMIFS(ledger!G:G,ledger!B:B,_xlpm.party,ledger!E:E,"&lt;&gt;*RD*")))+_xlfn.IFNA(C100,0)</f>
        <v>346225</v>
      </c>
      <c r="S21" s="22" cm="1">
        <f t="array" ref="S21">_xlfn.BYROW(B65, _xlfn.LAMBDA(_xlpm.party, SUMIFS(ledger!G:G, ledger!B:B, _xlpm.party, ledger!E:E, "&lt;&gt;*RD*") / 1.0936 ))+_xlfn.IFNA(D100,0)</f>
        <v>316591.98975859547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313621.98244330654</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4077085.7717629853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4121635.8814923195</v>
      </c>
      <c r="AA21" s="22">
        <f>(SUMIF(Table14[Party],Q21,Table14[Credit]))+_xlfn.IFNA(L100,0)</f>
        <v>4915571</v>
      </c>
      <c r="AB21" s="33">
        <f t="shared" ref="AB21:AB35" si="4">Z21-AA21</f>
        <v>-793935.11850768048</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13323065.106071696</v>
      </c>
      <c r="D23" t="s">
        <v>32</v>
      </c>
      <c r="Q23" s="21" t="str">
        <v>Amjad sohail</v>
      </c>
      <c r="R23" s="22" cm="1">
        <f t="array" ref="R23">_xlfn.BYROW(B67,_xlfn.LAMBDA(_xlpm.party,SUMIFS(ledger!G:G,ledger!B:B,_xlpm.party,ledger!E:E,"&lt;&gt;*RD*")))+_xlfn.IFNA(C102,0)</f>
        <v>236739</v>
      </c>
      <c r="S23" s="22" cm="1">
        <f t="array" ref="S23">_xlfn.BYROW(B67, _xlfn.LAMBDA(_xlpm.party, SUMIFS(ledger!G:G, ledger!B:B, _xlpm.party, ledger!E:E, "&lt;&gt;*RD*") / 1.0936 ))+_xlfn.IFNA(D102,0)</f>
        <v>216476.77395757133</v>
      </c>
      <c r="T23" s="22" cm="1">
        <f t="array" ref="T23">(_xlfn.BYROW(B67,_xlfn.LAMBDA(_xlpm.party,SUMIFS(ledger!G:G,ledger!B:B,_xlpm.party,ledger!E:E,"&lt;&gt;*RD*",ledger!D:D,"Chamki")+SUMIFS(ledger!G:G, ledger!B:B, _xlpm.party, ledger!E:E, "&lt;&gt;*RD*", ledger!D:D, "Crinkle")))/1.0936)+_xlfn.IFNA(E102,0)</f>
        <v>172642.64813460133</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1726426.4813460135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2296270.1170446239</v>
      </c>
      <c r="AA23" s="22">
        <f>(SUMIF(Table14[Party],Q23,Table14[Credit]))+_xlfn.IFNA(L102,0)</f>
        <v>2300000</v>
      </c>
      <c r="AB23" s="33">
        <f t="shared" si="4"/>
        <v>-3729.8829553760588</v>
      </c>
      <c r="AC23" s="21">
        <v>10</v>
      </c>
      <c r="AD23" s="21">
        <v>13</v>
      </c>
    </row>
    <row r="24" spans="2:30" x14ac:dyDescent="0.3">
      <c r="Q24" t="str">
        <v>Salman Zaffar</v>
      </c>
      <c r="R24" s="22" cm="1">
        <f t="array" ref="R24">_xlfn.BYROW(B68,_xlfn.LAMBDA(_xlpm.party,SUMIFS(ledger!G:G,ledger!B:B,_xlpm.party,ledger!E:E,"&lt;&gt;*RD*")))+_xlfn.IFNA(C103,0)</f>
        <v>39842</v>
      </c>
      <c r="S24" s="22" cm="1">
        <f t="array" ref="S24">_xlfn.BYROW(B68, _xlfn.LAMBDA(_xlpm.party, SUMIFS(ledger!G:G, ledger!B:B, _xlpm.party, ledger!E:E, "&lt;&gt;*RD*") / 1.0936 ))+_xlfn.IFNA(D103,0)</f>
        <v>36431.967812728602</v>
      </c>
      <c r="T24" s="22" cm="1">
        <f t="array" ref="T24">(_xlfn.BYROW(B68,_xlfn.LAMBDA(_xlpm.party,SUMIFS(ledger!G:G,ledger!B:B,_xlpm.party,ledger!E:E,"&lt;&gt;*RD*",ledger!D:D,"Chamki")+SUMIFS(ledger!G:G, ledger!B:B, _xlpm.party, ledger!E:E, "&lt;&gt;*RD*", ledger!D:D, "Crinkle")))/1.0936)+_xlfn.IFNA(E103,0)</f>
        <v>5022.8602779809808</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50228.602779809808</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458547.00073152897</v>
      </c>
      <c r="AA24" s="22">
        <f>(SUMIF(Table14[Party],Q24,Table14[Credit]))+_xlfn.IFNA(L103,0)</f>
        <v>0</v>
      </c>
      <c r="AB24" s="33">
        <f t="shared" si="4"/>
        <v>458547.00073152897</v>
      </c>
      <c r="AC24" s="21">
        <v>10</v>
      </c>
      <c r="AD24" s="21">
        <v>13</v>
      </c>
    </row>
    <row r="25" spans="2:30" x14ac:dyDescent="0.3">
      <c r="Q25" t="str">
        <v>Shahid Qasayi</v>
      </c>
      <c r="R25" s="22" cm="1">
        <f t="array" ref="R25">_xlfn.BYROW(B69,_xlfn.LAMBDA(_xlpm.party,SUMIFS(ledger!G:G,ledger!B:B,_xlpm.party,ledger!E:E,"&lt;&gt;*RD*")))+_xlfn.IFNA(C104,0)</f>
        <v>62740</v>
      </c>
      <c r="S25" s="22" cm="1">
        <f t="array" ref="S25">_xlfn.BYROW(B69, _xlfn.LAMBDA(_xlpm.party, SUMIFS(ledger!G:G, ledger!B:B, _xlpm.party, ledger!E:E, "&lt;&gt;*RD*") / 1.0936 ))+_xlfn.IFNA(D104,0)</f>
        <v>57370.153621068035</v>
      </c>
      <c r="T25" s="22" cm="1">
        <f t="array" ref="T25">(_xlfn.BYROW(B69,_xlfn.LAMBDA(_xlpm.party,SUMIFS(ledger!G:G,ledger!B:B,_xlpm.party,ledger!E:E,"&lt;&gt;*RD*",ledger!D:D,"Chamki")+SUMIFS(ledger!G:G, ledger!B:B, _xlpm.party, ledger!E:E, "&lt;&gt;*RD*", ledger!D:D, "Crinkle")))/1.0936)+_xlfn.IFNA(E104,0)</f>
        <v>57370.153621068035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573701.53621068026</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573701.53621068026</v>
      </c>
      <c r="AA25" s="22">
        <f>(SUMIF(Table14[Party],Q25,Table14[Credit]))+_xlfn.IFNA(L104,0)</f>
        <v>553325</v>
      </c>
      <c r="AB25" s="33">
        <f t="shared" si="4"/>
        <v>20376.536210680264</v>
      </c>
      <c r="AC25" s="21">
        <v>10</v>
      </c>
      <c r="AD25" s="21">
        <v>13</v>
      </c>
    </row>
    <row r="26" spans="2:30"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424323.335771763</v>
      </c>
      <c r="AA26" s="22">
        <f>(SUMIF(Table14[Party],Q26,Table14[Credit]))+_xlfn.IFNA(L105,0)</f>
        <v>424323</v>
      </c>
      <c r="AB26" s="33">
        <f t="shared" si="4"/>
        <v>0.33577176299877465</v>
      </c>
      <c r="AC26" s="21">
        <v>10</v>
      </c>
      <c r="AD26" s="21">
        <v>13</v>
      </c>
    </row>
    <row r="27" spans="2:30"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339383.68690563279</v>
      </c>
      <c r="AA27" s="22">
        <f>(SUMIF(Table14[Party],Q27,Table14[Credit]))+_xlfn.IFNA(L106,0)</f>
        <v>337000</v>
      </c>
      <c r="AB27" s="33">
        <f t="shared" si="4"/>
        <v>2383.6869056327851</v>
      </c>
      <c r="AC27" s="21">
        <v>10</v>
      </c>
      <c r="AD27" s="21">
        <v>13</v>
      </c>
    </row>
    <row r="28" spans="2:30"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124561.08266276518</v>
      </c>
      <c r="AA28" s="22">
        <f>(SUMIF(Table14[Party],Q28,Table14[Credit]))+_xlfn.IFNA(L107,0)</f>
        <v>124560</v>
      </c>
      <c r="AB28" s="33">
        <f t="shared" si="4"/>
        <v>1.0826627651840681</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156</v>
      </c>
    </row>
    <row r="48" spans="2:30"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6" x14ac:dyDescent="0.3">
      <c r="A49" t="s">
        <v>33</v>
      </c>
      <c r="B49" s="24" t="str" cm="1">
        <f t="array" ref="B49:B72">_xlfn.UNIQUE(Table1[Party Name])</f>
        <v>BSC</v>
      </c>
      <c r="C49" s="22" cm="1">
        <f t="array" ref="C49:C72">_xlfn.BYROW(_xlfn.ANCHORARRAY(B49),_xlfn.LAMBDA(_xlpm.party,SUMIFS(ledger!G:G,ledger!B:B,_xlpm.party,ledger!E:E,"&lt;&gt;*RD*")))</f>
        <v>216204</v>
      </c>
      <c r="D49" s="22" cm="1">
        <f t="array" ref="D49:D72">_xlfn.BYROW(_xlfn.ANCHORARRAY(B49), _xlfn.LAMBDA(_xlpm.party, SUMIFS(ledger!G:G, ledger!B:B, _xlpm.party, ledger!E:E, "&lt;&gt;*RD*") / 1.0936 ))</f>
        <v>197699.34162399417</v>
      </c>
      <c r="E49" s="63" cm="1">
        <f t="array" ref="E49:E72">(_xlfn.BYROW(_xlfn.ANCHORARRAY(B49),_xlfn.LAMBDA(_xlpm.party,SUMIFS(ledger!G:G,ledger!B:B,_xlpm.party,ledger!E:E,"&lt;&gt;*RD*",ledger!D:D,"Chamki")+SUMIFS(ledger!G:G, ledger!B:B, _xlpm.party, ledger!E:E, "&lt;&gt;*RD*", ledger!D:D, "Crinkle")))/1.0936)</f>
        <v>97533.833211411853</v>
      </c>
      <c r="F49" s="63" cm="1">
        <f t="array" ref="F49:F72">(_xlfn.BYROW(_xlfn.ANCHORARRAY(B49),_xlfn.LAMBDA(_xlpm.party,SUMIFS(ledger!G:G,ledger!B:B,_xlpm.party,ledger!E:E,"&lt;&gt;*RD*",ledger!D:D,"Silky")))/1.0936)</f>
        <v>100165.50841258231</v>
      </c>
      <c r="G49" s="22" cm="1">
        <f t="array" ref="G49">(_xlfn.BYROW(B49,_xlfn.LAMBDA(_xlpm.party,
(SUMIFS(ledger!J:J,ledger!B:B,_xlpm.party,ledger!E:E,"&lt;&gt;*RD*",ledger!D:D,"Chamki",ledger!C:C,"&lt;&gt;October Closing CF")+
SUMIFS(ledger!J:J,ledger!B:B,_xlpm.party,ledger!E:E,"&lt;&gt;*RD*",ledger!D:D,"Crinkle",ledger!C:C,"&lt;&gt;October Closing CF")
))))</f>
        <v>975338.33211411885</v>
      </c>
      <c r="H49" s="22" cm="1">
        <f t="array" ref="H49">_xlfn.BYROW(B49, _xlfn.LAMBDA(_xlpm.party,
   SUMIFS(ledger!J:J, ledger!B:B, _xlpm.party, ledger!E:E, "&lt;&gt;*RD*", ledger!D:D, "Silky", ledger!C:C, "&lt;&gt;October Closing CF")
))</f>
        <v>1302151.6093635699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2277489.941477689</v>
      </c>
      <c r="L49" s="22">
        <f>(SUMIF(Table14[Party],B49,Table14[Credit]))</f>
        <v>1333058</v>
      </c>
      <c r="M49" s="37">
        <f>K49-L49</f>
        <v>944431.94147768896</v>
      </c>
      <c r="N49" s="21">
        <v>10</v>
      </c>
      <c r="O49" s="21">
        <v>12</v>
      </c>
    </row>
    <row r="50" spans="1:26" x14ac:dyDescent="0.3">
      <c r="B50" s="24" t="str">
        <v>Ejaz Sahab</v>
      </c>
      <c r="C50" s="22">
        <v>61084</v>
      </c>
      <c r="D50" s="22">
        <v>55855.888807607902</v>
      </c>
      <c r="E50" s="63">
        <v>0</v>
      </c>
      <c r="F50" s="63">
        <v>55855.888807607902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726126.55449890287</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6">G50+H50+I50+J50</f>
        <v>726126.55449890287</v>
      </c>
      <c r="L50" s="22">
        <f>(SUMIF(Table14[Party],B50,Table14[Credit]))</f>
        <v>500000</v>
      </c>
      <c r="M50" s="37">
        <f>K50-L50</f>
        <v>226126.55449890287</v>
      </c>
      <c r="N50" s="21">
        <v>10</v>
      </c>
      <c r="O50" s="21">
        <v>12</v>
      </c>
    </row>
    <row r="51" spans="1:26" x14ac:dyDescent="0.3">
      <c r="B51" s="24" t="str">
        <v>Arshad</v>
      </c>
      <c r="C51" s="22">
        <v>171675</v>
      </c>
      <c r="D51" s="22">
        <v>156981.52889539138</v>
      </c>
      <c r="E51" s="63">
        <v>93663.13094367228</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936631.30943672301</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1759770.4828090714</v>
      </c>
      <c r="L51" s="22">
        <f>(SUMIF(Table14[Party],B51,Table14[Credit]))</f>
        <v>1600000</v>
      </c>
      <c r="M51" s="37">
        <f>K51-L51</f>
        <v>159770.48280907143</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471086.32040965627</v>
      </c>
      <c r="L55" s="22">
        <f>(SUMIF(Table14[Party],B55,Table14[Credit]))</f>
        <v>0</v>
      </c>
      <c r="M55" s="37">
        <f t="shared" si="7"/>
        <v>471086.32040965627</v>
      </c>
      <c r="N55" s="21">
        <v>10</v>
      </c>
      <c r="O55" s="21">
        <v>12</v>
      </c>
    </row>
    <row r="56" spans="1:26" x14ac:dyDescent="0.3">
      <c r="B56" s="24" t="str">
        <v>Azam</v>
      </c>
      <c r="C56" s="22">
        <v>92558</v>
      </c>
      <c r="D56" s="22">
        <v>84636.064374542795</v>
      </c>
      <c r="E56" s="63">
        <v>84636.064374542795</v>
      </c>
      <c r="F56" s="63">
        <v>0</v>
      </c>
      <c r="G56" s="22" cm="1">
        <f t="array" ref="G56">(_xlfn.BYROW(B56,_xlfn.LAMBDA(_xlpm.party,
(SUMIFS(ledger!J:J,ledger!B:B,_xlpm.party,ledger!E:E,"&lt;&gt;*RD*",ledger!D:D,"Chamki",ledger!C:C,"&lt;&gt;October Closing CF")+
SUMIFS(ledger!J:J,ledger!B:B,_xlpm.party,ledger!E:E,"&lt;&gt;*RD*",ledger!D:D,"Crinkle",ledger!C:C,"&lt;&gt;October Closing CF")
))))</f>
        <v>846360.64374542795</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846360.64374542795</v>
      </c>
      <c r="L56" s="22">
        <f>(SUMIF(Table14[Party],B56,Table14[Credit]))</f>
        <v>1155000</v>
      </c>
      <c r="M56" s="37">
        <f t="shared" ref="M56:M78" si="8">K56-L56</f>
        <v>-308639.35625457205</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10040</v>
      </c>
      <c r="M57" s="37">
        <f t="shared" si="8"/>
        <v>-10040</v>
      </c>
      <c r="N57" s="21">
        <v>10</v>
      </c>
      <c r="O57" s="21">
        <v>12</v>
      </c>
      <c r="X57" s="4" t="s">
        <v>21</v>
      </c>
      <c r="Y57" s="5">
        <v>197699.34162399417</v>
      </c>
      <c r="Z57" s="18">
        <v>2177324.4330651062</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55855.888807607902</v>
      </c>
      <c r="Z58" s="18">
        <v>670270.66569129482</v>
      </c>
    </row>
    <row r="59" spans="1:26"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643050.47549378208</v>
      </c>
      <c r="L59" s="22">
        <f>SUMIF(Table14[Party], B59, Table14[Credit])</f>
        <v>505980</v>
      </c>
      <c r="M59" s="37">
        <f t="shared" si="8"/>
        <v>137070.47549378208</v>
      </c>
      <c r="N59" s="21">
        <v>10</v>
      </c>
      <c r="O59" s="21">
        <v>12</v>
      </c>
      <c r="X59" s="4" t="s">
        <v>9</v>
      </c>
      <c r="Y59" s="5">
        <v>156981.52889539138</v>
      </c>
      <c r="Z59" s="18">
        <v>1696452.0848573521</v>
      </c>
    </row>
    <row r="60" spans="1:26" x14ac:dyDescent="0.3">
      <c r="B60" s="24" t="str">
        <v>Badshah Fabrics</v>
      </c>
      <c r="C60" s="22">
        <v>71000</v>
      </c>
      <c r="D60" s="22">
        <v>64923.189465983909</v>
      </c>
      <c r="E60" s="63">
        <v>14119.422092172643</v>
      </c>
      <c r="F60" s="63">
        <v>50803.767373811272</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660448.97585954645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801643.19678127288</v>
      </c>
      <c r="L60" s="22">
        <f>SUMIF(Table14[Party], B60, Table14[Credit])</f>
        <v>925217</v>
      </c>
      <c r="M60" s="37">
        <f t="shared" si="8"/>
        <v>-123573.80321872712</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47108.632040965625</v>
      </c>
      <c r="Z63" s="18">
        <v>471086.32040965627</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153</v>
      </c>
      <c r="Y64" s="5">
        <v>84636.064374542795</v>
      </c>
      <c r="Z64" s="18">
        <v>846360.64374542795</v>
      </c>
    </row>
    <row r="65" spans="2:26" x14ac:dyDescent="0.3">
      <c r="B65" t="str">
        <v>Faizan</v>
      </c>
      <c r="C65" s="22">
        <v>124040</v>
      </c>
      <c r="D65" s="22">
        <v>113423.55523043161</v>
      </c>
      <c r="E65" s="63">
        <v>0</v>
      </c>
      <c r="F65" s="63">
        <v>113423.55523043161</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1474506.217995611</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1474506.217995611</v>
      </c>
      <c r="L65" s="22">
        <f>SUMIF(Table14[Party], B65, Table14[Credit])</f>
        <v>2000000</v>
      </c>
      <c r="M65" s="37">
        <f t="shared" si="8"/>
        <v>-525493.78200438898</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149</v>
      </c>
      <c r="Y66" s="5">
        <v>0</v>
      </c>
      <c r="Z66" s="18">
        <v>0</v>
      </c>
    </row>
    <row r="67" spans="2:26" x14ac:dyDescent="0.3">
      <c r="B67" t="str">
        <v>Amjad sohail</v>
      </c>
      <c r="C67" s="22">
        <v>128390</v>
      </c>
      <c r="D67" s="22">
        <v>117401.24359912217</v>
      </c>
      <c r="E67" s="63">
        <v>117401.24359912217</v>
      </c>
      <c r="F67" s="63">
        <v>0</v>
      </c>
      <c r="G67" s="22" cm="1">
        <f t="array" ref="G67">(_xlfn.BYROW(B67,_xlfn.LAMBDA(_xlpm.party,
(SUMIFS(ledger!J:J,ledger!B:B,_xlpm.party,ledger!E:E,"&lt;&gt;*RD*",ledger!D:D,"Chamki",ledger!C:C,"&lt;&gt;October Closing CF")+
SUMIFS(ledger!J:J,ledger!B:B,_xlpm.party,ledger!E:E,"&lt;&gt;*RD*",ledger!D:D,"Crinkle",ledger!C:C,"&lt;&gt;October Closing CF")
))))</f>
        <v>1174012.4359912218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1174012.4359912218</v>
      </c>
      <c r="L67" s="22">
        <f>SUMIF(Table14[Party], B67, Table14[Credit])</f>
        <v>1500000</v>
      </c>
      <c r="M67" s="37">
        <f t="shared" si="8"/>
        <v>-325987.56400877819</v>
      </c>
      <c r="N67" s="21">
        <v>10</v>
      </c>
      <c r="O67" s="21">
        <v>12</v>
      </c>
      <c r="X67" s="4" t="s">
        <v>27</v>
      </c>
      <c r="Y67" s="5">
        <v>64305.047549378207</v>
      </c>
      <c r="Z67" s="18">
        <v>643050.47549378208</v>
      </c>
    </row>
    <row r="68" spans="2:26" x14ac:dyDescent="0.3">
      <c r="B68" t="str">
        <v>Salman Zaffar</v>
      </c>
      <c r="C68" s="22">
        <v>39842</v>
      </c>
      <c r="D68" s="22">
        <v>36431.967812728602</v>
      </c>
      <c r="E68" s="63">
        <v>5022.8602779809808</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50228.602779809808</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458547.00073152897</v>
      </c>
      <c r="L68" s="22">
        <f>SUMIF(Table14[Party], B68, Table14[Credit])</f>
        <v>0</v>
      </c>
      <c r="M68" s="37">
        <f t="shared" si="8"/>
        <v>458547.00073152897</v>
      </c>
      <c r="N68" s="21">
        <v>10</v>
      </c>
      <c r="O68" s="21">
        <v>12</v>
      </c>
      <c r="X68" s="4" t="s">
        <v>167</v>
      </c>
      <c r="Y68" s="5">
        <v>64923.189465983909</v>
      </c>
      <c r="Z68" s="18">
        <v>750839.42940746166</v>
      </c>
    </row>
    <row r="69" spans="2:26" x14ac:dyDescent="0.3">
      <c r="B69" t="str">
        <v>Shahid Qasayi</v>
      </c>
      <c r="C69" s="22">
        <v>62740</v>
      </c>
      <c r="D69" s="22">
        <v>57370.153621068035</v>
      </c>
      <c r="E69" s="63">
        <v>57370.153621068035</v>
      </c>
      <c r="F69" s="21">
        <v>0</v>
      </c>
      <c r="G69" s="22" cm="1">
        <f t="array" ref="G69">(_xlfn.BYROW(B69,_xlfn.LAMBDA(_xlpm.party,
(SUMIFS(ledger!J:J,ledger!B:B,_xlpm.party,ledger!E:E,"&lt;&gt;*RD*",ledger!D:D,"Chamki",ledger!C:C,"&lt;&gt;October Closing CF")+
SUMIFS(ledger!J:J,ledger!B:B,_xlpm.party,ledger!E:E,"&lt;&gt;*RD*",ledger!D:D,"Crinkle",ledger!C:C,"&lt;&gt;October Closing CF")
))))</f>
        <v>573701.53621068026</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573701.53621068026</v>
      </c>
      <c r="L69" s="22">
        <f>SUMIF(Table14[Party], B69, Table14[Credit])</f>
        <v>553325</v>
      </c>
      <c r="M69" s="37">
        <f t="shared" si="8"/>
        <v>20376.536210680264</v>
      </c>
      <c r="N69" s="21">
        <v>10</v>
      </c>
      <c r="O69" s="21">
        <v>12</v>
      </c>
      <c r="X69" s="4" t="s">
        <v>169</v>
      </c>
      <c r="Y69" s="5">
        <v>0</v>
      </c>
      <c r="Z69" s="18">
        <v>0</v>
      </c>
    </row>
    <row r="70" spans="2:26"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6"/>
        <v>424323.335771763</v>
      </c>
      <c r="L70" s="22">
        <f>SUMIF(Table14[Party], B70, Table14[Credit])</f>
        <v>424323</v>
      </c>
      <c r="M70" s="37">
        <f t="shared" si="8"/>
        <v>0.33577176299877465</v>
      </c>
      <c r="X70" s="4" t="s">
        <v>176</v>
      </c>
      <c r="Y70" s="5">
        <v>0</v>
      </c>
      <c r="Z70" s="18">
        <v>0</v>
      </c>
    </row>
    <row r="71" spans="2:26"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6"/>
        <v>339383.68690563279</v>
      </c>
      <c r="L71" s="22">
        <f>SUMIF(Table14[Party], B71, Table14[Credit])</f>
        <v>337000</v>
      </c>
      <c r="M71" s="37">
        <f t="shared" si="8"/>
        <v>2383.6869056327851</v>
      </c>
      <c r="X71" s="4" t="s">
        <v>177</v>
      </c>
      <c r="Y71" s="5">
        <v>0</v>
      </c>
      <c r="Z71" s="18">
        <v>0</v>
      </c>
    </row>
    <row r="72" spans="2:26"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6"/>
        <v>124561.08266276518</v>
      </c>
      <c r="L72" s="22">
        <f>SUMIF(Table14[Party], B72, Table14[Credit])</f>
        <v>124560</v>
      </c>
      <c r="M72" s="37">
        <f t="shared" si="8"/>
        <v>1.0826627651840681</v>
      </c>
      <c r="X72" s="4" t="s">
        <v>179</v>
      </c>
      <c r="Y72" s="5">
        <v>0</v>
      </c>
      <c r="Z72" s="18">
        <v>0</v>
      </c>
    </row>
    <row r="73" spans="2:26"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6"/>
        <v>0</v>
      </c>
      <c r="L73" s="22">
        <f>SUMIF(Table14[Party], B73, Table14[Credit])</f>
        <v>0</v>
      </c>
      <c r="M73" s="37">
        <f t="shared" si="8"/>
        <v>0</v>
      </c>
      <c r="X73" s="4" t="s">
        <v>184</v>
      </c>
      <c r="Y73" s="5">
        <v>113423.55523043161</v>
      </c>
      <c r="Z73" s="18">
        <v>1361082.6627651793</v>
      </c>
    </row>
    <row r="74" spans="2:26"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6"/>
        <v>0</v>
      </c>
      <c r="L74" s="22">
        <f>SUMIF(Table14[Party], B74, Table14[Credit])</f>
        <v>0</v>
      </c>
      <c r="M74" s="37">
        <f t="shared" si="8"/>
        <v>0</v>
      </c>
      <c r="X74" s="4" t="s">
        <v>28</v>
      </c>
      <c r="Y74" s="14">
        <v>920239.57571324077</v>
      </c>
      <c r="Z74" s="14">
        <v>9969529.9926847126</v>
      </c>
    </row>
    <row r="75" spans="2:26"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6"/>
        <v>0</v>
      </c>
      <c r="L75" s="22">
        <f>SUMIF(Table14[Party], B75, Table14[Credit])</f>
        <v>0</v>
      </c>
      <c r="M75" s="37">
        <f t="shared" si="8"/>
        <v>0</v>
      </c>
    </row>
    <row r="76" spans="2:26"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6"/>
        <v>0</v>
      </c>
      <c r="L76" s="22">
        <f>SUMIF(Table14[Party], B76, Table14[Credit])</f>
        <v>0</v>
      </c>
      <c r="M76" s="37">
        <f t="shared" si="8"/>
        <v>0</v>
      </c>
    </row>
    <row r="77" spans="2:26"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6"/>
        <v>0</v>
      </c>
      <c r="L77" s="22">
        <f>SUMIF(Table14[Party], B77, Table14[Credit])</f>
        <v>0</v>
      </c>
      <c r="M77" s="37">
        <f t="shared" si="8"/>
        <v>0</v>
      </c>
    </row>
    <row r="78" spans="2:26"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6"/>
        <v>0</v>
      </c>
      <c r="L78" s="22">
        <f>SUMIF(Table14[Party], B78, Table14[Credit])</f>
        <v>0</v>
      </c>
      <c r="M78" s="37">
        <f t="shared" si="8"/>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7">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7"/>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7">_xlfn.UNIQUE(Table1[Party Name])</f>
        <v>BSC</v>
      </c>
    </row>
    <row r="5" spans="2:10" x14ac:dyDescent="0.3">
      <c r="J5" t="str">
        <v>Ejaz Sahab</v>
      </c>
    </row>
    <row r="6" spans="2:10" ht="21" x14ac:dyDescent="0.4">
      <c r="B6" s="64" t="s">
        <v>192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2421612</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2214348.9392831018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1992936.1741038773</v>
      </c>
      <c r="E12" s="92">
        <f ca="1">Table21[[#This Row],[gazana]]*Table21[[#This Row],[Rate]]</f>
        <v>19929361.741038773</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221412.7651792246</v>
      </c>
      <c r="E14" s="66">
        <f ca="1">Table21[[#This Row],[gazana]]*Table21[[#This Row],[Rate]]</f>
        <v>2656953.1821506955</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22586314.923189469</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19744734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2974637.7995610908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5032930</v>
      </c>
      <c r="D4" t="s">
        <v>219</v>
      </c>
    </row>
    <row r="5" spans="1:4" x14ac:dyDescent="0.3">
      <c r="B5" t="s">
        <v>48</v>
      </c>
      <c r="C5" s="11">
        <f>SUM(Table8[Price])+Table2325[[#Totals],[total]]</f>
        <v>1241770</v>
      </c>
    </row>
    <row r="6" spans="1:4" x14ac:dyDescent="0.3">
      <c r="B6" t="s">
        <v>49</v>
      </c>
      <c r="C6" s="11">
        <f>SUM(Table2[Price])+Finish!J30</f>
        <v>852000</v>
      </c>
      <c r="D6" t="s">
        <v>218</v>
      </c>
    </row>
    <row r="7" spans="1:4" x14ac:dyDescent="0.3">
      <c r="B7" t="s">
        <v>50</v>
      </c>
      <c r="C7" s="11">
        <f>SUMIFS(Table14[Debit], Table14[Party],Table12[[#This Row],[Type]])</f>
        <v>12820</v>
      </c>
    </row>
    <row r="8" spans="1:4" x14ac:dyDescent="0.3">
      <c r="B8" t="s">
        <v>51</v>
      </c>
      <c r="C8" s="11">
        <f>Electricity!E3</f>
        <v>0</v>
      </c>
    </row>
    <row r="9" spans="1:4" x14ac:dyDescent="0.3">
      <c r="B9" t="s">
        <v>52</v>
      </c>
      <c r="C9" s="11">
        <f>SUMIFS(Table14[Debit], Table14[Party],Table12[[#This Row],[Type]])+SUMIFS(Table14[Debit], Table14[Party],"Advance Salary")</f>
        <v>395250</v>
      </c>
    </row>
    <row r="10" spans="1:4" x14ac:dyDescent="0.3">
      <c r="B10" t="s">
        <v>53</v>
      </c>
      <c r="C10" s="11">
        <f>Table5[[#Totals],[Amount]]</f>
        <v>104770</v>
      </c>
    </row>
    <row r="11" spans="1:4" x14ac:dyDescent="0.3">
      <c r="B11" t="s">
        <v>54</v>
      </c>
      <c r="C11" s="11">
        <f>Table13[[#Totals],[Debit]]</f>
        <v>136250</v>
      </c>
    </row>
    <row r="12" spans="1:4" x14ac:dyDescent="0.3">
      <c r="B12" t="s">
        <v>55</v>
      </c>
      <c r="C12" s="11">
        <f>Table15[[#Totals],[Amount]]</f>
        <v>301220</v>
      </c>
    </row>
    <row r="13" spans="1:4" x14ac:dyDescent="0.3">
      <c r="C13" s="11"/>
    </row>
    <row r="14" spans="1:4" x14ac:dyDescent="0.3">
      <c r="C14" s="14">
        <f>SUM(Table12[Amount])</f>
        <v>8077010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13323065.106071696</v>
      </c>
    </row>
    <row r="4" spans="1:3" x14ac:dyDescent="0.3">
      <c r="B4" s="11" t="s">
        <v>44</v>
      </c>
      <c r="C4" s="11">
        <f>Table12[[#Totals],[Amount]]</f>
        <v>8077010</v>
      </c>
    </row>
    <row r="5" spans="1:3" x14ac:dyDescent="0.3">
      <c r="A5" s="6"/>
      <c r="B5" s="15" t="s">
        <v>68</v>
      </c>
      <c r="C5" s="15">
        <f>C3-C4</f>
        <v>5246055.1060716957</v>
      </c>
    </row>
    <row r="10" spans="1:3" ht="15" thickBot="1" x14ac:dyDescent="0.35">
      <c r="B10" t="s">
        <v>66</v>
      </c>
      <c r="C10" s="14" t="s">
        <v>67</v>
      </c>
    </row>
    <row r="11" spans="1:3" x14ac:dyDescent="0.3">
      <c r="B11" s="56" t="s">
        <v>0</v>
      </c>
      <c r="C11" s="57">
        <f>C3</f>
        <v>13323065.106071696</v>
      </c>
    </row>
    <row r="12" spans="1:3" x14ac:dyDescent="0.3">
      <c r="B12" s="58" t="s">
        <v>69</v>
      </c>
      <c r="C12" s="59">
        <f>SUM(Table14[Credit])</f>
        <v>13494630</v>
      </c>
    </row>
    <row r="13" spans="1:3" ht="15" thickBot="1" x14ac:dyDescent="0.35">
      <c r="B13" s="74" t="s">
        <v>94</v>
      </c>
      <c r="C13" s="73">
        <f>(C11-C12)</f>
        <v>-171564.89392830431</v>
      </c>
    </row>
    <row r="14" spans="1:3" ht="15" thickBot="1" x14ac:dyDescent="0.35">
      <c r="B14" s="58"/>
      <c r="C14" s="59"/>
    </row>
    <row r="15" spans="1:3" x14ac:dyDescent="0.3">
      <c r="B15" s="56" t="s">
        <v>44</v>
      </c>
      <c r="C15" s="57">
        <f>C4</f>
        <v>8077010</v>
      </c>
    </row>
    <row r="16" spans="1:3" x14ac:dyDescent="0.3">
      <c r="B16" s="58" t="s">
        <v>70</v>
      </c>
      <c r="C16" s="59">
        <f>SUM(Table14[Debit])</f>
        <v>13475839</v>
      </c>
    </row>
    <row r="17" spans="2:6" ht="15" thickBot="1" x14ac:dyDescent="0.35">
      <c r="B17" s="74" t="s">
        <v>71</v>
      </c>
      <c r="C17" s="73">
        <f>C15-C16</f>
        <v>-5398829</v>
      </c>
    </row>
    <row r="18" spans="2:6" ht="15" thickBot="1" x14ac:dyDescent="0.35">
      <c r="B18" s="58"/>
      <c r="C18" s="59"/>
    </row>
    <row r="19" spans="2:6" ht="15" thickBot="1" x14ac:dyDescent="0.35">
      <c r="B19" s="75" t="s">
        <v>72</v>
      </c>
      <c r="C19" s="76">
        <f>Table18[[#Totals],[amount]]</f>
        <v>18791</v>
      </c>
    </row>
    <row r="20" spans="2:6" ht="15" thickBot="1" x14ac:dyDescent="0.35">
      <c r="B20" s="71"/>
      <c r="C20" s="72"/>
    </row>
    <row r="21" spans="2:6" ht="15" thickBot="1" x14ac:dyDescent="0.35">
      <c r="B21" s="60" t="s">
        <v>73</v>
      </c>
      <c r="C21" s="61">
        <f>(C13-C17)+C19</f>
        <v>5246055.1060716957</v>
      </c>
      <c r="E21" s="79" t="s">
        <v>74</v>
      </c>
      <c r="F21" s="80">
        <f>C5*0.05</f>
        <v>262302.7553035848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136250</v>
      </c>
      <c r="E38">
        <f>SUBTOTAL(109,Table13[Credit])</f>
        <v>0</v>
      </c>
      <c r="F38">
        <f>Table13[[#Totals],[Debit]]-Table13[[#Totals],[Credit]]</f>
        <v>136250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4"/>
  <sheetViews>
    <sheetView tabSelected="1" topLeftCell="A173" zoomScale="91" zoomScaleNormal="82" workbookViewId="0">
      <selection activeCell="I197" sqref="I19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-16.665301155806887</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v>38741</v>
      </c>
      <c r="G124" s="11">
        <v>9822</v>
      </c>
      <c r="H124" s="133">
        <f>_xlfn.XLOOKUP(Table1[[#This Row],[Shipment Number]], 'pivot '!A:A,'pivot '!G:G, "NF")</f>
        <v>45.809439904460334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v>38741</v>
      </c>
      <c r="G126" s="11">
        <v>8240</v>
      </c>
      <c r="H126" s="133">
        <f>_xlfn.XLOOKUP(Table1[[#This Row],[Shipment Number]], 'pivot '!A:A,'pivot '!G:G, "NF")</f>
        <v>45.809439904460334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12.170073656948006</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14.606391470011204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v>38741</v>
      </c>
      <c r="G148" s="11">
        <v>2751</v>
      </c>
      <c r="H148" s="133">
        <f>_xlfn.XLOOKUP(Table1[[#This Row],[Shipment Number]], 'pivot '!A:A,'pivot '!G:G, "NF")</f>
        <v>45.809439904460334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14.606391470011204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9.1641076470158538</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7.26347232382345</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v>10964</v>
      </c>
      <c r="H159" s="133">
        <f>_xlfn.XLOOKUP(Table1[[#This Row],[Shipment Number]], 'pivot '!A:A,'pivot '!G:G, "NF")</f>
        <v>-16.665301155806887</v>
      </c>
      <c r="I159" s="111">
        <f>Table1[[#This Row],[Tiyaar/gaz]]/1.0936</f>
        <v>10025.603511338699</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130332.84564740308</v>
      </c>
      <c r="K159" s="126"/>
    </row>
    <row r="160" spans="1:11" x14ac:dyDescent="0.3">
      <c r="A160" s="127">
        <v>45993</v>
      </c>
      <c r="B160" s="126" t="s">
        <v>184</v>
      </c>
      <c r="C160" s="126">
        <v>1169</v>
      </c>
      <c r="D160" s="126"/>
      <c r="E160" s="11"/>
      <c r="F160" s="11"/>
      <c r="G160" s="11"/>
      <c r="H160" s="133" t="e">
        <f>_xlfn.XLOOKUP(Table1[[#This Row],[Shipment Number]], 'pivot '!A:A,'pivot '!G:G, "NF")</f>
        <v>#DIV/0!</v>
      </c>
      <c r="I160" s="111">
        <f>Table1[[#This Row],[Tiyaar/gaz]]/1.0936</f>
        <v>0</v>
      </c>
      <c r="J160" s="99"/>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14.606391470011204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17.269895343330035</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73.406099574422811</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17.269895343330035</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17.269895343330035</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19.642474980155328</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62.284035467542267</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17.269895343330035</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v>38741</v>
      </c>
      <c r="G176" s="11">
        <v>2146</v>
      </c>
      <c r="H176" s="133">
        <f>_xlfn.XLOOKUP(Table1[[#This Row],[Shipment Number]], 'pivot '!A:A,'pivot '!G:G, "NF")</f>
        <v>45.809439904460334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73.406099574422811</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17.269895343330035</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85</v>
      </c>
      <c r="E185" s="11">
        <v>1961</v>
      </c>
      <c r="F185" s="11">
        <v>13869</v>
      </c>
      <c r="G185" s="11">
        <v>5493</v>
      </c>
      <c r="H185" s="133">
        <f>_xlfn.XLOOKUP(Table1[[#This Row],[Shipment Number]], 'pivot '!A:A,'pivot '!G:G, "NF")</f>
        <v>63.783544033593046</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50228.602779809808</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29334.308705193856</v>
      </c>
      <c r="K191" s="126"/>
    </row>
    <row r="192" spans="1:11" x14ac:dyDescent="0.3">
      <c r="A192"/>
      <c r="B192"/>
      <c r="C192"/>
      <c r="D192"/>
      <c r="E192" s="14"/>
      <c r="F192" s="14"/>
      <c r="G192" s="14"/>
      <c r="H192" s="43"/>
      <c r="I192" s="94" cm="1">
        <f t="array" aca="1" ref="I192" ca="1">SUMPRODUCT( SUBTOTAL(109, OFFSET(Table1[tiyar/meters], ROW(Table1[tiyar/meters])-MIN(ROW(Table1[tiyar/meters])), 0, 1)), --(Table1[Bill Number]&lt;&gt;"October Closing CF") )</f>
        <v>1212437.8200438921</v>
      </c>
      <c r="J192" s="43" cm="1">
        <f t="array" aca="1" ref="J192" ca="1">SUMPRODUCT( SUBTOTAL(109, OFFSET(Table1[billing], ROW(Table1[billing])-MIN(ROW(Table1[billing])), 0, 1)), --(Table1[Bill Number]&lt;&gt;"October Closing CF") )</f>
        <v>13447626.188734457</v>
      </c>
      <c r="K192" s="14">
        <f>SUMIFS(Table1[billing], Table1[Bill Number], "&lt;&gt;October Closing CF")</f>
        <v>13447626.188734457</v>
      </c>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sheetData>
  <phoneticPr fontId="7" alignment="center"/>
  <conditionalFormatting sqref="H2:H191">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58"/>
  <sheetViews>
    <sheetView zoomScale="145" zoomScaleNormal="90" workbookViewId="0">
      <selection activeCell="H40" sqref="H4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hidden="1"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hidden="1"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4465930</v>
      </c>
      <c r="L6" s="3" t="s">
        <v>2</v>
      </c>
      <c r="M6" t="s">
        <v>88</v>
      </c>
    </row>
    <row r="7" spans="1:16" hidden="1" x14ac:dyDescent="0.3">
      <c r="A7" s="85">
        <v>45979</v>
      </c>
      <c r="B7" s="95" t="s">
        <v>193</v>
      </c>
      <c r="C7" s="82" t="s">
        <v>96</v>
      </c>
      <c r="D7" s="11"/>
      <c r="E7" s="11"/>
      <c r="F7" s="11"/>
      <c r="G7" s="11">
        <f>D7*E7</f>
        <v>0</v>
      </c>
      <c r="H7" s="11"/>
      <c r="I7" s="11">
        <v>330400</v>
      </c>
    </row>
    <row r="8" spans="1:16" hidden="1"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hidden="1"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hidden="1"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hidden="1"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hidden="1"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hidden="1"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hidden="1"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hidden="1"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hidden="1"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hidden="1"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hidden="1"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hidden="1"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hidden="1"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hidden="1"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hidden="1"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hidden="1"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hidden="1"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hidden="1"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hidden="1"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hidden="1"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hidden="1"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hidden="1"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hidden="1" x14ac:dyDescent="0.3">
      <c r="A34" s="1">
        <v>45997</v>
      </c>
      <c r="B34" t="s">
        <v>344</v>
      </c>
      <c r="D34" s="11"/>
      <c r="E34" s="11"/>
      <c r="F34" s="11"/>
      <c r="G34" s="11">
        <f t="shared" si="8"/>
        <v>0</v>
      </c>
      <c r="H34" s="11">
        <f>SUMIFS(Table14[Debit], Table14[Date], Table3[[#This Row],[Date]], Table14[Party], Table3[[#This Row],[Party Name]])</f>
        <v>128500</v>
      </c>
      <c r="I34" s="11">
        <f>(D34*E34)-Table3[[#This Row],[Paid]]</f>
        <v>-128500</v>
      </c>
      <c r="L34" s="42" t="s">
        <v>292</v>
      </c>
      <c r="M34" s="14">
        <v>496</v>
      </c>
      <c r="N34" s="14">
        <v>401760</v>
      </c>
      <c r="O34" s="14">
        <v>106000</v>
      </c>
      <c r="P34" s="14">
        <v>295760</v>
      </c>
    </row>
    <row r="35" spans="1:16" hidden="1"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hidden="1"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hidden="1"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x14ac:dyDescent="0.3">
      <c r="A41" s="1"/>
      <c r="D41" s="14"/>
      <c r="E41" s="14"/>
      <c r="F41" s="14"/>
      <c r="G41" s="14">
        <f>SUBTOTAL(109,Table3[Total])</f>
        <v>105560</v>
      </c>
      <c r="H41" s="14">
        <f>SUBTOTAL(109,Table3[Paid])</f>
        <v>90000</v>
      </c>
      <c r="I41" s="14">
        <f>SUBTOTAL(109,Table3[balance])</f>
        <v>91980</v>
      </c>
      <c r="L41" s="26">
        <v>45993</v>
      </c>
      <c r="M41" s="14"/>
      <c r="N41" s="14">
        <v>0</v>
      </c>
      <c r="O41" s="14">
        <v>274600</v>
      </c>
      <c r="P41" s="14">
        <v>-274600</v>
      </c>
    </row>
    <row r="42" spans="1:16" x14ac:dyDescent="0.3">
      <c r="L42" s="42" t="s">
        <v>104</v>
      </c>
      <c r="M42" s="14"/>
      <c r="N42" s="14">
        <v>0</v>
      </c>
      <c r="O42" s="14">
        <v>274600</v>
      </c>
      <c r="P42" s="14">
        <v>-274600</v>
      </c>
    </row>
    <row r="43" spans="1:16" x14ac:dyDescent="0.3">
      <c r="L43" s="26">
        <v>45994</v>
      </c>
      <c r="M43" s="14">
        <v>225</v>
      </c>
      <c r="N43" s="14">
        <v>186750</v>
      </c>
      <c r="O43" s="14">
        <v>300768</v>
      </c>
      <c r="P43" s="14">
        <v>-114018</v>
      </c>
    </row>
    <row r="44" spans="1:16" x14ac:dyDescent="0.3">
      <c r="L44" s="42" t="s">
        <v>104</v>
      </c>
      <c r="M44" s="14"/>
      <c r="N44" s="14">
        <v>0</v>
      </c>
      <c r="O44" s="14">
        <v>250768</v>
      </c>
      <c r="P44" s="14">
        <v>-250768</v>
      </c>
    </row>
    <row r="45" spans="1:16" x14ac:dyDescent="0.3">
      <c r="L45" s="42" t="s">
        <v>342</v>
      </c>
      <c r="M45" s="14">
        <v>225</v>
      </c>
      <c r="N45" s="14">
        <v>186750</v>
      </c>
      <c r="O45" s="14">
        <v>50000</v>
      </c>
      <c r="P45" s="14">
        <v>136750</v>
      </c>
    </row>
    <row r="46" spans="1:16" x14ac:dyDescent="0.3">
      <c r="L46" s="26">
        <v>45995</v>
      </c>
      <c r="M46" s="14">
        <v>666</v>
      </c>
      <c r="N46" s="14">
        <v>543360</v>
      </c>
      <c r="O46" s="14">
        <v>588188</v>
      </c>
      <c r="P46" s="14">
        <v>-44828</v>
      </c>
    </row>
    <row r="47" spans="1:16" x14ac:dyDescent="0.3">
      <c r="L47" s="42" t="s">
        <v>355</v>
      </c>
      <c r="M47" s="14">
        <v>471</v>
      </c>
      <c r="N47" s="14">
        <v>381510</v>
      </c>
      <c r="O47" s="14">
        <v>418188</v>
      </c>
      <c r="P47" s="14">
        <v>-36678</v>
      </c>
    </row>
    <row r="48" spans="1:16" x14ac:dyDescent="0.3">
      <c r="L48" s="42" t="s">
        <v>374</v>
      </c>
      <c r="M48" s="14">
        <v>195</v>
      </c>
      <c r="N48" s="14">
        <v>161850</v>
      </c>
      <c r="O48" s="14">
        <v>170000</v>
      </c>
      <c r="P48" s="14">
        <v>-8150</v>
      </c>
    </row>
    <row r="49" spans="12:16" x14ac:dyDescent="0.3">
      <c r="L49" s="26">
        <v>45996</v>
      </c>
      <c r="M49" s="14">
        <v>581</v>
      </c>
      <c r="N49" s="14">
        <v>418210</v>
      </c>
      <c r="O49" s="14">
        <v>40450</v>
      </c>
      <c r="P49" s="14">
        <v>377760</v>
      </c>
    </row>
    <row r="50" spans="12:16" x14ac:dyDescent="0.3">
      <c r="L50" s="42" t="s">
        <v>375</v>
      </c>
      <c r="M50" s="14">
        <v>215</v>
      </c>
      <c r="N50" s="14">
        <v>174150</v>
      </c>
      <c r="O50" s="14">
        <v>40450</v>
      </c>
      <c r="P50" s="14">
        <v>133700</v>
      </c>
    </row>
    <row r="51" spans="12:16" x14ac:dyDescent="0.3">
      <c r="L51" s="42">
        <v>8618</v>
      </c>
      <c r="M51" s="14">
        <v>227</v>
      </c>
      <c r="N51" s="14">
        <v>163440</v>
      </c>
      <c r="O51" s="14">
        <v>0</v>
      </c>
      <c r="P51" s="14">
        <v>163440</v>
      </c>
    </row>
    <row r="52" spans="12:16" x14ac:dyDescent="0.3">
      <c r="L52" s="42" t="s">
        <v>376</v>
      </c>
      <c r="M52" s="14">
        <v>139</v>
      </c>
      <c r="N52" s="14">
        <v>80620</v>
      </c>
      <c r="O52" s="14"/>
      <c r="P52" s="14">
        <v>80620</v>
      </c>
    </row>
    <row r="53" spans="12:16" x14ac:dyDescent="0.3">
      <c r="L53" s="26">
        <v>45997</v>
      </c>
      <c r="M53" s="14">
        <v>512</v>
      </c>
      <c r="N53" s="14">
        <v>355370</v>
      </c>
      <c r="O53" s="14">
        <v>629010</v>
      </c>
      <c r="P53" s="14">
        <v>-273640</v>
      </c>
    </row>
    <row r="54" spans="12:16" x14ac:dyDescent="0.3">
      <c r="L54" s="42" t="s">
        <v>104</v>
      </c>
      <c r="M54" s="14"/>
      <c r="N54" s="14">
        <v>0</v>
      </c>
      <c r="O54" s="14">
        <v>178500</v>
      </c>
      <c r="P54" s="14">
        <v>-178500</v>
      </c>
    </row>
    <row r="55" spans="12:16" x14ac:dyDescent="0.3">
      <c r="L55" s="42" t="s">
        <v>372</v>
      </c>
      <c r="M55" s="14">
        <v>61</v>
      </c>
      <c r="N55" s="14">
        <v>49410</v>
      </c>
      <c r="O55" s="14">
        <v>200510</v>
      </c>
      <c r="P55" s="14">
        <v>-151100</v>
      </c>
    </row>
    <row r="56" spans="12:16" x14ac:dyDescent="0.3">
      <c r="L56" s="42" t="s">
        <v>373</v>
      </c>
      <c r="M56" s="14">
        <v>134</v>
      </c>
      <c r="N56" s="14">
        <v>77720</v>
      </c>
      <c r="O56" s="14">
        <v>150000</v>
      </c>
      <c r="P56" s="14">
        <v>-72280</v>
      </c>
    </row>
    <row r="57" spans="12:16" x14ac:dyDescent="0.3">
      <c r="L57" s="42">
        <v>8618</v>
      </c>
      <c r="M57" s="14">
        <v>317</v>
      </c>
      <c r="N57" s="14">
        <v>228240</v>
      </c>
      <c r="O57" s="14">
        <v>100000</v>
      </c>
      <c r="P57" s="14">
        <v>128240</v>
      </c>
    </row>
    <row r="58" spans="12:16" x14ac:dyDescent="0.3">
      <c r="L58" s="26" t="s">
        <v>28</v>
      </c>
      <c r="M58" s="14">
        <v>5725</v>
      </c>
      <c r="N58" s="14">
        <v>4465930</v>
      </c>
      <c r="O58" s="14">
        <v>4518313</v>
      </c>
      <c r="P58" s="14">
        <v>3272070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314"/>
  <sheetViews>
    <sheetView topLeftCell="A291" zoomScale="104" workbookViewId="0">
      <selection activeCell="A313" sqref="A31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-672015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13475839</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13494630</v>
      </c>
      <c r="M5" s="45" t="s">
        <v>109</v>
      </c>
      <c r="N5" s="46">
        <f>(SUMIFS(Table14[Credit],Table14[Mode],"Bank")-SUMIFS(Table14[Debit],Table14[Mode],"Bank")-SUMIFS(Table14[Withdrawal],Table14[Mode],"Transfer"))</f>
        <v>624707</v>
      </c>
      <c r="O5">
        <v>360000</v>
      </c>
    </row>
    <row r="6" spans="1:16" x14ac:dyDescent="0.3">
      <c r="A6" s="38">
        <v>45980</v>
      </c>
      <c r="B6" t="s">
        <v>206</v>
      </c>
      <c r="C6" s="97">
        <v>2000</v>
      </c>
      <c r="D6" s="97"/>
      <c r="E6" t="s">
        <v>207</v>
      </c>
      <c r="F6" s="124" t="s">
        <v>110</v>
      </c>
      <c r="J6" s="52" t="s">
        <v>43</v>
      </c>
      <c r="K6" s="53">
        <f>(K5-K4)</f>
        <v>18791</v>
      </c>
      <c r="M6" s="45" t="s">
        <v>110</v>
      </c>
      <c r="N6" s="46">
        <f>((SUMIFS(Table14[Credit],Table14[Mode],"Cash")-SUMIFS(Table14[Debit],Table14[Mode],"Cash"))+SUMIFS(Table14[Withdrawal],Table14[Party],"Cash",Table14[Mode],"Transfer"))</f>
        <v>-605916</v>
      </c>
      <c r="O6">
        <v>50000</v>
      </c>
    </row>
    <row r="7" spans="1:16" x14ac:dyDescent="0.3">
      <c r="A7" s="38">
        <v>45980</v>
      </c>
      <c r="B7" t="s">
        <v>193</v>
      </c>
      <c r="C7" s="11">
        <v>4000</v>
      </c>
      <c r="D7" s="11"/>
      <c r="E7" t="s">
        <v>207</v>
      </c>
      <c r="F7" s="124" t="s">
        <v>110</v>
      </c>
      <c r="M7" s="48" t="s">
        <v>5</v>
      </c>
      <c r="N7" s="49">
        <f>SUM(N5:N6)</f>
        <v>18791</v>
      </c>
      <c r="O7" s="90">
        <f>SUM(O5,O6)</f>
        <v>410000</v>
      </c>
      <c r="P7" s="14">
        <f>Table18[[#Totals],[amount]]-Table18[[#Totals],[Actual]]</f>
        <v>-391209</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311000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1333058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3508363</v>
      </c>
    </row>
    <row r="169" spans="1:12" x14ac:dyDescent="0.3">
      <c r="A169" s="125">
        <v>45988</v>
      </c>
      <c r="B169" t="s">
        <v>183</v>
      </c>
      <c r="C169" s="11">
        <v>1000</v>
      </c>
      <c r="D169" s="11"/>
      <c r="F169" s="124" t="s">
        <v>109</v>
      </c>
      <c r="J169" s="4" t="s">
        <v>247</v>
      </c>
      <c r="K169" s="14"/>
      <c r="L169" s="14">
        <v>12820</v>
      </c>
    </row>
    <row r="170" spans="1:12" x14ac:dyDescent="0.3">
      <c r="A170" s="125">
        <v>45989</v>
      </c>
      <c r="B170" t="s">
        <v>247</v>
      </c>
      <c r="C170" s="11">
        <v>500</v>
      </c>
      <c r="D170" s="11"/>
      <c r="E170" t="s">
        <v>309</v>
      </c>
      <c r="F170" s="124" t="s">
        <v>109</v>
      </c>
      <c r="J170" s="4" t="s">
        <v>55</v>
      </c>
      <c r="K170" s="14"/>
      <c r="L170" s="14">
        <v>301220</v>
      </c>
    </row>
    <row r="171" spans="1:12" x14ac:dyDescent="0.3">
      <c r="A171" s="125">
        <v>45990</v>
      </c>
      <c r="B171" t="s">
        <v>183</v>
      </c>
      <c r="C171" s="11"/>
      <c r="D171" s="11">
        <v>10310</v>
      </c>
      <c r="E171" t="s">
        <v>114</v>
      </c>
      <c r="F171" s="124" t="s">
        <v>109</v>
      </c>
      <c r="J171" s="4" t="s">
        <v>114</v>
      </c>
      <c r="K171" s="14"/>
      <c r="L171" s="14">
        <v>104770</v>
      </c>
    </row>
    <row r="172" spans="1:12" x14ac:dyDescent="0.3">
      <c r="A172" s="125">
        <v>45990</v>
      </c>
      <c r="B172" t="s">
        <v>114</v>
      </c>
      <c r="C172" s="11">
        <v>10310</v>
      </c>
      <c r="D172" s="11"/>
      <c r="E172" t="s">
        <v>311</v>
      </c>
      <c r="F172" s="124" t="s">
        <v>109</v>
      </c>
      <c r="J172" s="4" t="s">
        <v>212</v>
      </c>
      <c r="K172" s="14"/>
      <c r="L172" s="14">
        <v>84250</v>
      </c>
    </row>
    <row r="173" spans="1:12" x14ac:dyDescent="0.3">
      <c r="A173" s="125">
        <v>45990</v>
      </c>
      <c r="B173" t="s">
        <v>54</v>
      </c>
      <c r="C173" s="11">
        <v>16100</v>
      </c>
      <c r="D173" s="11"/>
      <c r="E173" t="s">
        <v>232</v>
      </c>
      <c r="F173" s="124" t="s">
        <v>109</v>
      </c>
      <c r="J173" s="4" t="s">
        <v>54</v>
      </c>
      <c r="K173" s="14"/>
      <c r="L173" s="14">
        <v>136250</v>
      </c>
    </row>
    <row r="174" spans="1:12" x14ac:dyDescent="0.3">
      <c r="A174" s="125">
        <v>45990</v>
      </c>
      <c r="B174" t="s">
        <v>54</v>
      </c>
      <c r="C174" s="11">
        <v>3000</v>
      </c>
      <c r="D174" s="11"/>
      <c r="E174" t="s">
        <v>232</v>
      </c>
      <c r="F174" s="124" t="s">
        <v>109</v>
      </c>
      <c r="J174" s="4" t="s">
        <v>186</v>
      </c>
      <c r="K174" s="14"/>
      <c r="L174" s="14">
        <v>90620</v>
      </c>
    </row>
    <row r="175" spans="1:12" x14ac:dyDescent="0.3">
      <c r="A175" s="125">
        <v>45990</v>
      </c>
      <c r="B175" t="s">
        <v>21</v>
      </c>
      <c r="C175" s="11"/>
      <c r="D175" s="11">
        <v>13500</v>
      </c>
      <c r="E175" t="s">
        <v>232</v>
      </c>
      <c r="F175" s="124" t="s">
        <v>109</v>
      </c>
      <c r="J175" s="4" t="s">
        <v>183</v>
      </c>
      <c r="K175" s="14">
        <v>127092</v>
      </c>
      <c r="L175" s="14">
        <v>14670</v>
      </c>
    </row>
    <row r="176" spans="1:12" x14ac:dyDescent="0.3">
      <c r="A176" s="125">
        <v>45990</v>
      </c>
      <c r="B176" t="s">
        <v>21</v>
      </c>
      <c r="C176" s="11"/>
      <c r="D176" s="11">
        <v>19000</v>
      </c>
      <c r="E176" t="s">
        <v>290</v>
      </c>
      <c r="F176" s="124" t="s">
        <v>109</v>
      </c>
      <c r="J176" s="4" t="s">
        <v>227</v>
      </c>
      <c r="K176" s="14">
        <v>500000</v>
      </c>
      <c r="L176" s="14"/>
    </row>
    <row r="177" spans="1:12" x14ac:dyDescent="0.3">
      <c r="A177" s="125">
        <v>45990</v>
      </c>
      <c r="B177" t="s">
        <v>220</v>
      </c>
      <c r="C177" s="97">
        <v>20000</v>
      </c>
      <c r="D177" s="97"/>
      <c r="E177" t="s">
        <v>290</v>
      </c>
      <c r="F177" s="124" t="s">
        <v>109</v>
      </c>
      <c r="J177" s="4" t="s">
        <v>104</v>
      </c>
      <c r="K177" s="14"/>
      <c r="L177" s="14"/>
    </row>
    <row r="178" spans="1:12" x14ac:dyDescent="0.3">
      <c r="A178" s="125">
        <v>45990</v>
      </c>
      <c r="B178" t="s">
        <v>21</v>
      </c>
      <c r="C178" s="11"/>
      <c r="D178" s="11">
        <v>46000</v>
      </c>
      <c r="E178" t="s">
        <v>223</v>
      </c>
      <c r="F178" s="124" t="s">
        <v>109</v>
      </c>
      <c r="J178" s="4" t="s">
        <v>25</v>
      </c>
      <c r="K178" s="14">
        <v>1353061</v>
      </c>
      <c r="L178" s="14"/>
    </row>
    <row r="179" spans="1:12" x14ac:dyDescent="0.3">
      <c r="A179" s="125">
        <v>45990</v>
      </c>
      <c r="B179" t="s">
        <v>185</v>
      </c>
      <c r="C179" s="11">
        <v>46000</v>
      </c>
      <c r="D179" s="11"/>
      <c r="E179" t="s">
        <v>312</v>
      </c>
      <c r="F179" s="124" t="s">
        <v>109</v>
      </c>
      <c r="J179" s="4" t="s">
        <v>27</v>
      </c>
      <c r="K179" s="14">
        <v>505980</v>
      </c>
      <c r="L179" s="14"/>
    </row>
    <row r="180" spans="1:12" x14ac:dyDescent="0.3">
      <c r="A180" s="125">
        <v>45990</v>
      </c>
      <c r="B180" t="s">
        <v>237</v>
      </c>
      <c r="C180" s="11"/>
      <c r="D180" s="11">
        <v>260000</v>
      </c>
      <c r="F180" s="124" t="s">
        <v>109</v>
      </c>
      <c r="J180" s="4" t="s">
        <v>116</v>
      </c>
      <c r="K180" s="14"/>
      <c r="L180" s="14">
        <v>240125</v>
      </c>
    </row>
    <row r="181" spans="1:12" x14ac:dyDescent="0.3">
      <c r="A181" s="125">
        <v>45990</v>
      </c>
      <c r="B181" t="s">
        <v>95</v>
      </c>
      <c r="C181" s="11">
        <v>200000</v>
      </c>
      <c r="D181" s="11"/>
      <c r="E181" t="s">
        <v>313</v>
      </c>
      <c r="F181" s="124" t="s">
        <v>109</v>
      </c>
      <c r="J181" s="4" t="s">
        <v>35</v>
      </c>
      <c r="K181" s="14">
        <v>10040</v>
      </c>
      <c r="L181" s="14"/>
    </row>
    <row r="182" spans="1:12" x14ac:dyDescent="0.3">
      <c r="A182" s="125">
        <v>45990</v>
      </c>
      <c r="B182" t="s">
        <v>237</v>
      </c>
      <c r="C182" s="11">
        <v>50000</v>
      </c>
      <c r="D182" s="11"/>
      <c r="E182" t="s">
        <v>167</v>
      </c>
      <c r="F182" s="124" t="s">
        <v>109</v>
      </c>
      <c r="J182" s="4" t="s">
        <v>150</v>
      </c>
      <c r="K182" s="14"/>
      <c r="L182" s="14">
        <v>90000</v>
      </c>
    </row>
    <row r="183" spans="1:12" x14ac:dyDescent="0.3">
      <c r="A183" s="125">
        <v>45990</v>
      </c>
      <c r="B183" t="s">
        <v>167</v>
      </c>
      <c r="C183" s="11"/>
      <c r="D183" s="11">
        <v>50000</v>
      </c>
      <c r="F183" s="124" t="s">
        <v>109</v>
      </c>
      <c r="J183" s="4" t="s">
        <v>153</v>
      </c>
      <c r="K183" s="14">
        <v>1155000</v>
      </c>
      <c r="L183" s="14"/>
    </row>
    <row r="184" spans="1:12" x14ac:dyDescent="0.3">
      <c r="A184" s="125">
        <v>45990</v>
      </c>
      <c r="B184" t="s">
        <v>297</v>
      </c>
      <c r="C184" s="11"/>
      <c r="D184" s="11">
        <v>200000</v>
      </c>
      <c r="F184" s="124" t="s">
        <v>109</v>
      </c>
      <c r="J184" s="4" t="s">
        <v>167</v>
      </c>
      <c r="K184" s="14">
        <v>925217</v>
      </c>
      <c r="L184" s="14"/>
    </row>
    <row r="185" spans="1:12" x14ac:dyDescent="0.3">
      <c r="A185" s="125">
        <v>45990</v>
      </c>
      <c r="B185" t="s">
        <v>95</v>
      </c>
      <c r="C185" s="11">
        <v>200338</v>
      </c>
      <c r="D185" s="11"/>
      <c r="E185" t="s">
        <v>314</v>
      </c>
      <c r="F185" s="124" t="s">
        <v>109</v>
      </c>
      <c r="J185" s="4" t="s">
        <v>206</v>
      </c>
      <c r="K185" s="14"/>
      <c r="L185" s="14">
        <v>327000</v>
      </c>
    </row>
    <row r="186" spans="1:12" x14ac:dyDescent="0.3">
      <c r="A186" s="125">
        <v>45990</v>
      </c>
      <c r="B186" t="s">
        <v>21</v>
      </c>
      <c r="C186" s="11"/>
      <c r="D186" s="11">
        <v>10000</v>
      </c>
      <c r="E186" t="s">
        <v>315</v>
      </c>
      <c r="F186" s="124" t="s">
        <v>109</v>
      </c>
      <c r="J186" s="4" t="s">
        <v>178</v>
      </c>
      <c r="K186" s="14"/>
      <c r="L186" s="14">
        <v>100000</v>
      </c>
    </row>
    <row r="187" spans="1:12" x14ac:dyDescent="0.3">
      <c r="A187" s="125">
        <v>45990</v>
      </c>
      <c r="B187" t="s">
        <v>220</v>
      </c>
      <c r="C187" s="11">
        <v>10000</v>
      </c>
      <c r="D187" s="11"/>
      <c r="E187" t="s">
        <v>221</v>
      </c>
      <c r="F187" s="124" t="s">
        <v>109</v>
      </c>
      <c r="J187" s="4" t="s">
        <v>237</v>
      </c>
      <c r="K187" s="14">
        <v>2052500</v>
      </c>
      <c r="L187" s="14">
        <v>4126426</v>
      </c>
    </row>
    <row r="188" spans="1:12" x14ac:dyDescent="0.3">
      <c r="A188" s="125">
        <v>45990</v>
      </c>
      <c r="B188" t="s">
        <v>212</v>
      </c>
      <c r="C188" s="11">
        <v>1000</v>
      </c>
      <c r="D188" s="11"/>
      <c r="E188" t="s">
        <v>316</v>
      </c>
      <c r="F188" s="124" t="s">
        <v>109</v>
      </c>
      <c r="J188" s="4" t="s">
        <v>184</v>
      </c>
      <c r="K188" s="14">
        <v>2000000</v>
      </c>
      <c r="L188" s="14"/>
    </row>
    <row r="189" spans="1:12" x14ac:dyDescent="0.3">
      <c r="A189" s="125">
        <v>45990</v>
      </c>
      <c r="B189" t="s">
        <v>183</v>
      </c>
      <c r="C189" s="11"/>
      <c r="D189" s="11">
        <v>1000</v>
      </c>
      <c r="E189" t="s">
        <v>317</v>
      </c>
      <c r="F189" s="124" t="s">
        <v>109</v>
      </c>
      <c r="J189" s="4" t="s">
        <v>185</v>
      </c>
      <c r="K189" s="14"/>
      <c r="L189" s="14">
        <v>913900</v>
      </c>
    </row>
    <row r="190" spans="1:12" x14ac:dyDescent="0.3">
      <c r="A190" s="125">
        <v>45990</v>
      </c>
      <c r="B190" t="s">
        <v>183</v>
      </c>
      <c r="C190" s="11"/>
      <c r="D190" s="11">
        <v>1000</v>
      </c>
      <c r="E190" t="s">
        <v>318</v>
      </c>
      <c r="F190" s="124" t="s">
        <v>109</v>
      </c>
      <c r="J190" s="4" t="s">
        <v>236</v>
      </c>
      <c r="K190" s="14">
        <v>1500000</v>
      </c>
      <c r="L190" s="14"/>
    </row>
    <row r="191" spans="1:12" x14ac:dyDescent="0.3">
      <c r="A191" s="125">
        <v>45990</v>
      </c>
      <c r="B191" t="s">
        <v>21</v>
      </c>
      <c r="C191" s="11"/>
      <c r="D191" s="11">
        <v>11150</v>
      </c>
      <c r="E191" t="s">
        <v>319</v>
      </c>
      <c r="F191" s="124" t="s">
        <v>109</v>
      </c>
      <c r="J191" s="4" t="s">
        <v>179</v>
      </c>
      <c r="K191" s="14">
        <v>120205</v>
      </c>
      <c r="L191" s="14"/>
    </row>
    <row r="192" spans="1:12" x14ac:dyDescent="0.3">
      <c r="A192" s="125">
        <v>45990</v>
      </c>
      <c r="B192" t="s">
        <v>55</v>
      </c>
      <c r="C192" s="11">
        <v>11150</v>
      </c>
      <c r="D192" s="11"/>
      <c r="E192" t="s">
        <v>319</v>
      </c>
      <c r="F192" s="124" t="s">
        <v>109</v>
      </c>
      <c r="J192" s="4" t="s">
        <v>193</v>
      </c>
      <c r="K192" s="14"/>
      <c r="L192" s="14">
        <v>4000</v>
      </c>
    </row>
    <row r="193" spans="1:12" x14ac:dyDescent="0.3">
      <c r="A193" s="125">
        <v>45990</v>
      </c>
      <c r="B193" t="s">
        <v>21</v>
      </c>
      <c r="C193" s="11"/>
      <c r="D193" s="11">
        <v>52000</v>
      </c>
      <c r="E193" t="s">
        <v>320</v>
      </c>
      <c r="F193" s="124" t="s">
        <v>109</v>
      </c>
      <c r="J193" s="4" t="s">
        <v>195</v>
      </c>
      <c r="K193" s="14"/>
      <c r="L193" s="14">
        <v>60000</v>
      </c>
    </row>
    <row r="194" spans="1:12" x14ac:dyDescent="0.3">
      <c r="A194" s="38">
        <v>45990</v>
      </c>
      <c r="C194" s="97"/>
      <c r="D194" s="97"/>
      <c r="F194" s="124"/>
      <c r="J194" s="4" t="s">
        <v>203</v>
      </c>
      <c r="K194" s="14">
        <v>-1256731</v>
      </c>
      <c r="L194" s="14"/>
    </row>
    <row r="195" spans="1:12" x14ac:dyDescent="0.3">
      <c r="A195" s="125">
        <v>45991</v>
      </c>
      <c r="B195" t="s">
        <v>21</v>
      </c>
      <c r="C195" s="97"/>
      <c r="D195" s="97">
        <v>10000</v>
      </c>
      <c r="E195" t="s">
        <v>189</v>
      </c>
      <c r="F195" s="124" t="s">
        <v>109</v>
      </c>
      <c r="J195" s="4" t="s">
        <v>51</v>
      </c>
      <c r="K195" s="14"/>
      <c r="L195" s="14">
        <v>1803475</v>
      </c>
    </row>
    <row r="196" spans="1:12" x14ac:dyDescent="0.3">
      <c r="A196" s="125">
        <v>45991</v>
      </c>
      <c r="B196" t="s">
        <v>212</v>
      </c>
      <c r="C196" s="97"/>
      <c r="D196" s="97"/>
      <c r="E196" t="s">
        <v>189</v>
      </c>
      <c r="F196" s="124" t="s">
        <v>109</v>
      </c>
      <c r="J196" s="4" t="s">
        <v>149</v>
      </c>
      <c r="K196" s="14">
        <v>130000</v>
      </c>
      <c r="L196" s="14"/>
    </row>
    <row r="197" spans="1:12" x14ac:dyDescent="0.3">
      <c r="A197" s="38">
        <v>45991</v>
      </c>
      <c r="B197" t="s">
        <v>186</v>
      </c>
      <c r="C197" s="11">
        <v>3000</v>
      </c>
      <c r="D197" s="11"/>
      <c r="E197" t="s">
        <v>321</v>
      </c>
      <c r="F197" s="124" t="s">
        <v>109</v>
      </c>
      <c r="J197" s="4" t="s">
        <v>275</v>
      </c>
      <c r="K197" s="14"/>
      <c r="L197" s="14">
        <v>624000</v>
      </c>
    </row>
    <row r="198" spans="1:12" x14ac:dyDescent="0.3">
      <c r="A198" s="38">
        <v>45991</v>
      </c>
      <c r="B198" t="s">
        <v>186</v>
      </c>
      <c r="C198" s="11">
        <v>5000</v>
      </c>
      <c r="D198" s="11"/>
      <c r="E198" t="s">
        <v>322</v>
      </c>
      <c r="F198" s="124" t="s">
        <v>109</v>
      </c>
      <c r="J198" s="4" t="s">
        <v>286</v>
      </c>
      <c r="K198" s="14"/>
      <c r="L198" s="14">
        <v>25000</v>
      </c>
    </row>
    <row r="199" spans="1:12" x14ac:dyDescent="0.3">
      <c r="A199" s="38">
        <v>45991</v>
      </c>
      <c r="B199" t="s">
        <v>186</v>
      </c>
      <c r="C199" s="11">
        <v>3520</v>
      </c>
      <c r="D199" s="11"/>
      <c r="E199" t="s">
        <v>323</v>
      </c>
      <c r="F199" s="124" t="s">
        <v>109</v>
      </c>
      <c r="J199" s="4" t="s">
        <v>297</v>
      </c>
      <c r="K199" s="14">
        <v>337000</v>
      </c>
      <c r="L199" s="14"/>
    </row>
    <row r="200" spans="1:12" x14ac:dyDescent="0.3">
      <c r="A200" s="38">
        <v>45991</v>
      </c>
      <c r="B200" t="s">
        <v>186</v>
      </c>
      <c r="C200" s="11">
        <v>1000</v>
      </c>
      <c r="D200" s="11"/>
      <c r="E200" t="s">
        <v>324</v>
      </c>
      <c r="F200" s="124" t="s">
        <v>109</v>
      </c>
      <c r="J200" s="4" t="s">
        <v>303</v>
      </c>
      <c r="K200" s="14"/>
      <c r="L200" s="14">
        <v>85000</v>
      </c>
    </row>
    <row r="201" spans="1:12" x14ac:dyDescent="0.3">
      <c r="A201" s="38">
        <v>45992</v>
      </c>
      <c r="B201" t="s">
        <v>186</v>
      </c>
      <c r="C201" s="11">
        <v>3000</v>
      </c>
      <c r="D201" s="11"/>
      <c r="E201" t="s">
        <v>209</v>
      </c>
      <c r="F201" s="124" t="s">
        <v>109</v>
      </c>
      <c r="J201" s="4" t="s">
        <v>332</v>
      </c>
      <c r="K201" s="14">
        <v>553325</v>
      </c>
      <c r="L201" s="14"/>
    </row>
    <row r="202" spans="1:12" x14ac:dyDescent="0.3">
      <c r="A202" s="38">
        <v>45992</v>
      </c>
      <c r="B202" t="s">
        <v>186</v>
      </c>
      <c r="C202" s="11">
        <v>500</v>
      </c>
      <c r="D202" s="11"/>
      <c r="E202" t="s">
        <v>325</v>
      </c>
      <c r="F202" s="124" t="s">
        <v>109</v>
      </c>
      <c r="J202" s="4" t="s">
        <v>356</v>
      </c>
      <c r="K202" s="14">
        <v>124560</v>
      </c>
      <c r="L202" s="14"/>
    </row>
    <row r="203" spans="1:12" x14ac:dyDescent="0.3">
      <c r="A203" s="38">
        <v>45992</v>
      </c>
      <c r="B203" t="s">
        <v>114</v>
      </c>
      <c r="C203" s="97">
        <v>20000</v>
      </c>
      <c r="D203" s="97"/>
      <c r="E203" t="s">
        <v>249</v>
      </c>
      <c r="F203" s="124" t="s">
        <v>109</v>
      </c>
      <c r="J203" s="4" t="s">
        <v>341</v>
      </c>
      <c r="K203" s="14"/>
      <c r="L203" s="14">
        <v>388950</v>
      </c>
    </row>
    <row r="204" spans="1:12" x14ac:dyDescent="0.3">
      <c r="A204" s="38">
        <v>45992</v>
      </c>
      <c r="B204" t="s">
        <v>297</v>
      </c>
      <c r="C204" s="11"/>
      <c r="D204" s="11">
        <v>30000</v>
      </c>
      <c r="F204" s="124" t="s">
        <v>109</v>
      </c>
      <c r="J204" s="4" t="s">
        <v>299</v>
      </c>
      <c r="K204" s="14">
        <v>424323</v>
      </c>
      <c r="L204" s="14"/>
    </row>
    <row r="205" spans="1:12" x14ac:dyDescent="0.3">
      <c r="A205" s="38">
        <v>45992</v>
      </c>
      <c r="B205" t="s">
        <v>21</v>
      </c>
      <c r="C205" s="11"/>
      <c r="D205" s="11">
        <v>7750</v>
      </c>
      <c r="E205" t="s">
        <v>240</v>
      </c>
      <c r="F205" s="124" t="s">
        <v>109</v>
      </c>
      <c r="J205" s="4" t="s">
        <v>371</v>
      </c>
      <c r="K205" s="14"/>
      <c r="L205" s="14">
        <v>100000</v>
      </c>
    </row>
    <row r="206" spans="1:12" x14ac:dyDescent="0.3">
      <c r="A206" s="38">
        <v>45992</v>
      </c>
      <c r="B206" t="s">
        <v>185</v>
      </c>
      <c r="C206" s="11">
        <v>52000</v>
      </c>
      <c r="D206" s="11"/>
      <c r="E206" t="s">
        <v>326</v>
      </c>
      <c r="F206" s="124" t="s">
        <v>109</v>
      </c>
      <c r="J206" s="4" t="s">
        <v>28</v>
      </c>
      <c r="K206" s="14">
        <v>13494630</v>
      </c>
      <c r="L206" s="14">
        <v>13475839</v>
      </c>
    </row>
    <row r="207" spans="1:12" x14ac:dyDescent="0.3">
      <c r="A207" s="38">
        <v>45992</v>
      </c>
      <c r="B207" t="s">
        <v>21</v>
      </c>
      <c r="C207" s="11"/>
      <c r="D207" s="11">
        <v>52000</v>
      </c>
      <c r="E207" t="s">
        <v>223</v>
      </c>
      <c r="F207" s="124" t="s">
        <v>109</v>
      </c>
    </row>
    <row r="208" spans="1:12" x14ac:dyDescent="0.3">
      <c r="A208" s="38">
        <v>45992</v>
      </c>
      <c r="B208" t="s">
        <v>55</v>
      </c>
      <c r="C208" s="11">
        <v>7750</v>
      </c>
      <c r="D208" s="11"/>
      <c r="E208" t="s">
        <v>240</v>
      </c>
      <c r="F208" s="124" t="s">
        <v>109</v>
      </c>
    </row>
    <row r="209" spans="1:6" x14ac:dyDescent="0.3">
      <c r="A209" s="38">
        <v>45992</v>
      </c>
      <c r="B209" t="s">
        <v>55</v>
      </c>
      <c r="C209" s="11">
        <v>1900</v>
      </c>
      <c r="D209" s="11"/>
      <c r="E209" t="s">
        <v>240</v>
      </c>
      <c r="F209" s="124" t="s">
        <v>109</v>
      </c>
    </row>
    <row r="210" spans="1:6" x14ac:dyDescent="0.3">
      <c r="A210" s="38">
        <v>45992</v>
      </c>
      <c r="B210" t="s">
        <v>21</v>
      </c>
      <c r="C210" s="11"/>
      <c r="D210" s="11">
        <v>1900</v>
      </c>
      <c r="E210" t="s">
        <v>240</v>
      </c>
      <c r="F210" s="124" t="s">
        <v>109</v>
      </c>
    </row>
    <row r="211" spans="1:6" x14ac:dyDescent="0.3">
      <c r="A211" s="38">
        <v>45992</v>
      </c>
      <c r="B211" t="s">
        <v>183</v>
      </c>
      <c r="C211" s="11">
        <v>900</v>
      </c>
      <c r="D211" s="11"/>
      <c r="E211" t="s">
        <v>211</v>
      </c>
      <c r="F211" s="124" t="s">
        <v>109</v>
      </c>
    </row>
    <row r="212" spans="1:6" x14ac:dyDescent="0.3">
      <c r="A212" s="38">
        <v>45992</v>
      </c>
      <c r="B212" t="s">
        <v>184</v>
      </c>
      <c r="C212" s="11"/>
      <c r="D212" s="11">
        <v>1000000</v>
      </c>
      <c r="E212" t="s">
        <v>228</v>
      </c>
      <c r="F212" s="124" t="s">
        <v>109</v>
      </c>
    </row>
    <row r="213" spans="1:6" x14ac:dyDescent="0.3">
      <c r="A213" s="125">
        <v>45992</v>
      </c>
      <c r="B213" t="s">
        <v>95</v>
      </c>
      <c r="C213" s="11">
        <v>300204</v>
      </c>
      <c r="D213" s="11"/>
      <c r="E213" t="s">
        <v>327</v>
      </c>
      <c r="F213" s="124" t="s">
        <v>109</v>
      </c>
    </row>
    <row r="214" spans="1:6" x14ac:dyDescent="0.3">
      <c r="A214" s="38">
        <v>45992</v>
      </c>
      <c r="B214" t="s">
        <v>54</v>
      </c>
      <c r="C214" s="97">
        <v>3000</v>
      </c>
      <c r="D214" s="97"/>
      <c r="E214" t="s">
        <v>232</v>
      </c>
      <c r="F214" s="124" t="s">
        <v>109</v>
      </c>
    </row>
    <row r="215" spans="1:6" x14ac:dyDescent="0.3">
      <c r="A215" s="38">
        <v>45992</v>
      </c>
      <c r="B215" t="s">
        <v>212</v>
      </c>
      <c r="C215" s="97"/>
      <c r="D215" s="97"/>
      <c r="E215" t="s">
        <v>189</v>
      </c>
      <c r="F215" s="124" t="s">
        <v>109</v>
      </c>
    </row>
    <row r="216" spans="1:6" x14ac:dyDescent="0.3">
      <c r="A216" s="125">
        <v>45992</v>
      </c>
      <c r="B216" t="s">
        <v>297</v>
      </c>
      <c r="C216" s="11"/>
      <c r="D216" s="11">
        <v>7000</v>
      </c>
      <c r="E216" t="s">
        <v>311</v>
      </c>
      <c r="F216" s="124" t="s">
        <v>109</v>
      </c>
    </row>
    <row r="217" spans="1:6" x14ac:dyDescent="0.3">
      <c r="A217" s="38">
        <v>45986</v>
      </c>
      <c r="B217" t="s">
        <v>236</v>
      </c>
      <c r="C217" s="97"/>
      <c r="D217" s="97">
        <v>1000000</v>
      </c>
      <c r="E217" t="s">
        <v>329</v>
      </c>
      <c r="F217" s="124" t="s">
        <v>109</v>
      </c>
    </row>
    <row r="218" spans="1:6" x14ac:dyDescent="0.3">
      <c r="A218" s="125">
        <v>45986</v>
      </c>
      <c r="B218" t="s">
        <v>237</v>
      </c>
      <c r="C218" s="11">
        <v>1000000</v>
      </c>
      <c r="D218" s="11"/>
      <c r="E218" t="s">
        <v>330</v>
      </c>
      <c r="F218" s="124" t="s">
        <v>109</v>
      </c>
    </row>
    <row r="219" spans="1:6" x14ac:dyDescent="0.3">
      <c r="A219" s="125">
        <v>45986</v>
      </c>
      <c r="B219" t="s">
        <v>35</v>
      </c>
      <c r="C219" s="11"/>
      <c r="D219" s="11">
        <v>10040</v>
      </c>
      <c r="E219" t="s">
        <v>311</v>
      </c>
      <c r="F219" s="124" t="s">
        <v>109</v>
      </c>
    </row>
    <row r="220" spans="1:6" x14ac:dyDescent="0.3">
      <c r="A220" s="125">
        <v>45986</v>
      </c>
      <c r="B220" t="s">
        <v>237</v>
      </c>
      <c r="C220" s="11">
        <v>10040</v>
      </c>
      <c r="D220" s="11"/>
      <c r="E220" t="s">
        <v>331</v>
      </c>
      <c r="F220" s="124" t="s">
        <v>109</v>
      </c>
    </row>
    <row r="221" spans="1:6" x14ac:dyDescent="0.3">
      <c r="A221" s="125">
        <v>45990</v>
      </c>
      <c r="B221" t="s">
        <v>153</v>
      </c>
      <c r="C221" s="11"/>
      <c r="D221" s="11">
        <v>300000</v>
      </c>
      <c r="E221" t="s">
        <v>263</v>
      </c>
      <c r="F221" s="124" t="s">
        <v>109</v>
      </c>
    </row>
    <row r="222" spans="1:6" x14ac:dyDescent="0.3">
      <c r="A222" s="125">
        <v>45990</v>
      </c>
      <c r="B222" t="s">
        <v>295</v>
      </c>
      <c r="C222" s="11"/>
      <c r="D222" s="11">
        <v>90000</v>
      </c>
      <c r="E222" t="s">
        <v>329</v>
      </c>
      <c r="F222" s="124" t="s">
        <v>109</v>
      </c>
    </row>
    <row r="223" spans="1:6" x14ac:dyDescent="0.3">
      <c r="A223" s="125">
        <v>45990</v>
      </c>
      <c r="B223" t="s">
        <v>237</v>
      </c>
      <c r="C223" s="11">
        <v>390000</v>
      </c>
      <c r="D223" s="11"/>
      <c r="E223" t="s">
        <v>153</v>
      </c>
      <c r="F223" s="124" t="s">
        <v>109</v>
      </c>
    </row>
    <row r="224" spans="1:6"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25">
        <v>45996</v>
      </c>
      <c r="B272" t="s">
        <v>247</v>
      </c>
      <c r="C272" s="11">
        <v>3000</v>
      </c>
      <c r="D272" s="11"/>
      <c r="E272" t="s">
        <v>357</v>
      </c>
      <c r="F272" s="124" t="s">
        <v>109</v>
      </c>
    </row>
    <row r="273" spans="1:7" x14ac:dyDescent="0.3">
      <c r="A273" s="38">
        <v>45996</v>
      </c>
      <c r="B273" t="s">
        <v>212</v>
      </c>
      <c r="C273" s="11">
        <v>2050</v>
      </c>
      <c r="D273" s="11"/>
      <c r="E273" t="s">
        <v>305</v>
      </c>
      <c r="F273" s="124" t="s">
        <v>109</v>
      </c>
    </row>
    <row r="274" spans="1:7" x14ac:dyDescent="0.3">
      <c r="A274" s="125">
        <v>45996</v>
      </c>
      <c r="B274" t="s">
        <v>220</v>
      </c>
      <c r="C274" s="11">
        <v>20000</v>
      </c>
      <c r="D274" s="11"/>
      <c r="E274" t="s">
        <v>358</v>
      </c>
      <c r="F274" s="124" t="s">
        <v>109</v>
      </c>
    </row>
    <row r="275" spans="1:7" x14ac:dyDescent="0.3">
      <c r="A275" s="38">
        <v>45996</v>
      </c>
      <c r="B275" t="s">
        <v>341</v>
      </c>
      <c r="C275" s="11">
        <v>40450</v>
      </c>
      <c r="D275" s="11"/>
      <c r="E275" t="s">
        <v>346</v>
      </c>
      <c r="F275" s="124" t="s">
        <v>109</v>
      </c>
    </row>
    <row r="276" spans="1:7" x14ac:dyDescent="0.3">
      <c r="A276" s="125">
        <v>45996</v>
      </c>
      <c r="B276" t="s">
        <v>114</v>
      </c>
      <c r="C276" s="11">
        <v>9000</v>
      </c>
      <c r="D276" s="11"/>
      <c r="E276" t="s">
        <v>359</v>
      </c>
      <c r="F276" s="124" t="s">
        <v>109</v>
      </c>
    </row>
    <row r="277" spans="1:7" x14ac:dyDescent="0.3">
      <c r="A277" s="38">
        <v>45996</v>
      </c>
      <c r="B277" t="s">
        <v>220</v>
      </c>
      <c r="C277" s="11">
        <v>10000</v>
      </c>
      <c r="D277" s="11"/>
      <c r="E277" t="s">
        <v>360</v>
      </c>
      <c r="F277" s="124" t="s">
        <v>109</v>
      </c>
    </row>
    <row r="278" spans="1:7" x14ac:dyDescent="0.3">
      <c r="A278" s="125">
        <v>45996</v>
      </c>
      <c r="B278" t="s">
        <v>114</v>
      </c>
      <c r="C278" s="11">
        <v>670</v>
      </c>
      <c r="D278" s="11"/>
      <c r="F278" s="124" t="s">
        <v>109</v>
      </c>
    </row>
    <row r="279" spans="1:7" x14ac:dyDescent="0.3">
      <c r="A279" s="38">
        <v>45996</v>
      </c>
      <c r="B279" t="s">
        <v>212</v>
      </c>
      <c r="C279" s="11"/>
      <c r="D279" s="11"/>
      <c r="E279" t="s">
        <v>361</v>
      </c>
      <c r="F279" s="124" t="s">
        <v>109</v>
      </c>
    </row>
    <row r="280" spans="1:7" x14ac:dyDescent="0.3">
      <c r="A280" s="125">
        <v>45996</v>
      </c>
      <c r="B280" t="s">
        <v>332</v>
      </c>
      <c r="C280" s="11"/>
      <c r="D280" s="11">
        <v>155000</v>
      </c>
      <c r="F280" s="124" t="s">
        <v>109</v>
      </c>
    </row>
    <row r="281" spans="1:7" x14ac:dyDescent="0.3">
      <c r="A281" s="38">
        <v>45996</v>
      </c>
      <c r="B281" t="s">
        <v>21</v>
      </c>
      <c r="C281" s="11"/>
      <c r="D281" s="11">
        <v>7900</v>
      </c>
      <c r="E281" t="s">
        <v>343</v>
      </c>
      <c r="F281" s="124" t="s">
        <v>109</v>
      </c>
    </row>
    <row r="282" spans="1:7" x14ac:dyDescent="0.3">
      <c r="A282" s="125">
        <v>45996</v>
      </c>
      <c r="B282" t="s">
        <v>55</v>
      </c>
      <c r="C282" s="11">
        <v>7900</v>
      </c>
      <c r="D282" s="11"/>
      <c r="E282" t="s">
        <v>343</v>
      </c>
      <c r="F282" s="124" t="s">
        <v>109</v>
      </c>
    </row>
    <row r="283" spans="1:7" x14ac:dyDescent="0.3">
      <c r="A283" s="38">
        <v>45997</v>
      </c>
      <c r="B283" t="s">
        <v>183</v>
      </c>
      <c r="C283" s="11">
        <v>1500</v>
      </c>
      <c r="D283" s="11"/>
      <c r="F283" s="124" t="s">
        <v>109</v>
      </c>
    </row>
    <row r="284" spans="1:7" x14ac:dyDescent="0.3">
      <c r="A284" s="125">
        <v>45997</v>
      </c>
      <c r="B284" t="s">
        <v>183</v>
      </c>
      <c r="C284" s="11">
        <v>200</v>
      </c>
      <c r="D284" s="11"/>
      <c r="E284" t="s">
        <v>362</v>
      </c>
      <c r="F284" s="124" t="s">
        <v>109</v>
      </c>
    </row>
    <row r="285" spans="1:7" x14ac:dyDescent="0.3">
      <c r="A285" s="38">
        <v>45997</v>
      </c>
      <c r="B285" t="s">
        <v>55</v>
      </c>
      <c r="C285" s="97">
        <v>3400</v>
      </c>
      <c r="D285" s="97"/>
      <c r="E285" t="s">
        <v>363</v>
      </c>
      <c r="F285" s="124" t="s">
        <v>109</v>
      </c>
    </row>
    <row r="286" spans="1:7" x14ac:dyDescent="0.3">
      <c r="A286" s="125">
        <v>45997</v>
      </c>
      <c r="B286" t="s">
        <v>55</v>
      </c>
      <c r="C286" s="11">
        <v>1000</v>
      </c>
      <c r="D286" s="11"/>
      <c r="F286" s="124" t="s">
        <v>109</v>
      </c>
    </row>
    <row r="287" spans="1:7" x14ac:dyDescent="0.3">
      <c r="A287" s="38">
        <v>45997</v>
      </c>
      <c r="B287" s="135" t="s">
        <v>341</v>
      </c>
      <c r="C287" s="97">
        <v>128500</v>
      </c>
      <c r="D287" s="97"/>
      <c r="E287" s="135"/>
      <c r="F287" s="136" t="s">
        <v>109</v>
      </c>
      <c r="G287" s="135"/>
    </row>
    <row r="288" spans="1:7" x14ac:dyDescent="0.3">
      <c r="A288" s="125">
        <v>45997</v>
      </c>
      <c r="B288" t="s">
        <v>95</v>
      </c>
      <c r="C288" s="11">
        <v>200510</v>
      </c>
      <c r="D288" s="11"/>
      <c r="E288" t="s">
        <v>364</v>
      </c>
      <c r="F288" s="124" t="s">
        <v>109</v>
      </c>
    </row>
    <row r="289" spans="1:7" x14ac:dyDescent="0.3">
      <c r="A289" s="38">
        <v>45997</v>
      </c>
      <c r="B289" t="s">
        <v>212</v>
      </c>
      <c r="C289" s="11">
        <v>9000</v>
      </c>
      <c r="D289" s="11"/>
      <c r="E289" t="s">
        <v>365</v>
      </c>
      <c r="F289" s="124" t="s">
        <v>109</v>
      </c>
    </row>
    <row r="290" spans="1:7" x14ac:dyDescent="0.3">
      <c r="A290" s="125">
        <v>45997</v>
      </c>
      <c r="B290" t="s">
        <v>54</v>
      </c>
      <c r="C290" s="11">
        <v>12500</v>
      </c>
      <c r="D290" s="11"/>
      <c r="E290" t="s">
        <v>232</v>
      </c>
      <c r="F290" s="124" t="s">
        <v>109</v>
      </c>
    </row>
    <row r="291" spans="1:7" x14ac:dyDescent="0.3">
      <c r="A291" s="38">
        <v>45997</v>
      </c>
      <c r="B291" t="s">
        <v>206</v>
      </c>
      <c r="C291" s="11">
        <v>150000</v>
      </c>
      <c r="D291" s="11"/>
      <c r="F291" s="124" t="s">
        <v>109</v>
      </c>
    </row>
    <row r="292" spans="1:7" x14ac:dyDescent="0.3">
      <c r="A292" s="125">
        <v>45997</v>
      </c>
      <c r="B292" s="135" t="s">
        <v>366</v>
      </c>
      <c r="C292" s="97">
        <v>50000</v>
      </c>
      <c r="D292" s="97"/>
      <c r="E292" s="135"/>
      <c r="F292" s="136" t="s">
        <v>109</v>
      </c>
      <c r="G292" s="135"/>
    </row>
    <row r="293" spans="1:7" x14ac:dyDescent="0.3">
      <c r="A293" s="38">
        <v>45998</v>
      </c>
      <c r="B293" t="s">
        <v>114</v>
      </c>
      <c r="C293" s="11">
        <v>17110</v>
      </c>
      <c r="D293" s="11"/>
      <c r="E293" t="s">
        <v>283</v>
      </c>
      <c r="F293" s="124" t="s">
        <v>109</v>
      </c>
    </row>
    <row r="294" spans="1:7" x14ac:dyDescent="0.3">
      <c r="A294" s="125">
        <v>45998</v>
      </c>
      <c r="B294" t="s">
        <v>220</v>
      </c>
      <c r="C294" s="11">
        <v>80000</v>
      </c>
      <c r="D294" s="11"/>
      <c r="E294" t="s">
        <v>189</v>
      </c>
      <c r="F294" s="124" t="s">
        <v>109</v>
      </c>
    </row>
    <row r="295" spans="1:7" x14ac:dyDescent="0.3">
      <c r="A295" s="38">
        <v>45997</v>
      </c>
      <c r="B295" t="s">
        <v>220</v>
      </c>
      <c r="C295" s="11">
        <v>20000</v>
      </c>
      <c r="D295" s="11"/>
      <c r="E295" t="s">
        <v>189</v>
      </c>
      <c r="F295" s="124" t="s">
        <v>109</v>
      </c>
    </row>
    <row r="296" spans="1:7" x14ac:dyDescent="0.3">
      <c r="A296" s="125">
        <v>45998</v>
      </c>
      <c r="B296" t="s">
        <v>220</v>
      </c>
      <c r="C296" s="11">
        <v>20000</v>
      </c>
      <c r="D296" s="11"/>
      <c r="E296" t="s">
        <v>290</v>
      </c>
      <c r="F296" s="124" t="s">
        <v>109</v>
      </c>
    </row>
    <row r="297" spans="1:7" x14ac:dyDescent="0.3">
      <c r="A297" s="38">
        <v>45997</v>
      </c>
      <c r="B297" t="s">
        <v>237</v>
      </c>
      <c r="C297" s="11"/>
      <c r="D297" s="11">
        <v>20000</v>
      </c>
      <c r="E297" t="s">
        <v>189</v>
      </c>
      <c r="F297" s="124" t="s">
        <v>109</v>
      </c>
    </row>
    <row r="298" spans="1:7" x14ac:dyDescent="0.3">
      <c r="A298" s="125">
        <v>45997</v>
      </c>
      <c r="B298" t="s">
        <v>237</v>
      </c>
      <c r="C298" s="11"/>
      <c r="D298" s="11">
        <v>100000</v>
      </c>
      <c r="E298" t="s">
        <v>189</v>
      </c>
      <c r="F298" s="124" t="s">
        <v>109</v>
      </c>
    </row>
    <row r="299" spans="1:7" x14ac:dyDescent="0.3">
      <c r="A299" s="38">
        <v>45997</v>
      </c>
      <c r="B299" t="s">
        <v>237</v>
      </c>
      <c r="C299" s="11"/>
      <c r="D299" s="11">
        <v>46000</v>
      </c>
      <c r="E299" t="s">
        <v>64</v>
      </c>
      <c r="F299" s="124" t="s">
        <v>109</v>
      </c>
    </row>
    <row r="300" spans="1:7" x14ac:dyDescent="0.3">
      <c r="A300" s="125">
        <v>45997</v>
      </c>
      <c r="B300" t="s">
        <v>185</v>
      </c>
      <c r="C300" s="11">
        <v>46000</v>
      </c>
      <c r="D300" s="11"/>
      <c r="E300" t="s">
        <v>367</v>
      </c>
      <c r="F300" s="124" t="s">
        <v>109</v>
      </c>
    </row>
    <row r="301" spans="1:7" x14ac:dyDescent="0.3">
      <c r="A301" s="38">
        <v>45997</v>
      </c>
      <c r="B301" t="s">
        <v>356</v>
      </c>
      <c r="C301" s="11"/>
      <c r="D301" s="11">
        <v>24560</v>
      </c>
      <c r="F301" s="124" t="s">
        <v>109</v>
      </c>
    </row>
    <row r="302" spans="1:7" x14ac:dyDescent="0.3">
      <c r="A302" s="125">
        <v>45997</v>
      </c>
      <c r="B302" t="s">
        <v>27</v>
      </c>
      <c r="C302" s="11"/>
      <c r="D302" s="11">
        <v>150000</v>
      </c>
      <c r="F302" s="124" t="s">
        <v>109</v>
      </c>
    </row>
    <row r="303" spans="1:7" x14ac:dyDescent="0.3">
      <c r="A303" s="38">
        <v>45997</v>
      </c>
      <c r="B303" t="s">
        <v>27</v>
      </c>
      <c r="C303" s="11"/>
      <c r="D303" s="11">
        <v>150000</v>
      </c>
      <c r="E303" t="s">
        <v>368</v>
      </c>
      <c r="F303" s="124" t="s">
        <v>109</v>
      </c>
    </row>
    <row r="304" spans="1:7" x14ac:dyDescent="0.3">
      <c r="A304" s="125">
        <v>45997</v>
      </c>
      <c r="B304" t="s">
        <v>153</v>
      </c>
      <c r="C304" s="11"/>
      <c r="D304" s="11">
        <v>200000</v>
      </c>
      <c r="F304" s="124" t="s">
        <v>109</v>
      </c>
    </row>
    <row r="305" spans="1:7" x14ac:dyDescent="0.3">
      <c r="A305" s="38">
        <v>45997</v>
      </c>
      <c r="B305" t="s">
        <v>237</v>
      </c>
      <c r="C305" s="11"/>
      <c r="D305" s="11">
        <v>9000</v>
      </c>
      <c r="F305" s="124" t="s">
        <v>109</v>
      </c>
    </row>
    <row r="306" spans="1:7" x14ac:dyDescent="0.3">
      <c r="A306" s="125">
        <v>45997</v>
      </c>
      <c r="B306" t="s">
        <v>237</v>
      </c>
      <c r="C306" s="11"/>
      <c r="D306" s="11">
        <v>100000</v>
      </c>
      <c r="F306" s="124" t="s">
        <v>109</v>
      </c>
    </row>
    <row r="307" spans="1:7" x14ac:dyDescent="0.3">
      <c r="A307" s="38">
        <v>45997</v>
      </c>
      <c r="B307" t="s">
        <v>237</v>
      </c>
      <c r="C307" s="11"/>
      <c r="D307" s="11">
        <v>30000</v>
      </c>
      <c r="E307" t="s">
        <v>55</v>
      </c>
      <c r="F307" s="124" t="s">
        <v>109</v>
      </c>
    </row>
    <row r="308" spans="1:7" x14ac:dyDescent="0.3">
      <c r="A308" s="125">
        <v>45997</v>
      </c>
      <c r="B308" t="s">
        <v>55</v>
      </c>
      <c r="C308" s="11">
        <v>30000</v>
      </c>
      <c r="D308" s="11"/>
      <c r="E308" t="s">
        <v>369</v>
      </c>
      <c r="F308" s="124" t="s">
        <v>109</v>
      </c>
    </row>
    <row r="309" spans="1:7" x14ac:dyDescent="0.3">
      <c r="A309" s="38">
        <v>45997</v>
      </c>
      <c r="B309" t="s">
        <v>114</v>
      </c>
      <c r="C309" s="11">
        <v>2000</v>
      </c>
      <c r="D309" s="11"/>
      <c r="E309" t="s">
        <v>359</v>
      </c>
      <c r="F309" s="124" t="s">
        <v>109</v>
      </c>
    </row>
    <row r="310" spans="1:7" x14ac:dyDescent="0.3">
      <c r="A310" s="125">
        <v>45997</v>
      </c>
      <c r="B310" t="s">
        <v>247</v>
      </c>
      <c r="C310" s="11">
        <v>500</v>
      </c>
      <c r="D310" s="11"/>
      <c r="E310" t="s">
        <v>370</v>
      </c>
      <c r="F310" s="124" t="s">
        <v>109</v>
      </c>
    </row>
    <row r="311" spans="1:7" x14ac:dyDescent="0.3">
      <c r="A311" s="134">
        <v>45997</v>
      </c>
      <c r="B311" s="135" t="s">
        <v>371</v>
      </c>
      <c r="C311" s="97">
        <v>100000</v>
      </c>
      <c r="D311" s="97"/>
      <c r="E311" s="135" t="s">
        <v>263</v>
      </c>
      <c r="F311" s="136" t="s">
        <v>109</v>
      </c>
      <c r="G311" s="135"/>
    </row>
    <row r="312" spans="1:7" x14ac:dyDescent="0.3">
      <c r="A312" s="134">
        <v>45997</v>
      </c>
      <c r="B312" s="135" t="s">
        <v>54</v>
      </c>
      <c r="C312" s="97">
        <v>4000</v>
      </c>
      <c r="D312" s="97"/>
      <c r="E312" s="135" t="s">
        <v>232</v>
      </c>
      <c r="F312" s="136" t="s">
        <v>109</v>
      </c>
      <c r="G312" s="135"/>
    </row>
    <row r="313" spans="1:7" x14ac:dyDescent="0.3">
      <c r="A313" s="134"/>
      <c r="B313" s="135"/>
      <c r="C313" s="97"/>
      <c r="D313" s="97"/>
      <c r="E313" s="135"/>
      <c r="F313" s="136"/>
      <c r="G313" s="135"/>
    </row>
    <row r="314" spans="1:7" x14ac:dyDescent="0.3">
      <c r="A314" s="38"/>
      <c r="C314" s="14">
        <f>SUBTOTAL(109,Table14[Debit])</f>
        <v>13475839</v>
      </c>
      <c r="D314" s="14">
        <f>SUBTOTAL(109,Table14[Credit])</f>
        <v>13494630</v>
      </c>
      <c r="F314" s="54">
        <f>(Table14[[#Totals],[Credit]]-Table14[[#Totals],[Debit]])</f>
        <v>18791</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45947</v>
      </c>
      <c r="L10" s="137"/>
      <c r="M10" s="137">
        <v>240125</v>
      </c>
    </row>
    <row r="11" spans="1:14" x14ac:dyDescent="0.3">
      <c r="A11" s="1">
        <v>45990</v>
      </c>
      <c r="B11" t="s">
        <v>312</v>
      </c>
      <c r="E11">
        <v>46000</v>
      </c>
      <c r="F11" t="s">
        <v>185</v>
      </c>
      <c r="G11">
        <f>SUMIFS(Table14[Debit], Table14[Date], Table8[[#This Row],[Date]], Table14[Party], Table8[[#This Row],[Party]])</f>
        <v>46000</v>
      </c>
      <c r="H11">
        <f>Table8[[#This Row],[Price]]-Table8[[#This Row],[Paid]]</f>
        <v>0</v>
      </c>
      <c r="K11" s="26">
        <v>45979</v>
      </c>
      <c r="L11" s="137"/>
      <c r="M11" s="137">
        <v>0</v>
      </c>
    </row>
    <row r="12" spans="1:14" x14ac:dyDescent="0.3">
      <c r="A12" s="1">
        <v>45993</v>
      </c>
      <c r="B12" t="s">
        <v>336</v>
      </c>
      <c r="E12">
        <v>242450</v>
      </c>
      <c r="F12" t="s">
        <v>185</v>
      </c>
      <c r="G12">
        <f>SUMIFS(Table14[Debit], Table14[Date], Table8[[#This Row],[Date]], Table14[Party], Table8[[#This Row],[Party]])</f>
        <v>242450</v>
      </c>
      <c r="H12">
        <f>Table8[[#This Row],[Price]]-Table8[[#This Row],[Paid]]</f>
        <v>0</v>
      </c>
      <c r="K12" s="26">
        <v>45981</v>
      </c>
      <c r="L12" s="137">
        <v>141950</v>
      </c>
      <c r="M12" s="137">
        <v>0</v>
      </c>
    </row>
    <row r="13" spans="1:14" x14ac:dyDescent="0.3">
      <c r="A13" s="1">
        <v>45995</v>
      </c>
      <c r="B13" t="s">
        <v>64</v>
      </c>
      <c r="E13">
        <v>56000</v>
      </c>
      <c r="F13" t="s">
        <v>185</v>
      </c>
      <c r="G13">
        <f>SUMIFS(Table14[Debit], Table14[Date], Table8[[#This Row],[Date]], Table14[Party], Table8[[#This Row],[Party]])</f>
        <v>56000</v>
      </c>
      <c r="H13">
        <f>Table8[[#This Row],[Price]]-Table8[[#This Row],[Paid]]</f>
        <v>0</v>
      </c>
      <c r="K13" s="26">
        <v>45983</v>
      </c>
      <c r="L13" s="137">
        <v>158000</v>
      </c>
      <c r="M13" s="137">
        <v>0</v>
      </c>
    </row>
    <row r="14" spans="1:14" x14ac:dyDescent="0.3">
      <c r="G14">
        <f>SUMIFS(Table14[Debit], Table14[Date], Table8[[#This Row],[Date]], Table14[Party], Table8[[#This Row],[Party]])</f>
        <v>0</v>
      </c>
      <c r="H14">
        <f>Table8[[#This Row],[Price]]-Table8[[#This Row],[Paid]]</f>
        <v>0</v>
      </c>
      <c r="K14" s="26">
        <v>45986</v>
      </c>
      <c r="L14" s="137">
        <v>231500</v>
      </c>
      <c r="M14" s="137">
        <v>0</v>
      </c>
    </row>
    <row r="15" spans="1:14" x14ac:dyDescent="0.3">
      <c r="E15">
        <f>SUBTOTAL(109,Table8[Price])</f>
        <v>960900</v>
      </c>
      <c r="H15">
        <f>SUBTOTAL(109,Table8[Balance])</f>
        <v>0</v>
      </c>
      <c r="K15" s="26">
        <v>45987</v>
      </c>
      <c r="L15" s="137"/>
      <c r="M15" s="137">
        <v>-240125</v>
      </c>
    </row>
    <row r="16" spans="1:14" x14ac:dyDescent="0.3">
      <c r="K16" s="4" t="s">
        <v>104</v>
      </c>
      <c r="L16" s="137"/>
      <c r="M16" s="137">
        <v>0</v>
      </c>
    </row>
    <row r="17" spans="1:13" x14ac:dyDescent="0.3">
      <c r="K17" s="26">
        <v>45988</v>
      </c>
      <c r="L17" s="137">
        <v>85000</v>
      </c>
      <c r="M17" s="137">
        <v>0</v>
      </c>
    </row>
    <row r="18" spans="1:13" x14ac:dyDescent="0.3">
      <c r="K18" s="26">
        <v>45990</v>
      </c>
      <c r="L18" s="137">
        <v>46000</v>
      </c>
      <c r="M18" s="137">
        <v>0</v>
      </c>
    </row>
    <row r="19" spans="1:13" x14ac:dyDescent="0.3">
      <c r="A19" t="s">
        <v>57</v>
      </c>
      <c r="B19" t="s">
        <v>157</v>
      </c>
      <c r="C19" t="s">
        <v>158</v>
      </c>
      <c r="D19" t="s">
        <v>4</v>
      </c>
      <c r="E19" t="s">
        <v>159</v>
      </c>
      <c r="K19" s="26">
        <v>45993</v>
      </c>
      <c r="L19" s="137">
        <v>242450</v>
      </c>
      <c r="M19" s="137">
        <v>0</v>
      </c>
    </row>
    <row r="20" spans="1:13" x14ac:dyDescent="0.3">
      <c r="A20" t="s">
        <v>132</v>
      </c>
      <c r="B20">
        <v>1</v>
      </c>
      <c r="C20">
        <v>25</v>
      </c>
      <c r="D20">
        <v>1400</v>
      </c>
      <c r="E20">
        <f>Table2325[[#This Row],[boxes]]*Table2325[[#This Row],[kgs]]*Table2325[[#This Row],[Rate]]</f>
        <v>35000</v>
      </c>
      <c r="K20" s="26">
        <v>45995</v>
      </c>
      <c r="L20" s="137">
        <v>56000</v>
      </c>
      <c r="M20" s="137">
        <v>0</v>
      </c>
    </row>
    <row r="21" spans="1:13" x14ac:dyDescent="0.3">
      <c r="A21" t="s">
        <v>130</v>
      </c>
      <c r="B21">
        <v>1</v>
      </c>
      <c r="C21">
        <v>3</v>
      </c>
      <c r="D21">
        <v>1340</v>
      </c>
      <c r="E21">
        <f>Table2325[[#This Row],[boxes]]*Table2325[[#This Row],[kgs]]*Table2325[[#This Row],[Rate]]</f>
        <v>4020</v>
      </c>
      <c r="K21" s="4" t="s">
        <v>28</v>
      </c>
      <c r="L21" s="137">
        <v>960900</v>
      </c>
      <c r="M21" s="137">
        <v>0</v>
      </c>
    </row>
    <row r="22" spans="1:13" x14ac:dyDescent="0.3">
      <c r="A22" t="s">
        <v>148</v>
      </c>
      <c r="B22">
        <v>1</v>
      </c>
      <c r="D22">
        <v>1120</v>
      </c>
      <c r="E22">
        <f>Table2325[[#This Row],[boxes]]*Table2325[[#This Row],[kgs]]*Table2325[[#This Row],[Rate]]</f>
        <v>0</v>
      </c>
    </row>
    <row r="23" spans="1:13" x14ac:dyDescent="0.3">
      <c r="A23" t="s">
        <v>127</v>
      </c>
      <c r="B23">
        <v>1</v>
      </c>
      <c r="C23">
        <v>25</v>
      </c>
      <c r="D23">
        <v>1120</v>
      </c>
      <c r="E23">
        <f>Table2325[[#This Row],[boxes]]*Table2325[[#This Row],[kgs]]*Table2325[[#This Row],[Rate]]</f>
        <v>28000</v>
      </c>
    </row>
    <row r="24" spans="1:13" x14ac:dyDescent="0.3">
      <c r="A24" t="s">
        <v>126</v>
      </c>
      <c r="B24">
        <v>1</v>
      </c>
      <c r="C24">
        <v>25</v>
      </c>
      <c r="D24">
        <v>1120</v>
      </c>
      <c r="E24">
        <f>Table2325[[#This Row],[boxes]]*Table2325[[#This Row],[kgs]]*Table2325[[#This Row],[Rate]]</f>
        <v>28000</v>
      </c>
    </row>
    <row r="25" spans="1:13" x14ac:dyDescent="0.3">
      <c r="A25" t="s">
        <v>147</v>
      </c>
      <c r="B25">
        <v>1</v>
      </c>
      <c r="D25">
        <v>1300</v>
      </c>
      <c r="E25">
        <f>Table2325[[#This Row],[boxes]]*Table2325[[#This Row],[kgs]]*Table2325[[#This Row],[Rate]]</f>
        <v>0</v>
      </c>
    </row>
    <row r="26" spans="1:13" x14ac:dyDescent="0.3">
      <c r="A26" t="s">
        <v>133</v>
      </c>
      <c r="B26">
        <v>1</v>
      </c>
      <c r="C26">
        <v>25</v>
      </c>
      <c r="D26">
        <v>1450</v>
      </c>
      <c r="E26">
        <f>Table2325[[#This Row],[boxes]]*Table2325[[#This Row],[kgs]]*Table2325[[#This Row],[Rate]]</f>
        <v>36250</v>
      </c>
    </row>
    <row r="27" spans="1:13" x14ac:dyDescent="0.3">
      <c r="A27" t="s">
        <v>160</v>
      </c>
      <c r="B27">
        <v>1</v>
      </c>
      <c r="C27">
        <v>25</v>
      </c>
      <c r="D27">
        <v>940</v>
      </c>
      <c r="E27">
        <f>Table2325[[#This Row],[boxes]]*Table2325[[#This Row],[kgs]]*Table2325[[#This Row],[Rate]]</f>
        <v>23500</v>
      </c>
    </row>
    <row r="28" spans="1:13" x14ac:dyDescent="0.3">
      <c r="A28" t="s">
        <v>126</v>
      </c>
      <c r="D28">
        <v>1130</v>
      </c>
      <c r="E28">
        <f>Table2325[[#This Row],[boxes]]*Table2325[[#This Row],[kgs]]*Table2325[[#This Row],[Rate]]</f>
        <v>0</v>
      </c>
    </row>
    <row r="29" spans="1:13" x14ac:dyDescent="0.3">
      <c r="A29" t="s">
        <v>147</v>
      </c>
      <c r="B29">
        <v>1</v>
      </c>
      <c r="C29">
        <v>12</v>
      </c>
      <c r="D29">
        <v>1300</v>
      </c>
      <c r="E29">
        <f>Table2325[[#This Row],[boxes]]*Table2325[[#This Row],[kgs]]*Table2325[[#This Row],[Rate]]</f>
        <v>15600</v>
      </c>
    </row>
    <row r="30" spans="1:13" x14ac:dyDescent="0.3">
      <c r="A30" t="s">
        <v>134</v>
      </c>
      <c r="B30">
        <v>1</v>
      </c>
      <c r="C30">
        <v>8</v>
      </c>
      <c r="D30">
        <v>1650</v>
      </c>
      <c r="E30">
        <f>Table2325[[#This Row],[boxes]]*Table2325[[#This Row],[kgs]]*Table2325[[#This Row],[Rate]]</f>
        <v>13200</v>
      </c>
    </row>
    <row r="31" spans="1:13" x14ac:dyDescent="0.3">
      <c r="A31" t="s">
        <v>130</v>
      </c>
      <c r="D31">
        <v>1340</v>
      </c>
      <c r="E31">
        <f>Table2325[[#This Row],[boxes]]*Table2325[[#This Row],[kgs]]*Table2325[[#This Row],[Rate]]</f>
        <v>0</v>
      </c>
    </row>
    <row r="32" spans="1:13" x14ac:dyDescent="0.3">
      <c r="A32" t="s">
        <v>133</v>
      </c>
      <c r="B32">
        <v>1</v>
      </c>
      <c r="C32">
        <v>12</v>
      </c>
      <c r="D32">
        <v>1450</v>
      </c>
      <c r="E32">
        <f>Table2325[[#This Row],[boxes]]*Table2325[[#This Row],[kgs]]*Table2325[[#This Row],[Rate]]</f>
        <v>17400</v>
      </c>
      <c r="L32" t="s">
        <v>164</v>
      </c>
    </row>
    <row r="33" spans="1:16" x14ac:dyDescent="0.3">
      <c r="A33" t="s">
        <v>132</v>
      </c>
      <c r="B33">
        <v>1</v>
      </c>
      <c r="C33">
        <v>4</v>
      </c>
      <c r="D33">
        <v>1400</v>
      </c>
      <c r="E33">
        <f>Table2325[[#This Row],[boxes]]*Table2325[[#This Row],[kgs]]*Table2325[[#This Row],[Rate]]</f>
        <v>5600</v>
      </c>
      <c r="L33" t="s">
        <v>57</v>
      </c>
      <c r="M33" t="s">
        <v>157</v>
      </c>
      <c r="N33" t="s">
        <v>158</v>
      </c>
      <c r="O33" t="s">
        <v>4</v>
      </c>
      <c r="P33" t="s">
        <v>159</v>
      </c>
    </row>
    <row r="34" spans="1:16" x14ac:dyDescent="0.3">
      <c r="A34" t="s">
        <v>161</v>
      </c>
      <c r="D34">
        <v>1000</v>
      </c>
      <c r="E34">
        <f>Table2325[[#This Row],[boxes]]*Table2325[[#This Row],[kgs]]*Table2325[[#This Row],[Rate]]</f>
        <v>0</v>
      </c>
      <c r="L34" t="s">
        <v>132</v>
      </c>
      <c r="M34">
        <v>1</v>
      </c>
      <c r="N34">
        <v>25</v>
      </c>
      <c r="O34">
        <v>1400</v>
      </c>
      <c r="P34">
        <v>35000</v>
      </c>
    </row>
    <row r="35" spans="1:16" x14ac:dyDescent="0.3">
      <c r="A35" t="s">
        <v>131</v>
      </c>
      <c r="B35">
        <v>1</v>
      </c>
      <c r="C35">
        <v>12</v>
      </c>
      <c r="D35">
        <v>1650</v>
      </c>
      <c r="E35">
        <f>Table2325[[#This Row],[boxes]]*Table2325[[#This Row],[kgs]]*Table2325[[#This Row],[Rate]]</f>
        <v>19800</v>
      </c>
      <c r="L35" t="s">
        <v>130</v>
      </c>
      <c r="M35">
        <v>1</v>
      </c>
      <c r="N35">
        <v>25</v>
      </c>
      <c r="O35">
        <v>1340</v>
      </c>
      <c r="P35">
        <v>33500</v>
      </c>
    </row>
    <row r="36" spans="1:16" x14ac:dyDescent="0.3">
      <c r="A36" t="s">
        <v>115</v>
      </c>
      <c r="D36">
        <v>1130</v>
      </c>
      <c r="E36">
        <f>Table2325[[#This Row],[boxes]]*Table2325[[#This Row],[kgs]]*Table2325[[#This Row],[Rate]]</f>
        <v>0</v>
      </c>
      <c r="L36" t="s">
        <v>148</v>
      </c>
      <c r="M36">
        <v>2</v>
      </c>
      <c r="N36">
        <v>50</v>
      </c>
      <c r="O36">
        <v>1140</v>
      </c>
      <c r="P36">
        <v>57000</v>
      </c>
    </row>
    <row r="37" spans="1:16" x14ac:dyDescent="0.3">
      <c r="A37" t="s">
        <v>154</v>
      </c>
      <c r="B37">
        <v>1</v>
      </c>
      <c r="C37">
        <v>5</v>
      </c>
      <c r="D37">
        <v>3100</v>
      </c>
      <c r="E37">
        <f>Table2325[[#This Row],[boxes]]*Table2325[[#This Row],[kgs]]*Table2325[[#This Row],[Rate]]</f>
        <v>15500</v>
      </c>
      <c r="L37" t="s">
        <v>127</v>
      </c>
      <c r="M37">
        <v>1</v>
      </c>
      <c r="N37">
        <v>25</v>
      </c>
      <c r="O37">
        <v>1140</v>
      </c>
      <c r="P37">
        <v>28500</v>
      </c>
    </row>
    <row r="38" spans="1:16" x14ac:dyDescent="0.3">
      <c r="A38" t="s">
        <v>127</v>
      </c>
      <c r="B38">
        <v>1</v>
      </c>
      <c r="C38">
        <v>8</v>
      </c>
      <c r="D38">
        <v>1140</v>
      </c>
      <c r="E38">
        <f>Table2325[[#This Row],[boxes]]*Table2325[[#This Row],[kgs]]*Table2325[[#This Row],[Rate]]</f>
        <v>9120</v>
      </c>
      <c r="L38" t="s">
        <v>126</v>
      </c>
      <c r="M38">
        <v>2</v>
      </c>
      <c r="N38">
        <v>50</v>
      </c>
      <c r="O38">
        <v>1130</v>
      </c>
      <c r="P38">
        <v>56500</v>
      </c>
    </row>
    <row r="39" spans="1:16" x14ac:dyDescent="0.3">
      <c r="A39" t="s">
        <v>148</v>
      </c>
      <c r="B39">
        <v>1</v>
      </c>
      <c r="C39">
        <v>6</v>
      </c>
      <c r="D39">
        <v>1140</v>
      </c>
      <c r="E39">
        <f>Table2325[[#This Row],[boxes]]*Table2325[[#This Row],[kgs]]*Table2325[[#This Row],[Rate]]</f>
        <v>6840</v>
      </c>
      <c r="L39" t="s">
        <v>147</v>
      </c>
      <c r="M39">
        <v>1</v>
      </c>
      <c r="N39">
        <v>25</v>
      </c>
      <c r="O39">
        <v>1300</v>
      </c>
      <c r="P39">
        <v>32500</v>
      </c>
    </row>
    <row r="40" spans="1:16" x14ac:dyDescent="0.3">
      <c r="A40" t="s">
        <v>162</v>
      </c>
      <c r="D40">
        <v>1000</v>
      </c>
      <c r="E40">
        <f>Table2325[[#This Row],[boxes]]*Table2325[[#This Row],[kgs]]*Table2325[[#This Row],[Rate]]</f>
        <v>0</v>
      </c>
      <c r="L40" t="s">
        <v>133</v>
      </c>
      <c r="M40">
        <v>1</v>
      </c>
      <c r="N40">
        <v>25</v>
      </c>
      <c r="O40">
        <v>1450</v>
      </c>
      <c r="P40">
        <v>36250</v>
      </c>
    </row>
    <row r="41" spans="1:16" x14ac:dyDescent="0.3">
      <c r="A41" t="s">
        <v>163</v>
      </c>
      <c r="B41">
        <v>1</v>
      </c>
      <c r="C41">
        <v>10</v>
      </c>
      <c r="D41">
        <v>1600</v>
      </c>
      <c r="E41">
        <f>Table2325[[#This Row],[boxes]]*Table2325[[#This Row],[kgs]]*Table2325[[#This Row],[Rate]]</f>
        <v>16000</v>
      </c>
      <c r="L41" t="s">
        <v>160</v>
      </c>
      <c r="N41">
        <v>6</v>
      </c>
      <c r="O41">
        <v>940</v>
      </c>
      <c r="P41">
        <v>5640</v>
      </c>
    </row>
    <row r="42" spans="1:16" x14ac:dyDescent="0.3">
      <c r="A42" t="s">
        <v>115</v>
      </c>
      <c r="B42">
        <v>1</v>
      </c>
      <c r="C42">
        <v>3</v>
      </c>
      <c r="D42">
        <v>1120</v>
      </c>
      <c r="E42">
        <f>Table2325[[#This Row],[boxes]]*Table2325[[#This Row],[kgs]]*Table2325[[#This Row],[Rate]]</f>
        <v>3360</v>
      </c>
      <c r="L42" t="s">
        <v>126</v>
      </c>
      <c r="N42">
        <v>8</v>
      </c>
      <c r="O42">
        <v>1130</v>
      </c>
      <c r="P42">
        <v>9040</v>
      </c>
    </row>
    <row r="43" spans="1:16" x14ac:dyDescent="0.3">
      <c r="A43" t="s">
        <v>202</v>
      </c>
      <c r="B43">
        <v>1</v>
      </c>
      <c r="C43">
        <v>4</v>
      </c>
      <c r="D43">
        <v>920</v>
      </c>
      <c r="E43">
        <f>Table2325[[#This Row],[boxes]]*Table2325[[#This Row],[kgs]]*Table2325[[#This Row],[Rate]]</f>
        <v>3680</v>
      </c>
      <c r="L43" t="s">
        <v>147</v>
      </c>
      <c r="N43">
        <v>10</v>
      </c>
      <c r="O43">
        <v>1300</v>
      </c>
      <c r="P43">
        <v>13000</v>
      </c>
    </row>
    <row r="44" spans="1:16" x14ac:dyDescent="0.3">
      <c r="L44" t="s">
        <v>134</v>
      </c>
      <c r="N44">
        <v>9</v>
      </c>
      <c r="O44">
        <v>1650</v>
      </c>
      <c r="P44">
        <v>14850</v>
      </c>
    </row>
    <row r="45" spans="1:16" x14ac:dyDescent="0.3">
      <c r="L45" t="s">
        <v>130</v>
      </c>
      <c r="N45">
        <v>5</v>
      </c>
      <c r="O45">
        <v>1340</v>
      </c>
      <c r="P45">
        <v>6700</v>
      </c>
    </row>
    <row r="46" spans="1:16" x14ac:dyDescent="0.3">
      <c r="E46">
        <f>SUM(Table2325[total])</f>
        <v>280870</v>
      </c>
      <c r="L46" t="s">
        <v>133</v>
      </c>
      <c r="N46">
        <v>20</v>
      </c>
      <c r="O46">
        <v>1450</v>
      </c>
      <c r="P46">
        <v>29000</v>
      </c>
    </row>
    <row r="47" spans="1:16" x14ac:dyDescent="0.3">
      <c r="L47" t="s">
        <v>132</v>
      </c>
      <c r="N47">
        <v>8</v>
      </c>
      <c r="O47">
        <v>1400</v>
      </c>
      <c r="P47">
        <v>11200</v>
      </c>
    </row>
    <row r="48" spans="1:16" x14ac:dyDescent="0.3">
      <c r="L48" t="s">
        <v>161</v>
      </c>
      <c r="N48">
        <v>2</v>
      </c>
      <c r="O48">
        <v>1000</v>
      </c>
      <c r="P48">
        <v>2000</v>
      </c>
    </row>
    <row r="49" spans="12:16" x14ac:dyDescent="0.3">
      <c r="L49" t="s">
        <v>131</v>
      </c>
      <c r="N49">
        <v>20</v>
      </c>
      <c r="O49">
        <v>1650</v>
      </c>
      <c r="P49">
        <v>33000</v>
      </c>
    </row>
    <row r="50" spans="12:16" x14ac:dyDescent="0.3">
      <c r="L50" t="s">
        <v>115</v>
      </c>
      <c r="N50">
        <v>15</v>
      </c>
      <c r="O50">
        <v>1130</v>
      </c>
      <c r="P50">
        <v>16950</v>
      </c>
    </row>
    <row r="51" spans="12:16" x14ac:dyDescent="0.3">
      <c r="L51" t="s">
        <v>154</v>
      </c>
      <c r="N51">
        <v>25</v>
      </c>
      <c r="O51">
        <v>3100</v>
      </c>
      <c r="P51">
        <v>77500</v>
      </c>
    </row>
    <row r="52" spans="12:16" x14ac:dyDescent="0.3">
      <c r="L52" t="s">
        <v>127</v>
      </c>
      <c r="N52">
        <v>10</v>
      </c>
      <c r="O52">
        <v>1140</v>
      </c>
      <c r="P52">
        <v>11400</v>
      </c>
    </row>
    <row r="53" spans="12:16" x14ac:dyDescent="0.3">
      <c r="L53" t="s">
        <v>148</v>
      </c>
      <c r="N53">
        <v>5</v>
      </c>
      <c r="O53">
        <v>1140</v>
      </c>
      <c r="P53">
        <v>5700</v>
      </c>
    </row>
    <row r="54" spans="12:16" x14ac:dyDescent="0.3">
      <c r="L54" t="s">
        <v>162</v>
      </c>
      <c r="N54">
        <v>9</v>
      </c>
      <c r="O54">
        <v>1000</v>
      </c>
      <c r="P54">
        <v>9000</v>
      </c>
    </row>
    <row r="55" spans="12:16" x14ac:dyDescent="0.3">
      <c r="L55" t="s">
        <v>163</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D25" sqref="D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7">
        <v>0</v>
      </c>
      <c r="L5" s="137">
        <v>0</v>
      </c>
      <c r="M5" s="137">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7">
        <v>269000</v>
      </c>
      <c r="L6" s="137">
        <v>0</v>
      </c>
      <c r="M6" s="137">
        <v>268000</v>
      </c>
    </row>
    <row r="7" spans="1:13" x14ac:dyDescent="0.3">
      <c r="A7" s="85">
        <v>45979</v>
      </c>
      <c r="B7" s="85" t="s">
        <v>166</v>
      </c>
      <c r="C7" s="82" t="s">
        <v>180</v>
      </c>
      <c r="F7">
        <v>0</v>
      </c>
      <c r="G7">
        <v>0</v>
      </c>
      <c r="H7" s="81">
        <v>0</v>
      </c>
      <c r="J7" s="4" t="s">
        <v>118</v>
      </c>
      <c r="K7" s="137">
        <v>24000</v>
      </c>
      <c r="L7" s="137">
        <v>24000</v>
      </c>
      <c r="M7" s="137">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7">
        <v>0</v>
      </c>
      <c r="L8" s="137">
        <v>0</v>
      </c>
      <c r="M8" s="137">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7">
        <v>0</v>
      </c>
      <c r="L9" s="137">
        <v>400000</v>
      </c>
      <c r="M9" s="137">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s="137">
        <v>52000</v>
      </c>
      <c r="L10" s="137">
        <v>52000</v>
      </c>
      <c r="M10" s="137">
        <v>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37">
        <v>345000</v>
      </c>
      <c r="L11" s="137">
        <v>476000</v>
      </c>
      <c r="M11" s="137">
        <v>492000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0"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0"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F20">
        <f>SUBTOTAL(109,Table2[Price])</f>
        <v>345000</v>
      </c>
      <c r="G20">
        <f>SUBTOTAL(109,Table2[Paid])</f>
        <v>476000</v>
      </c>
      <c r="H20">
        <f>SUBTOTAL(109,Table2[Balance])</f>
        <v>492000</v>
      </c>
    </row>
    <row r="24" spans="1:10" x14ac:dyDescent="0.3">
      <c r="I24" t="s">
        <v>57</v>
      </c>
      <c r="J24" t="s">
        <v>181</v>
      </c>
    </row>
    <row r="25" spans="1:10" x14ac:dyDescent="0.3">
      <c r="I25" t="s">
        <v>61</v>
      </c>
      <c r="J25">
        <f>7800*60</f>
        <v>468000</v>
      </c>
    </row>
    <row r="26" spans="1:10" x14ac:dyDescent="0.3">
      <c r="I26" t="s">
        <v>61</v>
      </c>
    </row>
    <row r="27" spans="1:10" x14ac:dyDescent="0.3">
      <c r="I27" t="s">
        <v>165</v>
      </c>
      <c r="J27">
        <f>13000*3</f>
        <v>39000</v>
      </c>
    </row>
    <row r="30" spans="1: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5" zoomScale="118" workbookViewId="0">
      <selection activeCell="H21" sqref="H21"/>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10"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10"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10"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10"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10"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10"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10"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10"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10"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145000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52000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1423515</v>
      </c>
      <c r="C2" s="32">
        <f>GETPIVOTDATA("Sum of Tiyaar/gaz",$A$3)</f>
        <v>1325922</v>
      </c>
      <c r="D2" s="31">
        <f>((B2*48)+((C2/1.0936)*10))/C2</f>
        <v>60.677097295647044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12770</v>
      </c>
      <c r="D17" s="28">
        <f t="shared" si="1"/>
        <v>46.766037582368604</v>
      </c>
      <c r="E17" s="11">
        <f t="shared" si="2"/>
        <v>10945.8424</v>
      </c>
      <c r="F17" s="11">
        <f t="shared" si="0"/>
        <v>12770</v>
      </c>
      <c r="G17" s="78">
        <f t="shared" si="4"/>
        <v>-16.665301155806887</v>
      </c>
      <c r="H17" s="28">
        <f t="shared" si="3"/>
        <v>11677.029992684713</v>
      </c>
      <c r="I17" s="28">
        <f>((B17*48)+(H17*10))/C17</f>
        <v>46.766037582368604</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38741</v>
      </c>
      <c r="C32" s="14">
        <v>22959</v>
      </c>
      <c r="D32" s="28">
        <f t="shared" si="1"/>
        <v>90.139276487047795</v>
      </c>
      <c r="E32" s="11">
        <f t="shared" si="2"/>
        <v>42367.157599999999</v>
      </c>
      <c r="F32" s="11">
        <f t="shared" si="0"/>
        <v>22959</v>
      </c>
      <c r="G32" s="78">
        <f t="shared" si="6"/>
        <v>45.809439904460334</v>
      </c>
      <c r="H32" s="28">
        <f t="shared" si="3"/>
        <v>20993.964886613023</v>
      </c>
      <c r="I32" s="28">
        <f t="shared" si="5"/>
        <v>90.139276487047795</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25635</v>
      </c>
      <c r="D41" s="28">
        <f t="shared" si="13"/>
        <v>59.117662977061499</v>
      </c>
      <c r="E41" s="11">
        <f t="shared" si="14"/>
        <v>29187.090399999997</v>
      </c>
      <c r="F41" s="11">
        <f t="shared" si="15"/>
        <v>25635</v>
      </c>
      <c r="G41" s="78">
        <f t="shared" si="16"/>
        <v>12.170073656948006</v>
      </c>
      <c r="H41" s="28">
        <f t="shared" si="17"/>
        <v>23440.929041697149</v>
      </c>
      <c r="I41" s="28">
        <f t="shared" si="18"/>
        <v>59.117662977061499</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19105</v>
      </c>
      <c r="D44" s="28">
        <f t="shared" si="13"/>
        <v>60.543430742248162</v>
      </c>
      <c r="E44" s="11">
        <f t="shared" si="14"/>
        <v>22372.868799999997</v>
      </c>
      <c r="F44" s="11">
        <f t="shared" si="15"/>
        <v>19105</v>
      </c>
      <c r="G44" s="78">
        <f t="shared" si="16"/>
        <v>14.606391470011204</v>
      </c>
      <c r="H44" s="28">
        <f t="shared" si="17"/>
        <v>17469.824433065107</v>
      </c>
      <c r="I44" s="28">
        <f t="shared" si="18"/>
        <v>60.543430742248162</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12007</v>
      </c>
      <c r="D50" s="28">
        <f t="shared" si="19"/>
        <v>57.463924634550843</v>
      </c>
      <c r="E50" s="11">
        <f t="shared" si="20"/>
        <v>13218.343199999999</v>
      </c>
      <c r="F50" s="11">
        <f t="shared" si="21"/>
        <v>12007</v>
      </c>
      <c r="G50" s="78">
        <f t="shared" si="22"/>
        <v>9.1641076470158538</v>
      </c>
      <c r="H50" s="28">
        <f t="shared" si="23"/>
        <v>10979.334308705194</v>
      </c>
      <c r="I50" s="28">
        <f t="shared" si="24"/>
        <v>57.463924634550843</v>
      </c>
    </row>
    <row r="51" spans="1:9" x14ac:dyDescent="0.3">
      <c r="A51" s="16">
        <v>1921</v>
      </c>
      <c r="B51" s="14">
        <v>12000</v>
      </c>
      <c r="C51" s="14">
        <v>12170</v>
      </c>
      <c r="D51" s="28">
        <f t="shared" si="19"/>
        <v>56.473609959853071</v>
      </c>
      <c r="E51" s="11">
        <f t="shared" si="20"/>
        <v>13123.199999999999</v>
      </c>
      <c r="F51" s="11">
        <f t="shared" si="21"/>
        <v>12170</v>
      </c>
      <c r="G51" s="78">
        <f t="shared" si="22"/>
        <v>7.26347232382345</v>
      </c>
      <c r="H51" s="28">
        <f t="shared" si="23"/>
        <v>11128.383321141186</v>
      </c>
      <c r="I51" s="28">
        <f t="shared" si="24"/>
        <v>56.473609959853071</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49034</v>
      </c>
      <c r="D55" s="28">
        <f t="shared" si="19"/>
        <v>62.198236901084023</v>
      </c>
      <c r="E55" s="11">
        <f t="shared" si="20"/>
        <v>59269.839199999995</v>
      </c>
      <c r="F55" s="11">
        <f t="shared" si="21"/>
        <v>49034</v>
      </c>
      <c r="G55" s="78">
        <f t="shared" si="22"/>
        <v>17.269895343330035</v>
      </c>
      <c r="H55" s="28">
        <f t="shared" si="23"/>
        <v>44837.234820775426</v>
      </c>
      <c r="I55" s="28">
        <f t="shared" si="24"/>
        <v>62.198236901084023</v>
      </c>
    </row>
    <row r="56" spans="1:9" x14ac:dyDescent="0.3">
      <c r="A56" s="16">
        <v>1910</v>
      </c>
      <c r="B56" s="14">
        <v>28367</v>
      </c>
      <c r="C56" s="14">
        <v>8250</v>
      </c>
      <c r="D56" s="28">
        <f t="shared" si="19"/>
        <v>174.18847482875574</v>
      </c>
      <c r="E56" s="11">
        <f t="shared" si="20"/>
        <v>31022.151199999997</v>
      </c>
      <c r="F56" s="11">
        <f t="shared" si="21"/>
        <v>8250</v>
      </c>
      <c r="G56" s="78">
        <f t="shared" si="22"/>
        <v>73.406099574422811</v>
      </c>
      <c r="H56" s="28">
        <f t="shared" si="23"/>
        <v>7543.8917337234825</v>
      </c>
      <c r="I56" s="28">
        <f t="shared" si="24"/>
        <v>174.18847482875574</v>
      </c>
    </row>
    <row r="57" spans="1:9" x14ac:dyDescent="0.3">
      <c r="A57" s="16">
        <v>1923</v>
      </c>
      <c r="B57" s="14">
        <v>15040</v>
      </c>
      <c r="C57" s="14">
        <v>13217</v>
      </c>
      <c r="D57" s="28">
        <f t="shared" si="19"/>
        <v>63.764675616996776</v>
      </c>
      <c r="E57" s="11">
        <f t="shared" si="20"/>
        <v>16447.743999999999</v>
      </c>
      <c r="F57" s="11">
        <f t="shared" si="21"/>
        <v>13217</v>
      </c>
      <c r="G57" s="78">
        <f t="shared" si="22"/>
        <v>19.642474980155328</v>
      </c>
      <c r="H57" s="28">
        <f t="shared" si="23"/>
        <v>12085.771762984639</v>
      </c>
      <c r="I57" s="28">
        <f t="shared" si="24"/>
        <v>63.764675616996776</v>
      </c>
    </row>
    <row r="58" spans="1:9" x14ac:dyDescent="0.3">
      <c r="A58" s="16">
        <v>1914</v>
      </c>
      <c r="B58" s="14">
        <v>26497</v>
      </c>
      <c r="C58" s="14">
        <v>10929</v>
      </c>
      <c r="D58" s="28">
        <f t="shared" si="19"/>
        <v>125.51852788193369</v>
      </c>
      <c r="E58" s="11">
        <f t="shared" si="20"/>
        <v>28977.119199999997</v>
      </c>
      <c r="F58" s="11">
        <f t="shared" si="21"/>
        <v>10929</v>
      </c>
      <c r="G58" s="78">
        <f t="shared" si="22"/>
        <v>62.284035467542267</v>
      </c>
      <c r="H58" s="28">
        <f t="shared" si="23"/>
        <v>9993.5991221653258</v>
      </c>
      <c r="I58" s="28">
        <f t="shared" si="24"/>
        <v>125.51852788193369</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5493</v>
      </c>
      <c r="D63" s="28">
        <f t="shared" si="25"/>
        <v>130.33690201707807</v>
      </c>
      <c r="E63" s="11">
        <f t="shared" si="26"/>
        <v>15167.138399999998</v>
      </c>
      <c r="F63" s="11">
        <f t="shared" si="27"/>
        <v>5493</v>
      </c>
      <c r="G63" s="78">
        <f t="shared" si="28"/>
        <v>63.783544033593046</v>
      </c>
      <c r="H63" s="28">
        <f t="shared" si="29"/>
        <v>5022.8602779809808</v>
      </c>
      <c r="I63" s="28">
        <f t="shared" si="30"/>
        <v>130.33690201707807</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t="s">
        <v>28</v>
      </c>
      <c r="B65" s="30">
        <v>79388</v>
      </c>
      <c r="C65" s="30">
        <v>1325922</v>
      </c>
      <c r="D65" s="28">
        <f t="shared" si="25"/>
        <v>12.018054003507686</v>
      </c>
      <c r="E65" s="11">
        <f t="shared" si="26"/>
        <v>86818.716799999995</v>
      </c>
      <c r="F65" s="11">
        <f t="shared" si="27"/>
        <v>1325922</v>
      </c>
      <c r="G65" s="78">
        <f t="shared" si="28"/>
        <v>-1427.2305890611829</v>
      </c>
      <c r="H65" s="28">
        <f t="shared" si="29"/>
        <v>1212437.8200438919</v>
      </c>
      <c r="I65" s="28">
        <f t="shared" si="30"/>
        <v>12.018054003507686</v>
      </c>
    </row>
    <row r="66" spans="1:9" x14ac:dyDescent="0.3">
      <c r="D66" s="28" t="e">
        <f t="shared" si="25"/>
        <v>#DIV/0!</v>
      </c>
      <c r="E66" s="11">
        <f t="shared" si="26"/>
        <v>0</v>
      </c>
      <c r="F66" s="11">
        <f t="shared" si="27"/>
        <v>0</v>
      </c>
      <c r="G66" s="78" t="e">
        <f t="shared" si="28"/>
        <v>#DIV/0!</v>
      </c>
      <c r="H66" s="28">
        <f t="shared" si="29"/>
        <v>0</v>
      </c>
      <c r="I66" s="28" t="e">
        <f t="shared" si="30"/>
        <v>#DIV/0!</v>
      </c>
    </row>
    <row r="67" spans="1:9" x14ac:dyDescent="0.3">
      <c r="D67" s="28" t="e">
        <f t="shared" si="25"/>
        <v>#DIV/0!</v>
      </c>
      <c r="E67" s="11">
        <f t="shared" si="26"/>
        <v>0</v>
      </c>
      <c r="F67" s="11">
        <f t="shared" si="27"/>
        <v>0</v>
      </c>
      <c r="G67" s="78" t="e">
        <f t="shared" si="28"/>
        <v>#DIV/0!</v>
      </c>
      <c r="H67" s="28">
        <f t="shared" si="29"/>
        <v>0</v>
      </c>
      <c r="I67" s="28" t="e">
        <f t="shared" si="30"/>
        <v>#DIV/0!</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0</v>
      </c>
      <c r="H24" s="1">
        <v>45999</v>
      </c>
      <c r="J24">
        <f>SUMIFS(Table14[Debit], Table14[Date], Table15[[#This Row],[Date]], Table14[Party], "Parts")</f>
        <v>0</v>
      </c>
    </row>
    <row r="25" spans="2:10" x14ac:dyDescent="0.3">
      <c r="B25" s="1">
        <v>46000</v>
      </c>
      <c r="C25" t="s">
        <v>114</v>
      </c>
      <c r="D25">
        <f>SUMIFS(Table14[Debit], Table14[Date], Table5[[#This Row],[Date]], Table14[Party], "Rashan")</f>
        <v>0</v>
      </c>
      <c r="H25" s="1">
        <v>46000</v>
      </c>
      <c r="J25">
        <f>SUMIFS(Table14[Debit], Table14[Date], Table15[[#This Row],[Date]], Table14[Party], "Parts")</f>
        <v>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0</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104770</v>
      </c>
      <c r="H37" s="1"/>
      <c r="J37">
        <f>SUM(Table15[Amount])</f>
        <v>301220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opLeftCell="A2" zoomScale="67" workbookViewId="0">
      <selection activeCell="C4" sqref="C4"/>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19744734</v>
      </c>
      <c r="C2" s="105">
        <f>Billing!AB5</f>
        <v>2974637.7995610908</v>
      </c>
    </row>
    <row r="3" spans="1:3" ht="21" x14ac:dyDescent="0.4">
      <c r="A3" s="104" t="str">
        <f>Billing!Q6</f>
        <v>Ejaz Sahab</v>
      </c>
      <c r="B3" s="107">
        <f>Billing!AA6</f>
        <v>3663904</v>
      </c>
      <c r="C3" s="105">
        <f>Billing!AB6</f>
        <v>-138566.58229700057</v>
      </c>
    </row>
    <row r="4" spans="1:3" ht="21" x14ac:dyDescent="0.4">
      <c r="A4" s="104" t="str">
        <f>Billing!Q7</f>
        <v>Arshad</v>
      </c>
      <c r="B4" s="107">
        <f>Billing!AA7</f>
        <v>5702935</v>
      </c>
      <c r="C4" s="106">
        <f>Billing!AB7</f>
        <v>160180.39868324809</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493873.44550109748</v>
      </c>
    </row>
    <row r="9" spans="1:3" ht="21" x14ac:dyDescent="0.4">
      <c r="A9" s="104" t="str">
        <f>Billing!Q12</f>
        <v>Azam</v>
      </c>
      <c r="B9" s="107">
        <f>Billing!AA12</f>
        <v>2772620</v>
      </c>
      <c r="C9" s="105">
        <f>Billing!AB12</f>
        <v>19276.488661302254</v>
      </c>
    </row>
    <row r="10" spans="1:3" ht="21" x14ac:dyDescent="0.4">
      <c r="A10" s="104" t="str">
        <f>Billing!Q13</f>
        <v>Ubaidullah</v>
      </c>
      <c r="B10" s="107">
        <f>Billing!AA13</f>
        <v>640190</v>
      </c>
      <c r="C10" s="105">
        <f>Billing!AB13</f>
        <v>1084.6891002196353</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1705980</v>
      </c>
      <c r="C12" s="105">
        <f>Billing!AB15</f>
        <v>148582.91148500377</v>
      </c>
    </row>
    <row r="13" spans="1:3" ht="21" x14ac:dyDescent="0.4">
      <c r="A13" s="104" t="str">
        <f>Billing!Q16</f>
        <v>Badshah Fabrics</v>
      </c>
      <c r="B13" s="107">
        <f>Billing!AA16</f>
        <v>4925761</v>
      </c>
      <c r="C13" s="105">
        <f>Billing!AB16</f>
        <v>51642.986832480878</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4915571</v>
      </c>
      <c r="C18" s="106">
        <f>Billing!AB21</f>
        <v>-793935.11850768048</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2300000</v>
      </c>
      <c r="C20" s="105">
        <f>Billing!AB23</f>
        <v>-3729.8829553760588</v>
      </c>
    </row>
    <row r="21" spans="1:3" ht="21" x14ac:dyDescent="0.4">
      <c r="A21" s="104" t="str">
        <f>Billing!Q24</f>
        <v>Salman Zaffar</v>
      </c>
      <c r="B21" s="14">
        <f>Billing!AA24</f>
        <v>0</v>
      </c>
      <c r="C21" s="105">
        <f>Billing!AB24</f>
        <v>458547.00073152897</v>
      </c>
    </row>
    <row r="22" spans="1:3" ht="21" x14ac:dyDescent="0.4">
      <c r="A22" s="104" t="str">
        <f>Billing!Q25</f>
        <v>Shahid Qasayi</v>
      </c>
      <c r="B22" s="128">
        <f>Billing!AA25</f>
        <v>553325</v>
      </c>
      <c r="C22" s="105">
        <f>Billing!AB25</f>
        <v>20376.536210680264</v>
      </c>
    </row>
    <row r="23" spans="1:3" ht="21" x14ac:dyDescent="0.4">
      <c r="A23" s="104" t="str">
        <f>Billing!Q26</f>
        <v>Hameed corporation</v>
      </c>
      <c r="B23" s="128">
        <f>Billing!AA26</f>
        <v>424323</v>
      </c>
      <c r="C23" s="105">
        <f>Billing!AB26</f>
        <v>0.33577176299877465</v>
      </c>
    </row>
    <row r="24" spans="1:3" ht="21" x14ac:dyDescent="0.4">
      <c r="A24" s="104" t="str">
        <f>Billing!Q27</f>
        <v>ibraheem behraam</v>
      </c>
      <c r="B24" s="128">
        <f>Billing!AA27</f>
        <v>337000</v>
      </c>
      <c r="C24" s="105">
        <f>Billing!AB27</f>
        <v>2383.6869056327851</v>
      </c>
    </row>
    <row r="25" spans="1:3" ht="21" x14ac:dyDescent="0.4">
      <c r="A25" s="104" t="str">
        <f>Billing!Q28</f>
        <v>Zia-ullah karachi</v>
      </c>
      <c r="B25" s="128">
        <f>Billing!AA28</f>
        <v>124560</v>
      </c>
      <c r="C25" s="105">
        <f>Billing!AB28</f>
        <v>1.0826627651840681</v>
      </c>
    </row>
    <row r="26" spans="1:3" ht="21" x14ac:dyDescent="0.4">
      <c r="A26" s="104">
        <f>Billing!Q29</f>
        <v>0</v>
      </c>
      <c r="B26" s="128">
        <f>Billing!AA29</f>
        <v>0</v>
      </c>
      <c r="C26" s="105">
        <f>Billing!AB29</f>
        <v>0</v>
      </c>
    </row>
    <row r="27" spans="1:3" ht="21" x14ac:dyDescent="0.4">
      <c r="A27" s="104">
        <f>Billing!Q30</f>
        <v>0</v>
      </c>
      <c r="B27" s="128">
        <f>Billing!AA30</f>
        <v>0</v>
      </c>
      <c r="C27" s="105">
        <f>Billing!AB30</f>
        <v>0</v>
      </c>
    </row>
    <row r="28" spans="1:3" ht="21" x14ac:dyDescent="0.4">
      <c r="A28" s="104">
        <f>Billing!Q31</f>
        <v>0</v>
      </c>
      <c r="B28" s="128">
        <f>Billing!AA31</f>
        <v>0</v>
      </c>
      <c r="C28" s="105">
        <f>Billing!AB31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2025-12-07T19:16:42Z</dcterms:modified>
  <cp:category/>
  <cp:contentStatus/>
</cp:coreProperties>
</file>