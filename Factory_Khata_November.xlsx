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96" documentId="13_ncr:1_{78C189D7-9C78-4F83-9026-383703602BC5}" xr6:coauthVersionLast="47" xr6:coauthVersionMax="47" xr10:uidLastSave="{9810F902-8C10-4F14-ACF5-960C2559985A}"/>
  <bookViews>
    <workbookView xWindow="-108" yWindow="-108" windowWidth="23256" windowHeight="12456" tabRatio="597" firstSheet="1"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0"/>
    <pivotCache cacheId="13" r:id="rId21"/>
    <pivotCache cacheId="14" r:id="rId22"/>
    <pivotCache cacheId="15" r:id="rId23"/>
    <pivotCache cacheId="16" r:id="rId24"/>
    <pivotCache cacheId="17"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6" i="1" l="1" a="1"/>
  <c r="J246" i="1" s="1"/>
  <c r="I246" i="1"/>
  <c r="G73" i="6"/>
  <c r="I73" i="6"/>
  <c r="G65" i="6"/>
  <c r="I65" i="6"/>
  <c r="G58" i="6"/>
  <c r="I58" i="6"/>
  <c r="H72" i="6"/>
  <c r="J84" i="6" a="1"/>
  <c r="J84" i="6" s="1"/>
  <c r="M75" i="9" a="1"/>
  <c r="M75" i="9" s="1"/>
  <c r="M76" i="9" a="1"/>
  <c r="M76" i="9" s="1"/>
  <c r="M77" i="9" a="1"/>
  <c r="M77" i="9" s="1"/>
  <c r="M78" i="9" a="1"/>
  <c r="M78" i="9" s="1"/>
  <c r="M79" i="9" a="1"/>
  <c r="M79" i="9" s="1"/>
  <c r="AB31" i="9" a="1"/>
  <c r="AB31" i="9" s="1"/>
  <c r="AB32" i="9" a="1"/>
  <c r="AB32" i="9" s="1"/>
  <c r="AB33" i="9" a="1"/>
  <c r="AB33" i="9" s="1"/>
  <c r="AB34" i="9" a="1"/>
  <c r="AB34" i="9" s="1"/>
  <c r="AB35" i="9" a="1"/>
  <c r="AB35" i="9" s="1"/>
  <c r="AB36" i="9" a="1"/>
  <c r="AB36" i="9" s="1"/>
  <c r="I239" i="1"/>
  <c r="J239" i="1" a="1"/>
  <c r="J239" i="1" s="1"/>
  <c r="I240" i="1"/>
  <c r="J240" i="1" a="1"/>
  <c r="J240" i="1" s="1"/>
  <c r="I241" i="1"/>
  <c r="J241" i="1" a="1"/>
  <c r="J241" i="1" s="1"/>
  <c r="I242" i="1"/>
  <c r="J242" i="1" a="1"/>
  <c r="J242" i="1" s="1"/>
  <c r="I243" i="1"/>
  <c r="J243" i="1" a="1"/>
  <c r="J243" i="1" s="1"/>
  <c r="I244" i="1"/>
  <c r="J244" i="1" a="1"/>
  <c r="J244" i="1" s="1"/>
  <c r="I245" i="1"/>
  <c r="J245" i="1" a="1"/>
  <c r="J245" i="1"/>
  <c r="J238" i="1" a="1"/>
  <c r="J238" i="1" s="1"/>
  <c r="P35" i="7"/>
  <c r="P36" i="7"/>
  <c r="P37" i="7"/>
  <c r="P38" i="7"/>
  <c r="P39" i="7"/>
  <c r="P40" i="7"/>
  <c r="P41" i="7"/>
  <c r="P42" i="7"/>
  <c r="P43" i="7"/>
  <c r="P44" i="7"/>
  <c r="P45" i="7"/>
  <c r="P46" i="7"/>
  <c r="P47" i="7"/>
  <c r="P48" i="7"/>
  <c r="P49" i="7"/>
  <c r="P50" i="7"/>
  <c r="P51" i="7"/>
  <c r="P52" i="7"/>
  <c r="P53" i="7"/>
  <c r="P54" i="7"/>
  <c r="P55" i="7"/>
  <c r="P34" i="7"/>
  <c r="K30" i="15"/>
  <c r="K27" i="15"/>
  <c r="K26" i="15"/>
  <c r="P56" i="7" l="1"/>
  <c r="C5" i="8" s="1"/>
  <c r="K25" i="15" l="1"/>
  <c r="H74" i="6"/>
  <c r="I74" i="6" s="1"/>
  <c r="G64" i="6"/>
  <c r="I64" i="6"/>
  <c r="I72" i="6"/>
  <c r="H67" i="6"/>
  <c r="I67" i="6" s="1"/>
  <c r="H68" i="6"/>
  <c r="I68" i="6" s="1"/>
  <c r="H69" i="6"/>
  <c r="I69" i="6" s="1"/>
  <c r="H70" i="6"/>
  <c r="I70" i="6" s="1"/>
  <c r="H71" i="6"/>
  <c r="I71" i="6" s="1"/>
  <c r="G72" i="6"/>
  <c r="G74" i="6"/>
  <c r="I233" i="1"/>
  <c r="J233" i="1" a="1"/>
  <c r="J233" i="1" s="1"/>
  <c r="I234" i="1"/>
  <c r="J234" i="1" a="1"/>
  <c r="J234" i="1" s="1"/>
  <c r="I235" i="1"/>
  <c r="J235" i="1" s="1" a="1"/>
  <c r="J235" i="1" s="1"/>
  <c r="I236" i="1"/>
  <c r="J236" i="1" a="1"/>
  <c r="J236" i="1" s="1"/>
  <c r="I237" i="1"/>
  <c r="J237" i="1" a="1"/>
  <c r="J237" i="1" s="1"/>
  <c r="I238" i="1"/>
  <c r="H239" i="1"/>
  <c r="G67" i="6"/>
  <c r="G68" i="6"/>
  <c r="G69" i="6"/>
  <c r="G70" i="6"/>
  <c r="G71" i="6"/>
  <c r="C457" i="17"/>
  <c r="G224" i="1"/>
  <c r="I224" i="1" s="1"/>
  <c r="J224" i="1" s="1" a="1"/>
  <c r="J224" i="1" s="1"/>
  <c r="H54" i="6"/>
  <c r="I54" i="6" s="1"/>
  <c r="G54" i="6"/>
  <c r="H43" i="6"/>
  <c r="I43" i="6" s="1"/>
  <c r="H66" i="6"/>
  <c r="I66" i="6" s="1"/>
  <c r="H60" i="6"/>
  <c r="I60" i="6" s="1"/>
  <c r="I61" i="6"/>
  <c r="H62" i="6"/>
  <c r="I62" i="6" s="1"/>
  <c r="H63" i="6"/>
  <c r="I63" i="6" s="1"/>
  <c r="H57" i="6"/>
  <c r="I57" i="6" s="1"/>
  <c r="H59" i="6"/>
  <c r="I59" i="6" s="1"/>
  <c r="H55" i="6"/>
  <c r="I55" i="6" s="1"/>
  <c r="H56" i="6"/>
  <c r="I56" i="6" s="1"/>
  <c r="G55" i="6"/>
  <c r="G56" i="6"/>
  <c r="G57" i="6"/>
  <c r="G59" i="6"/>
  <c r="G60" i="6"/>
  <c r="G61" i="6"/>
  <c r="G62" i="6"/>
  <c r="G63" i="6"/>
  <c r="G66"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7" i="17"/>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G15" i="15"/>
  <c r="G16" i="15"/>
  <c r="H16" i="15" s="1"/>
  <c r="G17" i="15"/>
  <c r="H17" i="15" s="1"/>
  <c r="G18" i="15"/>
  <c r="H18" i="15" s="1"/>
  <c r="G19" i="15"/>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5"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78" i="1"/>
  <c r="J73" i="1"/>
  <c r="J53" i="1"/>
  <c r="J75" i="1"/>
  <c r="J37" i="1"/>
  <c r="J71"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38" i="1"/>
  <c r="I37" i="1"/>
  <c r="I16" i="1"/>
  <c r="I20" i="1"/>
  <c r="I39" i="1"/>
  <c r="J21" i="1"/>
  <c r="I21" i="1"/>
  <c r="I40" i="1"/>
  <c r="I33" i="1"/>
  <c r="I13" i="1"/>
  <c r="I17" i="1"/>
  <c r="I15" i="1"/>
  <c r="I34" i="1"/>
  <c r="J41" i="1"/>
  <c r="I14" i="1"/>
  <c r="I18" i="1"/>
  <c r="I35" i="1"/>
  <c r="I36" i="1"/>
  <c r="I19" i="1"/>
  <c r="C39" i="12"/>
  <c r="C40" i="12"/>
  <c r="C41" i="12"/>
  <c r="C42" i="12"/>
  <c r="C38" i="12"/>
  <c r="C37" i="12"/>
  <c r="C7" i="8"/>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70" i="1"/>
  <c r="J19" i="1"/>
  <c r="J13" i="1"/>
  <c r="J79" i="1"/>
  <c r="J54" i="1"/>
  <c r="J64" i="1"/>
  <c r="J15" i="1"/>
  <c r="J18" i="1"/>
  <c r="J43" i="1"/>
  <c r="J77" i="1"/>
  <c r="J76" i="1"/>
  <c r="J57" i="1"/>
  <c r="J55" i="1"/>
  <c r="J69" i="1"/>
  <c r="J56" i="1"/>
  <c r="J17" i="1"/>
  <c r="J63" i="1"/>
  <c r="J42" i="1"/>
  <c r="J39" i="1"/>
  <c r="J14" i="1"/>
  <c r="J74" i="1"/>
  <c r="J67" i="1"/>
  <c r="J66" i="1"/>
  <c r="J47" i="1"/>
  <c r="J80" i="1"/>
  <c r="J48" i="1"/>
  <c r="J65" i="1"/>
  <c r="J35" i="1"/>
  <c r="J52" i="1"/>
  <c r="J36" i="1"/>
  <c r="J20" i="1"/>
  <c r="J49" i="1"/>
  <c r="J81" i="1"/>
  <c r="J61" i="1"/>
  <c r="J16" i="1"/>
  <c r="J58" i="1"/>
  <c r="J72" i="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B5" i="9"/>
  <c r="C5" i="9" s="1"/>
  <c r="Y28" i="9" a="1"/>
  <c r="Y28" i="9" s="1"/>
  <c r="J87" i="9"/>
  <c r="Y8" i="9" s="1" a="1"/>
  <c r="Y8" i="9" s="1"/>
  <c r="J51" i="9" a="1"/>
  <c r="J51" i="9" s="1"/>
  <c r="I57" i="9" a="1"/>
  <c r="I57" i="9" s="1"/>
  <c r="B14" i="9"/>
  <c r="C14" i="9" s="1"/>
  <c r="F98" i="9"/>
  <c r="U19" i="9" s="1" a="1"/>
  <c r="U19" i="9" s="1"/>
  <c r="I92" i="9"/>
  <c r="X13" i="9" s="1" a="1"/>
  <c r="X13" i="9" s="1"/>
  <c r="O50" i="9"/>
  <c r="J63" i="9" a="1"/>
  <c r="J63" i="9" s="1"/>
  <c r="Y26" i="9" a="1"/>
  <c r="Y26" i="9" s="1"/>
  <c r="B3" i="9"/>
  <c r="O60" i="9"/>
  <c r="I103" i="9"/>
  <c r="X24" i="9" s="1" a="1"/>
  <c r="X24" i="9" s="1"/>
  <c r="E98" i="9"/>
  <c r="T19" i="9" s="1" a="1"/>
  <c r="T19" i="9" s="1"/>
  <c r="I56" i="9" a="1"/>
  <c r="I56" i="9" s="1"/>
  <c r="H53" i="9" a="1"/>
  <c r="H53" i="9" s="1"/>
  <c r="Z18" i="9" a="1"/>
  <c r="Z18" i="9" s="1"/>
  <c r="T28" i="9" a="1"/>
  <c r="T28" i="9" s="1"/>
  <c r="G62" i="9" a="1"/>
  <c r="G62" i="9" s="1"/>
  <c r="O71" i="9"/>
  <c r="H52" i="9" a="1"/>
  <c r="H52" i="9" s="1"/>
  <c r="E95" i="9"/>
  <c r="T16" i="9" s="1" a="1"/>
  <c r="T16" i="9" s="1"/>
  <c r="O62" i="9"/>
  <c r="E96" i="9"/>
  <c r="T17" i="9" s="1" a="1"/>
  <c r="T17" i="9" s="1"/>
  <c r="G96" i="9"/>
  <c r="V17" i="9" s="1" a="1"/>
  <c r="V17" i="9" s="1"/>
  <c r="J100" i="9"/>
  <c r="Y21" i="9" s="1" a="1"/>
  <c r="Y21" i="9" s="1"/>
  <c r="O52" i="9"/>
  <c r="H62" i="9" a="1"/>
  <c r="H62" i="9" s="1"/>
  <c r="E99" i="9"/>
  <c r="T20" i="9" s="1" a="1"/>
  <c r="T20" i="9" s="1"/>
  <c r="J68" i="9" a="1"/>
  <c r="J68"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AA29" i="9" a="1"/>
  <c r="AA29" i="9" s="1"/>
  <c r="G55" i="2"/>
  <c r="H169" i="1" s="1"/>
  <c r="G50" i="2"/>
  <c r="H217" i="1" s="1"/>
  <c r="H156" i="1"/>
  <c r="H64" i="2"/>
  <c r="I64" i="2" s="1"/>
  <c r="D64" i="2" s="1"/>
  <c r="J101" i="9"/>
  <c r="Y22" i="9" s="1" a="1"/>
  <c r="Y22" i="9" s="1"/>
  <c r="H63" i="9" a="1"/>
  <c r="H63" i="9" s="1"/>
  <c r="I63" i="9" a="1"/>
  <c r="I63" i="9" s="1"/>
  <c r="L101" i="9"/>
  <c r="J102" i="9"/>
  <c r="Y23" i="9" s="1" a="1"/>
  <c r="Y23" i="9" s="1"/>
  <c r="I71" i="9" a="1"/>
  <c r="I71" i="9" s="1"/>
  <c r="X27" i="9" a="1"/>
  <c r="X27" i="9" s="1"/>
  <c r="O67" i="9"/>
  <c r="L100" i="9"/>
  <c r="O54" i="9"/>
  <c r="Z10" i="9" a="1"/>
  <c r="Z10" i="9" s="1"/>
  <c r="I94" i="9"/>
  <c r="X15" i="9" s="1" a="1"/>
  <c r="X15" i="9" s="1"/>
  <c r="O53" i="9"/>
  <c r="O59" i="9"/>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J64" i="9" a="1"/>
  <c r="J64" i="9" s="1"/>
  <c r="J53" i="9" a="1"/>
  <c r="J53" i="9" s="1"/>
  <c r="Z15" i="9" a="1"/>
  <c r="Z15"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F95" i="9"/>
  <c r="U16" i="9" s="1" a="1"/>
  <c r="U16" i="9" s="1"/>
  <c r="J72" i="9" a="1"/>
  <c r="J72" i="9" s="1"/>
  <c r="J103" i="9"/>
  <c r="Y24" i="9" s="1" a="1"/>
  <c r="Y24" i="9" s="1"/>
  <c r="F101" i="9"/>
  <c r="U22" i="9" s="1" a="1"/>
  <c r="U22" i="9" s="1"/>
  <c r="B6" i="9"/>
  <c r="E6" i="9" s="1"/>
  <c r="I89" i="9"/>
  <c r="X10" i="9" s="1" a="1"/>
  <c r="X10" i="9" s="1"/>
  <c r="I102" i="9"/>
  <c r="X23" i="9" s="1" a="1"/>
  <c r="X23" i="9" s="1"/>
  <c r="H103" i="9"/>
  <c r="O58" i="9"/>
  <c r="C102" i="9"/>
  <c r="R23" i="9" s="1" a="1"/>
  <c r="R23" i="9" s="1"/>
  <c r="F100" i="9"/>
  <c r="U21" i="9" s="1" a="1"/>
  <c r="U21" i="9" s="1"/>
  <c r="I90" i="9"/>
  <c r="X11" i="9" s="1" a="1"/>
  <c r="X11" i="9" s="1"/>
  <c r="Z22" i="9" a="1"/>
  <c r="Z22" i="9" s="1"/>
  <c r="B13" i="9"/>
  <c r="C13" i="9" s="1"/>
  <c r="J90" i="9"/>
  <c r="Y11" i="9" s="1" a="1"/>
  <c r="Y11"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C101" i="9"/>
  <c r="R22" i="9" s="1" a="1"/>
  <c r="R22" i="9" s="1"/>
  <c r="I85" i="9"/>
  <c r="X6" i="9" s="1" a="1"/>
  <c r="X6" i="9" s="1"/>
  <c r="I59" i="9" a="1"/>
  <c r="I59" i="9" s="1"/>
  <c r="I69" i="9" a="1"/>
  <c r="I69" i="9" s="1"/>
  <c r="E102" i="9"/>
  <c r="T23" i="9" s="1" a="1"/>
  <c r="T23" i="9" s="1"/>
  <c r="H98" i="9"/>
  <c r="W19" i="9" s="1" a="1"/>
  <c r="W1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72" i="9" a="1"/>
  <c r="H72" i="9" s="1"/>
  <c r="B8" i="9"/>
  <c r="C8" i="9" s="1"/>
  <c r="Z8" i="9" a="1"/>
  <c r="Z8" i="9" s="1"/>
  <c r="G66" i="9" a="1"/>
  <c r="G66" i="9" s="1"/>
  <c r="H70" i="9" a="1"/>
  <c r="H70" i="9" s="1"/>
  <c r="I60" i="9" a="1"/>
  <c r="I60" i="9" s="1"/>
  <c r="G97" i="9"/>
  <c r="V18" i="9" s="1" a="1"/>
  <c r="V18" i="9" s="1"/>
  <c r="F96" i="9"/>
  <c r="U17" i="9" s="1" a="1"/>
  <c r="U17" i="9" s="1"/>
  <c r="G71" i="9" a="1"/>
  <c r="G71" i="9" s="1"/>
  <c r="J61" i="9" a="1"/>
  <c r="J61" i="9" s="1"/>
  <c r="I50" i="9" a="1"/>
  <c r="I50" i="9" s="1"/>
  <c r="G99" i="9"/>
  <c r="V20" i="9" s="1" a="1"/>
  <c r="V20" i="9" s="1"/>
  <c r="Z9" i="9" a="1"/>
  <c r="Z9" i="9" s="1"/>
  <c r="G95" i="9"/>
  <c r="I70" i="9" a="1"/>
  <c r="I70" i="9" s="1"/>
  <c r="O73" i="9"/>
  <c r="I101" i="9"/>
  <c r="X22" i="9" s="1" a="1"/>
  <c r="X22" i="9" s="1"/>
  <c r="O51" i="9"/>
  <c r="I72" i="9" a="1"/>
  <c r="I72" i="9" s="1"/>
  <c r="F97" i="9"/>
  <c r="U18" i="9" s="1" a="1"/>
  <c r="U18" i="9" s="1"/>
  <c r="G61" i="9" a="1"/>
  <c r="G61" i="9" s="1"/>
  <c r="I97" i="9"/>
  <c r="X18" i="9" s="1" a="1"/>
  <c r="X18" i="9" s="1"/>
  <c r="B15" i="9"/>
  <c r="E15" i="9" s="1"/>
  <c r="H61" i="9" a="1"/>
  <c r="H61" i="9" s="1"/>
  <c r="O56" i="9"/>
  <c r="Z17" i="9" a="1"/>
  <c r="Z17" i="9" s="1"/>
  <c r="B4" i="9"/>
  <c r="E4" i="9" s="1"/>
  <c r="G64" i="9" a="1"/>
  <c r="G64" i="9" s="1"/>
  <c r="C99" i="9"/>
  <c r="R20" i="9" s="1" a="1"/>
  <c r="R20" i="9" s="1"/>
  <c r="B7" i="9"/>
  <c r="C7" i="9" s="1"/>
  <c r="J99" i="9"/>
  <c r="Y20" i="9" s="1" a="1"/>
  <c r="Y20" i="9" s="1"/>
  <c r="Y27" i="9" a="1"/>
  <c r="Y27" i="9" s="1"/>
  <c r="O61" i="9"/>
  <c r="J58" i="9" a="1"/>
  <c r="J58" i="9" s="1"/>
  <c r="Z26" i="9" a="1"/>
  <c r="Z26" i="9" s="1"/>
  <c r="Z29" i="9" a="1"/>
  <c r="Z29" i="9" s="1"/>
  <c r="B18" i="9"/>
  <c r="E18" i="9" s="1"/>
  <c r="C100" i="9"/>
  <c r="R21" i="9" s="1" a="1"/>
  <c r="R21" i="9" s="1"/>
  <c r="I61" i="9" a="1"/>
  <c r="I61" i="9" s="1"/>
  <c r="J92" i="9"/>
  <c r="Y13" i="9" s="1" a="1"/>
  <c r="Y13" i="9" s="1"/>
  <c r="I65" i="9" a="1"/>
  <c r="I65" i="9" s="1"/>
  <c r="D101" i="9"/>
  <c r="S22" i="9" s="1" a="1"/>
  <c r="S22" i="9" s="1"/>
  <c r="X26" i="9" a="1"/>
  <c r="X26" i="9" s="1"/>
  <c r="J54" i="9" a="1"/>
  <c r="J54" i="9" s="1"/>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S27" i="9" a="1"/>
  <c r="S27" i="9" s="1"/>
  <c r="C104" i="9"/>
  <c r="R25" i="9" s="1" a="1"/>
  <c r="R25" i="9" s="1"/>
  <c r="B17" i="9"/>
  <c r="E17" i="9" s="1"/>
  <c r="Z16" i="9" a="1"/>
  <c r="Z16" i="9" s="1"/>
  <c r="J98" i="9"/>
  <c r="Y19" i="9" s="1" a="1"/>
  <c r="Y19" i="9" s="1"/>
  <c r="J85" i="9"/>
  <c r="Y6" i="9" s="1" a="1"/>
  <c r="Y6" i="9" s="1"/>
  <c r="H101" i="9"/>
  <c r="W22" i="9" s="1" a="1"/>
  <c r="W22" i="9" s="1"/>
  <c r="G65" i="9" a="1"/>
  <c r="G65" i="9" s="1"/>
  <c r="Z19" i="9" a="1"/>
  <c r="Z19" i="9" s="1"/>
  <c r="J62" i="9" a="1"/>
  <c r="J62" i="9" s="1"/>
  <c r="I87" i="9"/>
  <c r="X8" i="9" s="1" a="1"/>
  <c r="X8" i="9" s="1"/>
  <c r="C95" i="9"/>
  <c r="R16" i="9" s="1" a="1"/>
  <c r="R16" i="9" s="1"/>
  <c r="J71" i="9" a="1"/>
  <c r="J71" i="9" s="1"/>
  <c r="H95" i="9"/>
  <c r="G101" i="9"/>
  <c r="V22" i="9" s="1" a="1"/>
  <c r="V22" i="9" s="1"/>
  <c r="I98" i="9"/>
  <c r="X19" i="9" s="1" a="1"/>
  <c r="X19" i="9" s="1"/>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Z28" i="9" a="1"/>
  <c r="Z28" i="9" s="1"/>
  <c r="G73" i="9" a="1"/>
  <c r="G73" i="9" s="1"/>
  <c r="D97" i="9"/>
  <c r="S18" i="9" s="1" a="1"/>
  <c r="S18" i="9" s="1"/>
  <c r="D96" i="9"/>
  <c r="S17" i="9" s="1" a="1"/>
  <c r="S17"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G100" i="9"/>
  <c r="V21" i="9" s="1" a="1"/>
  <c r="V21" i="9" s="1"/>
  <c r="H96" i="9"/>
  <c r="W17" i="9" s="1" a="1"/>
  <c r="W17" i="9" s="1"/>
  <c r="O70" i="9"/>
  <c r="H64" i="9" a="1"/>
  <c r="H64" i="9" s="1"/>
  <c r="D99" i="9"/>
  <c r="S20" i="9" s="1" a="1"/>
  <c r="S20" i="9" s="1"/>
  <c r="J69" i="9" a="1"/>
  <c r="J69" i="9" s="1"/>
  <c r="Z23" i="9" a="1"/>
  <c r="Z23" i="9" s="1"/>
  <c r="X29" i="9" a="1"/>
  <c r="X29" i="9" s="1"/>
  <c r="R29" i="9" a="1"/>
  <c r="R29" i="9" s="1"/>
  <c r="J65" i="9" a="1"/>
  <c r="J65" i="9" s="1"/>
  <c r="H99" i="9"/>
  <c r="W20" i="9" s="1" a="1"/>
  <c r="W20" i="9" s="1"/>
  <c r="U26" i="9" a="1"/>
  <c r="U26" i="9" s="1"/>
  <c r="I54" i="9" a="1"/>
  <c r="I54" i="9" s="1"/>
  <c r="G57" i="9" a="1"/>
  <c r="G57" i="9" s="1"/>
  <c r="J73" i="9" a="1"/>
  <c r="J73" i="9" s="1"/>
  <c r="T25" i="9" a="1"/>
  <c r="T25" i="9" s="1"/>
  <c r="I93" i="9"/>
  <c r="X14" i="9" s="1" a="1"/>
  <c r="X14" i="9" s="1"/>
  <c r="G50" i="9" a="1"/>
  <c r="G50" i="9" s="1"/>
  <c r="G103" i="9"/>
  <c r="I73" i="9" a="1"/>
  <c r="I73" i="9" s="1"/>
  <c r="H55" i="9" a="1"/>
  <c r="H55" i="9" s="1"/>
  <c r="B10" i="9"/>
  <c r="E10" i="9" s="1"/>
  <c r="I62" i="9" a="1"/>
  <c r="I62" i="9" s="1"/>
  <c r="I91" i="9"/>
  <c r="X12" i="9" s="1" a="1"/>
  <c r="X12" i="9" s="1"/>
  <c r="T27" i="9" a="1"/>
  <c r="T27" i="9" s="1"/>
  <c r="I96" i="9"/>
  <c r="X17" i="9" s="1" a="1"/>
  <c r="X17" i="9" s="1"/>
  <c r="C103" i="9"/>
  <c r="R24" i="9" s="1" a="1"/>
  <c r="R24" i="9" s="1"/>
  <c r="V29" i="9" a="1"/>
  <c r="V29" i="9" s="1"/>
  <c r="O68" i="9"/>
  <c r="D98" i="9"/>
  <c r="S19" i="9" s="1" a="1"/>
  <c r="S19" i="9" s="1"/>
  <c r="C98" i="9"/>
  <c r="R19" i="9" s="1" a="1"/>
  <c r="R19" i="9" s="1"/>
  <c r="E101" i="9"/>
  <c r="T22" i="9" s="1" a="1"/>
  <c r="T22" i="9" s="1"/>
  <c r="I55" i="9" a="1"/>
  <c r="I55" i="9" s="1"/>
  <c r="S25" i="9" a="1"/>
  <c r="S25" i="9" s="1"/>
  <c r="G102" i="9"/>
  <c r="C96" i="9"/>
  <c r="R17" i="9" s="1" a="1"/>
  <c r="R17" i="9" s="1"/>
  <c r="B12" i="9"/>
  <c r="E12" i="9" s="1"/>
  <c r="D95" i="9"/>
  <c r="S16" i="9" s="1" a="1"/>
  <c r="S16" i="9" s="1"/>
  <c r="G63" i="9" a="1"/>
  <c r="G63" i="9" s="1"/>
  <c r="I64" i="9" a="1"/>
  <c r="I64" i="9" s="1"/>
  <c r="O65" i="9"/>
  <c r="I99" i="9"/>
  <c r="X20" i="9" s="1" a="1"/>
  <c r="X20" i="9" s="1"/>
  <c r="J59" i="9" a="1"/>
  <c r="J59" i="9" s="1"/>
  <c r="B9" i="9"/>
  <c r="C9" i="9" s="1"/>
  <c r="R26" i="9" a="1"/>
  <c r="R26" i="9" s="1"/>
  <c r="F102" i="9"/>
  <c r="U23" i="9" s="1" a="1"/>
  <c r="U23" i="9" s="1"/>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H19" i="15" l="1"/>
  <c r="H12" i="15"/>
  <c r="H15" i="15"/>
  <c r="H14" i="15"/>
  <c r="C6" i="8"/>
  <c r="F20" i="15"/>
  <c r="C16" i="10"/>
  <c r="C508" i="17"/>
  <c r="K4" i="17" s="1"/>
  <c r="C33" i="12"/>
  <c r="C43" i="12" s="1"/>
  <c r="M50" i="9" a="1"/>
  <c r="M50" i="9" s="1"/>
  <c r="M59" i="9" a="1"/>
  <c r="M59" i="9" s="1"/>
  <c r="M68" i="9" a="1"/>
  <c r="M68" i="9" s="1"/>
  <c r="AB12" i="9" a="1"/>
  <c r="AB12" i="9" s="1"/>
  <c r="AB20" i="9" a="1"/>
  <c r="AB20" i="9" s="1"/>
  <c r="AC20" i="9" s="1"/>
  <c r="AB28" i="9" a="1"/>
  <c r="AB28" i="9" s="1"/>
  <c r="AC28" i="9" s="1"/>
  <c r="AB22" i="9" a="1"/>
  <c r="AB22" i="9" s="1"/>
  <c r="AB29" i="9" a="1"/>
  <c r="AB29" i="9" s="1"/>
  <c r="M61" i="9" a="1"/>
  <c r="M61" i="9" s="1"/>
  <c r="M70" i="9" a="1"/>
  <c r="M70" i="9" s="1"/>
  <c r="AB6" i="9" a="1"/>
  <c r="AB6" i="9" s="1"/>
  <c r="M51" i="9" a="1"/>
  <c r="M51" i="9" s="1"/>
  <c r="M60" i="9" a="1"/>
  <c r="M60" i="9" s="1"/>
  <c r="M69" i="9" a="1"/>
  <c r="M69" i="9" s="1"/>
  <c r="AB13" i="9" a="1"/>
  <c r="AB13" i="9" s="1"/>
  <c r="AB21" i="9" a="1"/>
  <c r="AB21" i="9" s="1"/>
  <c r="AB10" i="9" a="1"/>
  <c r="AB10" i="9" s="1"/>
  <c r="M52" i="9" a="1"/>
  <c r="M52" i="9" s="1"/>
  <c r="M53" i="9" a="1"/>
  <c r="M53" i="9" s="1"/>
  <c r="M54" i="9" a="1"/>
  <c r="M54" i="9" s="1"/>
  <c r="M62" i="9" a="1"/>
  <c r="M62" i="9" s="1"/>
  <c r="M55" i="9" a="1"/>
  <c r="M55" i="9" s="1"/>
  <c r="M63" i="9" a="1"/>
  <c r="M63" i="9" s="1"/>
  <c r="AB8" i="9" a="1"/>
  <c r="AB8" i="9" s="1"/>
  <c r="AB24" i="9" a="1"/>
  <c r="AB24" i="9" s="1"/>
  <c r="M66" i="9" a="1"/>
  <c r="M66" i="9" s="1"/>
  <c r="M64" i="9" a="1"/>
  <c r="M64" i="9" s="1"/>
  <c r="M73" i="9" a="1"/>
  <c r="M73" i="9" s="1"/>
  <c r="AB9" i="9" a="1"/>
  <c r="AB9" i="9" s="1"/>
  <c r="AB16" i="9" a="1"/>
  <c r="AB16" i="9" s="1"/>
  <c r="AB25" i="9" a="1"/>
  <c r="AB25" i="9" s="1"/>
  <c r="M65" i="9" a="1"/>
  <c r="M65" i="9" s="1"/>
  <c r="AB17" i="9" a="1"/>
  <c r="AB17" i="9" s="1"/>
  <c r="AB26" i="9" a="1"/>
  <c r="AB26" i="9" s="1"/>
  <c r="M56" i="9" a="1"/>
  <c r="M56" i="9" s="1"/>
  <c r="M57" i="9" a="1"/>
  <c r="M57" i="9" s="1"/>
  <c r="N57" i="9" s="1"/>
  <c r="P57" i="9" s="1"/>
  <c r="AB18" i="9" a="1"/>
  <c r="AB18" i="9" s="1"/>
  <c r="AB27" i="9" a="1"/>
  <c r="AB27" i="9" s="1"/>
  <c r="M67" i="9" a="1"/>
  <c r="M67" i="9" s="1"/>
  <c r="AB11" i="9" a="1"/>
  <c r="AB11" i="9" s="1"/>
  <c r="AB19" i="9" a="1"/>
  <c r="AB19" i="9" s="1"/>
  <c r="AB14" i="9" a="1"/>
  <c r="AB14" i="9" s="1"/>
  <c r="AB30" i="9" a="1"/>
  <c r="AB30" i="9" s="1"/>
  <c r="M71" i="9" a="1"/>
  <c r="M71" i="9" s="1"/>
  <c r="AB23" i="9" a="1"/>
  <c r="AB23" i="9" s="1"/>
  <c r="M72" i="9" a="1"/>
  <c r="M72" i="9" s="1"/>
  <c r="AB7" i="9" a="1"/>
  <c r="AB7" i="9" s="1"/>
  <c r="AB15" i="9" a="1"/>
  <c r="AB15" i="9" s="1"/>
  <c r="M58" i="9" a="1"/>
  <c r="M58" i="9" s="1"/>
  <c r="M74" i="9" a="1"/>
  <c r="M74" i="9" s="1"/>
  <c r="H215" i="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C6" i="9"/>
  <c r="A8" i="21"/>
  <c r="AD30" i="9"/>
  <c r="B27" i="20" s="1"/>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C4" i="8" s="1"/>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AC29" i="9" s="1"/>
  <c r="E9" i="9"/>
  <c r="C18" i="9"/>
  <c r="A16" i="20"/>
  <c r="A7" i="21"/>
  <c r="A9" i="20"/>
  <c r="A24" i="20"/>
  <c r="AD25" i="9"/>
  <c r="A15" i="21"/>
  <c r="AD22" i="9"/>
  <c r="A27" i="20"/>
  <c r="A22" i="20"/>
  <c r="A6" i="21"/>
  <c r="K74" i="9" a="1"/>
  <c r="K74" i="9" s="1"/>
  <c r="A4" i="20"/>
  <c r="A19" i="20"/>
  <c r="A14" i="20"/>
  <c r="A5" i="20"/>
  <c r="A13" i="20"/>
  <c r="G72" i="9" a="1"/>
  <c r="G72" i="9" s="1"/>
  <c r="A17" i="20"/>
  <c r="A18" i="20"/>
  <c r="A18" i="21"/>
  <c r="B18" i="21" s="1"/>
  <c r="AD29" i="9"/>
  <c r="A15" i="20"/>
  <c r="A17" i="21"/>
  <c r="A7" i="20"/>
  <c r="A16" i="21"/>
  <c r="A21" i="21"/>
  <c r="B21" i="21" s="1"/>
  <c r="AD23" i="9"/>
  <c r="AD21" i="9"/>
  <c r="AD26" i="9"/>
  <c r="A12" i="20"/>
  <c r="A25" i="20"/>
  <c r="A23" i="20"/>
  <c r="A22" i="21"/>
  <c r="B22" i="21" s="1"/>
  <c r="A4" i="21"/>
  <c r="A26" i="20"/>
  <c r="A3" i="20"/>
  <c r="A5" i="21"/>
  <c r="A9" i="21"/>
  <c r="A13" i="21"/>
  <c r="A10" i="20"/>
  <c r="A3" i="21"/>
  <c r="A21" i="20"/>
  <c r="A12" i="21"/>
  <c r="A11" i="21"/>
  <c r="A8" i="20"/>
  <c r="A20" i="20"/>
  <c r="A20" i="21"/>
  <c r="B20" i="21" s="1"/>
  <c r="A19" i="21"/>
  <c r="B19" i="21" s="1"/>
  <c r="A10" i="21"/>
  <c r="AD27" i="9"/>
  <c r="A6" i="20"/>
  <c r="L74" i="9" a="1"/>
  <c r="L74" i="9" s="1"/>
  <c r="K67" i="9" a="1"/>
  <c r="K67" i="9" s="1"/>
  <c r="Z30" i="9" a="1"/>
  <c r="Z30" i="9" s="1"/>
  <c r="C10" i="9"/>
  <c r="G55" i="9" a="1"/>
  <c r="G55" i="9" s="1"/>
  <c r="A14" i="21"/>
  <c r="Q5" i="9"/>
  <c r="D14" i="19" s="1" a="1"/>
  <c r="D14" i="19" s="1"/>
  <c r="B49" i="9"/>
  <c r="K64" i="9" a="1"/>
  <c r="K64" i="9" s="1"/>
  <c r="K97" i="9"/>
  <c r="E3" i="9"/>
  <c r="C4" i="9"/>
  <c r="K102" i="9"/>
  <c r="M102" i="9" s="1"/>
  <c r="K103" i="9"/>
  <c r="M103" i="9" s="1"/>
  <c r="V16" i="9" a="1"/>
  <c r="V16" i="9" s="1"/>
  <c r="H60" i="9" a="1"/>
  <c r="H60" i="9" s="1"/>
  <c r="N76" i="9"/>
  <c r="P76" i="9" s="1"/>
  <c r="L58" i="9" a="1"/>
  <c r="L58" i="9" s="1"/>
  <c r="L55" i="9" a="1"/>
  <c r="L55" i="9" s="1"/>
  <c r="E13" i="9"/>
  <c r="C17" i="9"/>
  <c r="AC31" i="9"/>
  <c r="AE31" i="9" s="1"/>
  <c r="C28" i="20" s="1"/>
  <c r="H71" i="9" a="1"/>
  <c r="H71" i="9" s="1"/>
  <c r="E7" i="9" a="1"/>
  <c r="E7" i="9" s="1"/>
  <c r="K98" i="9"/>
  <c r="AC17" i="9"/>
  <c r="C12" i="9"/>
  <c r="C15" i="9"/>
  <c r="H50" i="9" a="1"/>
  <c r="H50" i="9" s="1"/>
  <c r="AA25" i="9" a="1"/>
  <c r="AA25" i="9" s="1"/>
  <c r="G54" i="9" a="1"/>
  <c r="G54" i="9" s="1"/>
  <c r="AD24" i="9"/>
  <c r="AC33" i="9"/>
  <c r="AE33" i="9" s="1"/>
  <c r="E8" i="9"/>
  <c r="L73" i="9" a="1"/>
  <c r="L73" i="9" s="1"/>
  <c r="N53" i="9"/>
  <c r="P53" i="9" s="1"/>
  <c r="G70" i="9" a="1"/>
  <c r="G70" i="9" s="1"/>
  <c r="V26" i="9" a="1"/>
  <c r="V26" i="9" s="1"/>
  <c r="G59" i="9" a="1"/>
  <c r="G59" i="9" s="1"/>
  <c r="V24" i="9" a="1"/>
  <c r="V24" i="9" s="1"/>
  <c r="G68" i="9" a="1"/>
  <c r="G68" i="9" s="1"/>
  <c r="H51" i="9" a="1"/>
  <c r="H51" i="9" s="1"/>
  <c r="AC35" i="9"/>
  <c r="AE35" i="9" s="1"/>
  <c r="G51" i="9" a="1"/>
  <c r="G51" i="9" s="1"/>
  <c r="K68" i="9" a="1"/>
  <c r="K68" i="9" s="1"/>
  <c r="Z24" i="9" a="1"/>
  <c r="Z24" i="9" s="1"/>
  <c r="C16" i="9"/>
  <c r="K73" i="9" a="1"/>
  <c r="K73" i="9" s="1"/>
  <c r="L63" i="9" a="1"/>
  <c r="L63" i="9" s="1"/>
  <c r="W27" i="9" a="1"/>
  <c r="W27" i="9" s="1"/>
  <c r="K72" i="9" a="1"/>
  <c r="K72" i="9" s="1"/>
  <c r="L52" i="9" a="1"/>
  <c r="L52" i="9" s="1"/>
  <c r="L71" i="9" a="1"/>
  <c r="L71" i="9" s="1"/>
  <c r="L62" i="9" a="1"/>
  <c r="L62" i="9" s="1"/>
  <c r="K71" i="9" a="1"/>
  <c r="K71" i="9" s="1"/>
  <c r="K61" i="9" a="1"/>
  <c r="K61" i="9" s="1"/>
  <c r="N61" i="9" s="1"/>
  <c r="P61" i="9" s="1"/>
  <c r="L51" i="9" a="1"/>
  <c r="L51" i="9" s="1"/>
  <c r="K101" i="9"/>
  <c r="M101" i="9" s="1"/>
  <c r="K60" i="9" a="1"/>
  <c r="K60" i="9" s="1"/>
  <c r="K51" i="9" a="1"/>
  <c r="K51" i="9" s="1"/>
  <c r="K99" i="9"/>
  <c r="H68" i="9" a="1"/>
  <c r="H68" i="9" s="1"/>
  <c r="AC34" i="9"/>
  <c r="AE34" i="9" s="1"/>
  <c r="G67" i="9" a="1"/>
  <c r="G67" i="9" s="1"/>
  <c r="N78" i="9"/>
  <c r="P78" i="9" s="1"/>
  <c r="G69" i="9" a="1"/>
  <c r="G69" i="9" s="1"/>
  <c r="G56" i="9" a="1"/>
  <c r="G56" i="9" s="1"/>
  <c r="W21" i="9" a="1"/>
  <c r="W21" i="9" s="1"/>
  <c r="AC32" i="9"/>
  <c r="AE32" i="9" s="1"/>
  <c r="L50" i="9" a="1"/>
  <c r="L50" i="9" s="1"/>
  <c r="K59" i="9" a="1"/>
  <c r="K59" i="9" s="1"/>
  <c r="K50" i="9" a="1"/>
  <c r="K50" i="9" s="1"/>
  <c r="AC22" i="9"/>
  <c r="L66" i="9" a="1"/>
  <c r="L66" i="9" s="1"/>
  <c r="K56" i="9" a="1"/>
  <c r="K56" i="9" s="1"/>
  <c r="K100" i="9"/>
  <c r="M100" i="9" s="1"/>
  <c r="W16" i="9" a="1"/>
  <c r="W16" i="9" s="1"/>
  <c r="C11" i="9"/>
  <c r="L65" i="9" a="1"/>
  <c r="L65" i="9" s="1"/>
  <c r="AC19" i="9"/>
  <c r="V25" i="9" a="1"/>
  <c r="V25" i="9" s="1"/>
  <c r="N79" i="9"/>
  <c r="K247" i="1"/>
  <c r="G60" i="9" a="1"/>
  <c r="G60" i="9" s="1"/>
  <c r="N75" i="9"/>
  <c r="P75" i="9" s="1"/>
  <c r="K96" i="9"/>
  <c r="H65" i="9" a="1"/>
  <c r="H65" i="9" s="1"/>
  <c r="V23" i="9" a="1"/>
  <c r="V23" i="9" s="1"/>
  <c r="K95" i="9"/>
  <c r="N77" i="9"/>
  <c r="P77" i="9" s="1"/>
  <c r="W24" i="9" a="1"/>
  <c r="W24" i="9" s="1"/>
  <c r="L69" i="9" a="1"/>
  <c r="L69" i="9" s="1"/>
  <c r="G75" i="6"/>
  <c r="I37" i="12"/>
  <c r="D37" i="14"/>
  <c r="C10" i="8" s="1"/>
  <c r="G20" i="15"/>
  <c r="D38" i="18"/>
  <c r="C11" i="8" s="1"/>
  <c r="H75" i="6"/>
  <c r="E38" i="18"/>
  <c r="J37" i="14"/>
  <c r="C12" i="8" s="1"/>
  <c r="H21" i="7"/>
  <c r="I75" i="6"/>
  <c r="D2" i="2"/>
  <c r="H20" i="15" l="1"/>
  <c r="N64" i="9"/>
  <c r="P64" i="9" s="1"/>
  <c r="N58" i="9"/>
  <c r="P58" i="9" s="1"/>
  <c r="N52" i="9"/>
  <c r="P52" i="9" s="1"/>
  <c r="B26" i="20"/>
  <c r="B18" i="20"/>
  <c r="B21" i="20"/>
  <c r="B25" i="20"/>
  <c r="B22" i="20"/>
  <c r="B23" i="20"/>
  <c r="B19" i="20"/>
  <c r="B20" i="20"/>
  <c r="B24" i="20"/>
  <c r="AC18" i="9"/>
  <c r="AC21" i="9"/>
  <c r="AE21" i="9" s="1"/>
  <c r="C18" i="20" s="1"/>
  <c r="AC26" i="9"/>
  <c r="AE26" i="9" s="1"/>
  <c r="C23" i="20" s="1"/>
  <c r="N63" i="9"/>
  <c r="P63" i="9" s="1"/>
  <c r="AE28" i="9"/>
  <c r="C25" i="20" s="1"/>
  <c r="K49" i="9" a="1"/>
  <c r="K49" i="9" s="1"/>
  <c r="M49" i="9" a="1"/>
  <c r="M49" i="9" s="1"/>
  <c r="AB5" i="9" a="1"/>
  <c r="AB5" i="9" s="1"/>
  <c r="H225" i="1"/>
  <c r="H124" i="1"/>
  <c r="H148" i="1"/>
  <c r="H193" i="1"/>
  <c r="H241" i="1"/>
  <c r="H228" i="1"/>
  <c r="H92" i="1"/>
  <c r="H115" i="1"/>
  <c r="H114" i="1"/>
  <c r="H188" i="1"/>
  <c r="H184" i="1"/>
  <c r="H159" i="1"/>
  <c r="H101" i="1"/>
  <c r="H87" i="1"/>
  <c r="H86" i="1"/>
  <c r="AC27" i="9"/>
  <c r="AE27" i="9" s="1"/>
  <c r="C24" i="20" s="1"/>
  <c r="AE29" i="9"/>
  <c r="C26" i="20" s="1"/>
  <c r="AE22" i="9"/>
  <c r="C19" i="20" s="1"/>
  <c r="H205" i="1"/>
  <c r="H206" i="1"/>
  <c r="H143" i="1"/>
  <c r="H160" i="1"/>
  <c r="H172" i="1"/>
  <c r="H165" i="1"/>
  <c r="C49" i="9" a="1"/>
  <c r="C49" i="9" s="1"/>
  <c r="N72" i="9"/>
  <c r="P72" i="9" s="1"/>
  <c r="AC16" i="9"/>
  <c r="D12" i="19" a="1"/>
  <c r="D12" i="19" s="1"/>
  <c r="D8" i="19" a="1"/>
  <c r="D8" i="19" s="1"/>
  <c r="E18" i="19" a="1"/>
  <c r="E18" i="19" s="1"/>
  <c r="N74" i="9"/>
  <c r="P74" i="9" s="1"/>
  <c r="O49" i="9"/>
  <c r="D49" i="9" a="1"/>
  <c r="D49" i="9" s="1"/>
  <c r="G49" i="9" a="1"/>
  <c r="G49" i="9" s="1"/>
  <c r="I84" i="9"/>
  <c r="X5" i="9" s="1" a="1"/>
  <c r="X5" i="9" s="1"/>
  <c r="B2" i="9"/>
  <c r="E2" i="9" s="1"/>
  <c r="C14" i="19" a="1"/>
  <c r="C14" i="19" s="1"/>
  <c r="E14" i="19" s="1"/>
  <c r="J84" i="9"/>
  <c r="Y5" i="9" s="1" a="1"/>
  <c r="Y5" i="9" s="1"/>
  <c r="I49" i="9" a="1"/>
  <c r="I49" i="9" s="1"/>
  <c r="C12" i="19" a="1"/>
  <c r="C12" i="19" s="1"/>
  <c r="J49" i="9" a="1"/>
  <c r="J49" i="9" s="1"/>
  <c r="Z5" i="9" a="1"/>
  <c r="Z5" i="9" s="1"/>
  <c r="E49" i="9" a="1"/>
  <c r="E49" i="9" s="1"/>
  <c r="L49" i="9" a="1"/>
  <c r="L49" i="9" s="1"/>
  <c r="F49" i="9" a="1"/>
  <c r="F49" i="9" s="1"/>
  <c r="H49" i="9" a="1"/>
  <c r="H49" i="9" s="1"/>
  <c r="AC30" i="9"/>
  <c r="AE30" i="9" s="1"/>
  <c r="C27" i="20" s="1"/>
  <c r="N68" i="9"/>
  <c r="P68" i="9" s="1"/>
  <c r="AC25" i="9"/>
  <c r="AE25" i="9" s="1"/>
  <c r="C22" i="20" s="1"/>
  <c r="N55" i="9"/>
  <c r="P55" i="9" s="1"/>
  <c r="AA5" i="9" a="1"/>
  <c r="AA5" i="9" s="1"/>
  <c r="N62" i="9"/>
  <c r="P62" i="9" s="1"/>
  <c r="A2" i="21"/>
  <c r="A2" i="20"/>
  <c r="D10" i="19" a="1"/>
  <c r="D10" i="19" s="1"/>
  <c r="N54" i="9"/>
  <c r="P54" i="9" s="1"/>
  <c r="AC23" i="9"/>
  <c r="AE23" i="9" s="1"/>
  <c r="C20" i="20" s="1"/>
  <c r="N71" i="9"/>
  <c r="P71" i="9" s="1"/>
  <c r="N73" i="9"/>
  <c r="P73" i="9" s="1"/>
  <c r="N51" i="9"/>
  <c r="P51" i="9" s="1"/>
  <c r="N50" i="9"/>
  <c r="P50" i="9" s="1"/>
  <c r="AC24" i="9"/>
  <c r="AE24" i="9" s="1"/>
  <c r="C21" i="20" s="1"/>
  <c r="N60" i="9"/>
  <c r="P60" i="9" s="1"/>
  <c r="N66" i="9"/>
  <c r="P66" i="9" s="1"/>
  <c r="N59" i="9"/>
  <c r="P59" i="9" s="1"/>
  <c r="N56" i="9"/>
  <c r="P56" i="9" s="1"/>
  <c r="N67" i="9"/>
  <c r="P67" i="9" s="1"/>
  <c r="N69" i="9"/>
  <c r="P69" i="9" s="1"/>
  <c r="N65" i="9"/>
  <c r="P65" i="9" s="1"/>
  <c r="N70" i="9"/>
  <c r="P70" i="9" s="1"/>
  <c r="F38" i="18"/>
  <c r="C14" i="8"/>
  <c r="C4" i="10" s="1"/>
  <c r="E12" i="19" l="1"/>
  <c r="E16" i="19" s="1"/>
  <c r="E20" i="19" a="1"/>
  <c r="E20" i="19" s="1"/>
  <c r="C2" i="9"/>
  <c r="N49" i="9"/>
  <c r="P49" i="9" s="1"/>
  <c r="C15" i="10"/>
  <c r="C17" i="10" s="1"/>
  <c r="C23" i="9" l="1"/>
  <c r="C3" i="10" s="1"/>
  <c r="C11" i="10" s="1"/>
  <c r="C21" i="9"/>
  <c r="C5" i="10" l="1"/>
  <c r="F21" i="10" s="1"/>
  <c r="C87" i="9"/>
  <c r="R8" i="9" s="1" a="1"/>
  <c r="R8" i="9" s="1"/>
  <c r="D88" i="9"/>
  <c r="S9" i="9" s="1" a="1"/>
  <c r="S9" i="9" s="1"/>
  <c r="D86" i="9"/>
  <c r="S7" i="9" s="1" a="1"/>
  <c r="S7" i="9" s="1"/>
  <c r="D92" i="9"/>
  <c r="S13" i="9" s="1" a="1"/>
  <c r="S13" i="9" s="1"/>
  <c r="C94" i="9"/>
  <c r="R15" i="9" s="1" a="1"/>
  <c r="R15" i="9" s="1"/>
  <c r="C86" i="9"/>
  <c r="R7" i="9" s="1" a="1"/>
  <c r="R7" i="9" s="1"/>
  <c r="D93" i="9"/>
  <c r="S14" i="9" s="1" a="1"/>
  <c r="S14" i="9" s="1"/>
  <c r="C90" i="9"/>
  <c r="R11" i="9" s="1" a="1"/>
  <c r="R11" i="9" s="1"/>
  <c r="C88" i="9"/>
  <c r="R9" i="9" s="1" a="1"/>
  <c r="R9" i="9" s="1"/>
  <c r="C85" i="9"/>
  <c r="R6" i="9" s="1" a="1"/>
  <c r="R6" i="9" s="1"/>
  <c r="D87" i="9"/>
  <c r="S8" i="9" s="1" a="1"/>
  <c r="S8" i="9" s="1"/>
  <c r="D90" i="9"/>
  <c r="S11" i="9" s="1" a="1"/>
  <c r="S11" i="9" s="1"/>
  <c r="C93" i="9"/>
  <c r="R14" i="9" s="1" a="1"/>
  <c r="R14" i="9" s="1"/>
  <c r="D91" i="9"/>
  <c r="S12" i="9" s="1" a="1"/>
  <c r="S12" i="9" s="1"/>
  <c r="D85" i="9"/>
  <c r="S6" i="9" s="1" a="1"/>
  <c r="S6" i="9" s="1"/>
  <c r="D94" i="9"/>
  <c r="S15" i="9" s="1" a="1"/>
  <c r="S15" i="9" s="1"/>
  <c r="C92" i="9"/>
  <c r="R13" i="9" s="1" a="1"/>
  <c r="R13" i="9" s="1"/>
  <c r="C91" i="9"/>
  <c r="R12" i="9" s="1" a="1"/>
  <c r="R12" i="9" s="1"/>
  <c r="J27" i="1" l="1"/>
  <c r="H89" i="9"/>
  <c r="W10" i="9" s="1" a="1"/>
  <c r="W10" i="9" s="1"/>
  <c r="J25" i="1"/>
  <c r="H87" i="9"/>
  <c r="W8" i="9" s="1" a="1"/>
  <c r="W8" i="9" s="1"/>
  <c r="D84" i="9"/>
  <c r="S5" i="9" s="1" a="1"/>
  <c r="S5" i="9" s="1"/>
  <c r="H88" i="9"/>
  <c r="W9" i="9" s="1" a="1"/>
  <c r="W9" i="9" s="1"/>
  <c r="J26" i="1"/>
  <c r="H94" i="9"/>
  <c r="W15" i="9" s="1" a="1"/>
  <c r="W15" i="9" s="1"/>
  <c r="J32" i="1"/>
  <c r="H92" i="9"/>
  <c r="W13" i="9" s="1" a="1"/>
  <c r="W13" i="9" s="1"/>
  <c r="J30" i="1"/>
  <c r="J28" i="1"/>
  <c r="H90" i="9"/>
  <c r="W11" i="9" s="1" a="1"/>
  <c r="W11" i="9" s="1"/>
  <c r="J3" i="1"/>
  <c r="G85" i="9"/>
  <c r="H91" i="9"/>
  <c r="W12" i="9" s="1" a="1"/>
  <c r="W12" i="9" s="1"/>
  <c r="J29" i="1"/>
  <c r="C89" i="9"/>
  <c r="R10" i="9" s="1" a="1"/>
  <c r="R10" i="9" s="1"/>
  <c r="C84" i="9"/>
  <c r="R5" i="9" s="1" a="1"/>
  <c r="R5" i="9" s="1"/>
  <c r="D89" i="9"/>
  <c r="S10" i="9" s="1" a="1"/>
  <c r="S10" i="9" s="1"/>
  <c r="J22" i="1"/>
  <c r="H84" i="9"/>
  <c r="W5" i="9" s="1" a="1"/>
  <c r="W5" i="9" s="1"/>
  <c r="J31" i="1"/>
  <c r="H93" i="9"/>
  <c r="W14" i="9" s="1" a="1"/>
  <c r="W14" i="9" s="1"/>
  <c r="D3" i="17"/>
  <c r="N6" i="17" s="1"/>
  <c r="I9" i="1" l="1"/>
  <c r="E91" i="9"/>
  <c r="T12" i="9" s="1" a="1"/>
  <c r="T12" i="9" s="1"/>
  <c r="J5" i="1"/>
  <c r="G87" i="9"/>
  <c r="E86" i="9"/>
  <c r="T7" i="9" s="1" a="1"/>
  <c r="T7" i="9" s="1"/>
  <c r="I4" i="1"/>
  <c r="I2" i="1"/>
  <c r="E84" i="9"/>
  <c r="T5" i="9" s="1" a="1"/>
  <c r="T5" i="9" s="1"/>
  <c r="J7" i="1"/>
  <c r="G89" i="9"/>
  <c r="F87" i="9"/>
  <c r="U8" i="9" s="1" a="1"/>
  <c r="U8" i="9" s="1"/>
  <c r="I25" i="1"/>
  <c r="I27" i="1"/>
  <c r="F89" i="9"/>
  <c r="U10" i="9" s="1" a="1"/>
  <c r="U10" i="9" s="1"/>
  <c r="I7" i="1"/>
  <c r="E89" i="9"/>
  <c r="T10" i="9" s="1" a="1"/>
  <c r="T10" i="9" s="1"/>
  <c r="I31" i="1"/>
  <c r="F93" i="9"/>
  <c r="U14" i="9" s="1" a="1"/>
  <c r="U14" i="9" s="1"/>
  <c r="J10" i="1"/>
  <c r="G92" i="9"/>
  <c r="E92" i="9"/>
  <c r="T13" i="9" s="1" a="1"/>
  <c r="T13" i="9" s="1"/>
  <c r="I10" i="1"/>
  <c r="J4" i="1"/>
  <c r="G86" i="9"/>
  <c r="G94" i="9"/>
  <c r="J12" i="1"/>
  <c r="I22" i="1"/>
  <c r="F84" i="9"/>
  <c r="U5" i="9" s="1" a="1"/>
  <c r="U5" i="9" s="1"/>
  <c r="E88" i="9"/>
  <c r="T9" i="9" s="1" a="1"/>
  <c r="T9" i="9" s="1"/>
  <c r="I6" i="1"/>
  <c r="E90" i="9"/>
  <c r="T11" i="9" s="1" a="1"/>
  <c r="T11" i="9" s="1"/>
  <c r="I8" i="1"/>
  <c r="I3" i="1"/>
  <c r="E85" i="9"/>
  <c r="T6" i="9" s="1" a="1"/>
  <c r="T6" i="9" s="1"/>
  <c r="I32" i="1"/>
  <c r="F94" i="9"/>
  <c r="U15" i="9" s="1" a="1"/>
  <c r="U15" i="9" s="1"/>
  <c r="F85" i="9"/>
  <c r="U6" i="9" s="1" a="1"/>
  <c r="U6" i="9" s="1"/>
  <c r="I23" i="1"/>
  <c r="V6" i="9" a="1"/>
  <c r="V6" i="9" s="1"/>
  <c r="I26" i="1"/>
  <c r="F88" i="9"/>
  <c r="U9" i="9" s="1" a="1"/>
  <c r="U9" i="9" s="1"/>
  <c r="I12" i="1"/>
  <c r="E94" i="9"/>
  <c r="T15" i="9" s="1" a="1"/>
  <c r="T15" i="9" s="1"/>
  <c r="I30" i="1"/>
  <c r="F92" i="9"/>
  <c r="U13" i="9" s="1" a="1"/>
  <c r="U13" i="9" s="1"/>
  <c r="I24" i="1"/>
  <c r="F86" i="9"/>
  <c r="U7" i="9" s="1" a="1"/>
  <c r="U7" i="9" s="1"/>
  <c r="J8" i="1"/>
  <c r="G90" i="9"/>
  <c r="G93" i="9"/>
  <c r="J11" i="1"/>
  <c r="H85" i="9"/>
  <c r="W6" i="9" s="1" a="1"/>
  <c r="W6" i="9" s="1"/>
  <c r="J23" i="1"/>
  <c r="I28" i="1"/>
  <c r="F90" i="9"/>
  <c r="U11" i="9" s="1" a="1"/>
  <c r="U11" i="9" s="1"/>
  <c r="G88" i="9"/>
  <c r="J6" i="1"/>
  <c r="J2" i="1"/>
  <c r="G84" i="9"/>
  <c r="I11" i="1"/>
  <c r="E93" i="9"/>
  <c r="T14" i="9" s="1" a="1"/>
  <c r="T14" i="9" s="1"/>
  <c r="E87" i="9"/>
  <c r="T8" i="9" s="1" a="1"/>
  <c r="T8" i="9" s="1"/>
  <c r="I5" i="1"/>
  <c r="F91" i="9"/>
  <c r="U12" i="9" s="1" a="1"/>
  <c r="U12" i="9" s="1"/>
  <c r="I29" i="1"/>
  <c r="I247" i="1" l="1" a="1"/>
  <c r="I247" i="1" s="1"/>
  <c r="K94" i="9"/>
  <c r="V15" i="9" a="1"/>
  <c r="V15" i="9" s="1"/>
  <c r="AC15" i="9" s="1"/>
  <c r="V7" i="9" a="1"/>
  <c r="V7" i="9" s="1"/>
  <c r="V14" i="9" a="1"/>
  <c r="V14" i="9" s="1"/>
  <c r="AC14" i="9" s="1"/>
  <c r="K93" i="9"/>
  <c r="K85" i="9"/>
  <c r="V8" i="9" a="1"/>
  <c r="V8" i="9" s="1"/>
  <c r="AC8" i="9" s="1"/>
  <c r="K87" i="9"/>
  <c r="K84" i="9"/>
  <c r="V5" i="9" a="1"/>
  <c r="V5" i="9" s="1"/>
  <c r="AC5" i="9" s="1"/>
  <c r="K90" i="9"/>
  <c r="V11" i="9" a="1"/>
  <c r="V11" i="9" s="1"/>
  <c r="AC11" i="9" s="1"/>
  <c r="AC6" i="9"/>
  <c r="V13" i="9" a="1"/>
  <c r="V13" i="9" s="1"/>
  <c r="AC13" i="9" s="1"/>
  <c r="K92" i="9"/>
  <c r="V9" i="9" a="1"/>
  <c r="V9" i="9" s="1"/>
  <c r="AC9" i="9" s="1"/>
  <c r="K88" i="9"/>
  <c r="V10" i="9" a="1"/>
  <c r="V10" i="9" s="1"/>
  <c r="AC10" i="9" s="1"/>
  <c r="K89" i="9"/>
  <c r="L95" i="9"/>
  <c r="B13" i="21"/>
  <c r="L87" i="9"/>
  <c r="B5" i="21"/>
  <c r="L99" i="9"/>
  <c r="B17" i="21"/>
  <c r="L85" i="9"/>
  <c r="B3" i="21"/>
  <c r="L91" i="9"/>
  <c r="B9" i="21"/>
  <c r="L90" i="9"/>
  <c r="B8" i="21"/>
  <c r="L98" i="9"/>
  <c r="B16" i="21"/>
  <c r="L92" i="9"/>
  <c r="B10" i="21"/>
  <c r="L97" i="9"/>
  <c r="B15" i="21"/>
  <c r="L89" i="9"/>
  <c r="B7" i="21"/>
  <c r="L86" i="9"/>
  <c r="B4" i="21"/>
  <c r="L93" i="9"/>
  <c r="B11" i="21"/>
  <c r="L94" i="9"/>
  <c r="B12" i="21"/>
  <c r="D2" i="17"/>
  <c r="L96" i="9"/>
  <c r="B14" i="21"/>
  <c r="L88" i="9"/>
  <c r="B6" i="21"/>
  <c r="G91" i="9" l="1"/>
  <c r="J9" i="1"/>
  <c r="J247" i="1" s="1" a="1"/>
  <c r="J247" i="1" s="1"/>
  <c r="J24" i="1"/>
  <c r="H86" i="9"/>
  <c r="AD20" i="9"/>
  <c r="M99" i="9"/>
  <c r="D508" i="17"/>
  <c r="C12" i="10"/>
  <c r="C13" i="10" s="1"/>
  <c r="N5" i="17"/>
  <c r="N7" i="17" s="1"/>
  <c r="AD8" i="9"/>
  <c r="M87" i="9"/>
  <c r="AD7" i="9"/>
  <c r="AD10" i="9"/>
  <c r="M89" i="9"/>
  <c r="AD19" i="9"/>
  <c r="M98" i="9"/>
  <c r="AD15" i="9"/>
  <c r="M94" i="9"/>
  <c r="AD14" i="9"/>
  <c r="M93" i="9"/>
  <c r="AD11" i="9"/>
  <c r="M90" i="9"/>
  <c r="AD13" i="9"/>
  <c r="M92" i="9"/>
  <c r="AD9" i="9"/>
  <c r="M88" i="9"/>
  <c r="AD6" i="9"/>
  <c r="M85" i="9"/>
  <c r="AD16" i="9"/>
  <c r="M95" i="9"/>
  <c r="AD12" i="9"/>
  <c r="AD17" i="9"/>
  <c r="M96" i="9"/>
  <c r="AD18" i="9"/>
  <c r="M97" i="9"/>
  <c r="B2" i="21"/>
  <c r="L84" i="9"/>
  <c r="W7" i="9" l="1" a="1"/>
  <c r="W7" i="9" s="1"/>
  <c r="AC7" i="9" s="1"/>
  <c r="K86" i="9"/>
  <c r="M86" i="9" s="1"/>
  <c r="V12" i="9" a="1"/>
  <c r="V12" i="9" s="1"/>
  <c r="AC12" i="9" s="1"/>
  <c r="AE12" i="9" s="1"/>
  <c r="C9" i="20" s="1"/>
  <c r="K91" i="9"/>
  <c r="M91" i="9" s="1"/>
  <c r="AE19" i="9"/>
  <c r="C16" i="20" s="1"/>
  <c r="B16" i="20"/>
  <c r="B3" i="20"/>
  <c r="AE6" i="9"/>
  <c r="C3" i="20" s="1"/>
  <c r="B15" i="20"/>
  <c r="AE18" i="9"/>
  <c r="C15" i="20" s="1"/>
  <c r="B4" i="20"/>
  <c r="AE7" i="9"/>
  <c r="C4" i="20" s="1"/>
  <c r="AE9" i="9"/>
  <c r="C6" i="20" s="1"/>
  <c r="B6" i="20"/>
  <c r="B10" i="20"/>
  <c r="AE13" i="9"/>
  <c r="C10" i="20" s="1"/>
  <c r="B14" i="20"/>
  <c r="AE17" i="9"/>
  <c r="C14" i="20" s="1"/>
  <c r="B5" i="20"/>
  <c r="AE8" i="9"/>
  <c r="C5" i="20" s="1"/>
  <c r="P7" i="17"/>
  <c r="C19" i="10"/>
  <c r="C21" i="10" s="1"/>
  <c r="B8" i="20"/>
  <c r="AE11" i="9"/>
  <c r="C8" i="20" s="1"/>
  <c r="AD5" i="9"/>
  <c r="M84" i="9"/>
  <c r="AE14" i="9"/>
  <c r="C11" i="20" s="1"/>
  <c r="B11" i="20"/>
  <c r="K5" i="17"/>
  <c r="K6" i="17" s="1"/>
  <c r="F508" i="17"/>
  <c r="B7" i="20"/>
  <c r="AE10" i="9"/>
  <c r="C7" i="20" s="1"/>
  <c r="B13" i="20"/>
  <c r="AE16" i="9"/>
  <c r="C13" i="20" s="1"/>
  <c r="B12" i="20"/>
  <c r="AE15" i="9"/>
  <c r="C12" i="20" s="1"/>
  <c r="B9" i="20"/>
  <c r="B17" i="20"/>
  <c r="AE20" i="9"/>
  <c r="C17" i="20" s="1"/>
  <c r="B2" i="20" l="1"/>
  <c r="AE5" i="9"/>
  <c r="C2" i="2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<sst xmlns="http://schemas.openxmlformats.org/spreadsheetml/2006/main" count="2764" uniqueCount="480">
  <si>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</si>
  <si>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</si>
  <si>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</si>
  <si>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</si>
  <si>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</si>
  <si>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</si>
  <si>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</si>
  <si>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</si>
  <si>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</si>
  <si>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</si>
  <si>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</si>
  <si>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</si>
  <si>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</si>
  <si>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</si>
  <si>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</si>
  <si>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</si>
  <si>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</si>
  <si>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</si>
  <si>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</si>
  <si>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</si>
  <si>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</si>
  <si>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</si>
  <si>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</si>
  <si>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</si>
  <si>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</si>
  <si>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</si>
  <si>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</si>
  <si>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</si>
  <si>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</si>
  <si>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</si>
  <si>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</si>
  <si>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</si>
  <si>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</si>
  <si>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</si>
  <si>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</si>
  <si>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</si>
  <si>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</si>
  <si>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</si>
  <si>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</si>
  <si>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</si>
  <si>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</si>
  <si>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</si>
  <si>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</si>
  <si>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</si>
  <si>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</si>
  <si>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</si>
  <si>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</si>
  <si>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</si>
  <si>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</si>
  <si>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</si>
  <si>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</si>
  <si>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</si>
  <si>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</si>
  <si>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</si>
  <si>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</si>
  <si>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</si>
  <si>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</si>
  <si>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</si>
  <si>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</si>
  <si>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</si>
  <si>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</si>
  <si>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</si>
  <si>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</si>
  <si>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</si>
  <si>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</si>
  <si>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</si>
  <si>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</si>
  <si>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</si>
  <si>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</si>
  <si>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</si>
  <si>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</si>
  <si>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</si>
  <si>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</si>
  <si>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</si>
  <si>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</si>
  <si>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</si>
  <si>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</si>
  <si>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</si>
  <si>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</si>
  <si>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</si>
  <si>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</si>
  <si>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</si>
  <si>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</si>
  <si>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</si>
  <si>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</si>
  <si>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</si>
  <si>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</si>
  <si>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</si>
  <si>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</si>
  <si>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</si>
  <si>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</si>
  <si>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</si>
  <si>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</si>
  <si>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</si>
  <si>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</si>
  <si>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</si>
  <si>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</si>
  <si>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</si>
  <si>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</si>
  <si>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</si>
  <si>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</si>
  <si>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</si>
  <si>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</si>
  <si>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</si>
  <si>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</si>
  <si>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</si>
  <si>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</si>
  <si>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</si>
  <si>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</si>
  <si>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</si>
  <si>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</si>
  <si>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</si>
  <si>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</si>
  <si>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</si>
  <si>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</si>
  <si>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</si>
  <si>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</si>
  <si>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</si>
  <si>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</si>
  <si>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</si>
  <si>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</si>
  <si>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</si>
  <si>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</si>
  <si>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</si>
  <si>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</si>
  <si>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</si>
  <si>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</si>
  <si>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</si>
  <si>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</si>
  <si>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</si>
  <si>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</si>
  <si>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</si>
  <si>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</si>
  <si>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</si>
  <si>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</si>
  <si>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</si>
  <si>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</si>
  <si>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</si>
  <si>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</si>
  <si>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</si>
  <si>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</si>
  <si>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</si>
  <si>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</si>
  <si>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</si>
  <si>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</si>
  <si>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</si>
  <si>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</si>
  <si>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</si>
  <si>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</si>
  <si>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</si>
  <si>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</si>
  <si>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</si>
  <si>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</si>
  <si>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</si>
  <si>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</si>
  <si>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</si>
  <si>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</si>
  <si>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</si>
  <si>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</si>
  <si>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</si>
  <si>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</si>
  <si>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</si>
  <si>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</si>
  <si>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</si>
  <si>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</si>
  <si>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</si>
  <si>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</si>
  <si>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</si>
  <si>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</si>
  <si>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</si>
  <si>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</si>
  <si>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</si>
  <si>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</si>
  <si>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</si>
  <si>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</si>
  <si>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</si>
  <si>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</si>
  <si>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</si>
  <si>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</si>
  <si>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</si>
  <si>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</si>
  <si>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</si>
  <si>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</si>
  <si>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</si>
  <si>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</si>
  <si>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</si>
  <si>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</si>
  <si>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</si>
  <si>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</si>
  <si>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</si>
  <si>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</si>
  <si>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</si>
  <si>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</si>
  <si>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</si>
  <si>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</si>
  <si>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</si>
  <si>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</si>
  <si>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</si>
  <si>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</si>
  <si>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</si>
  <si>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</si>
  <si>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</si>
  <si>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</si>
  <si>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</si>
  <si>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</si>
  <si>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</si>
  <si>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</si>
  <si>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</si>
  <si>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</si>
  <si>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</si>
  <si>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</si>
  <si>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</si>
  <si>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</si>
  <si>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</si>
  <si>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</si>
  <si>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</si>
  <si>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</si>
  <si>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</si>
  <si>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</si>
  <si>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</si>
  <si>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</si>
  <si>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</si>
  <si>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</si>
  <si>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</si>
  <si>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</si>
  <si>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</si>
  <si>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</si>
  <si>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</si>
  <si>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</si>
  <si>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</si>
  <si>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</si>
  <si>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</si>
  <si>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</si>
  <si>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</si>
  <si>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</si>
  <si>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</si>
  <si>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</si>
  <si>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</si>
  <si>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</si>
  <si>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</si>
  <si>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</si>
  <si>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</si>
  <si>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</si>
  <si>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</si>
  <si>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</si>
  <si>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</si>
  <si>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</si>
  <si>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</si>
  <si>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</si>
  <si>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</si>
  <si>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</si>
  <si>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</si>
  <si>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</si>
  <si>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</si>
  <si>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</si>
  <si>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</si>
  <si>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</si>
  <si>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</si>
  <si>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</si>
  <si>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</si>
  <si>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</si>
  <si>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</si>
  <si>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</si>
  <si>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</si>
  <si>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</si>
  <si>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</si>
  <si>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</si>
  <si>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</si>
  <si>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</si>
  <si>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</si>
  <si>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</si>
  <si>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</si>
  <si>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</si>
  <si>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</si>
  <si>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</si>
  <si>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</si>
  <si>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</si>
  <si>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</si>
  <si>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</si>
  <si>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</si>
  <si>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</si>
  <si>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</si>
  <si>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</si>
  <si>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</si>
  <si>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</si>
  <si>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</si>
  <si>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</si>
  <si>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</si>
  <si>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</si>
  <si>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</si>
  <si>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</si>
  <si>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</si>
  <si>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</si>
  <si>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</si>
  <si>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</si>
  <si>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</si>
  <si>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</si>
  <si>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</si>
  <si>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</si>
  <si>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</si>
  <si>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</si>
  <si>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</si>
  <si>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</si>
  <si>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</si>
  <si>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</si>
  <si>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</si>
  <si>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</si>
  <si>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</si>
  <si>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</si>
  <si>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</si>
  <si>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</si>
  <si>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</si>
  <si>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</si>
  <si>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</si>
  <si>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</si>
  <si>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</si>
  <si>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</si>
  <si>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</si>
  <si>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</si>
  <si>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</si>
  <si>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</si>
  <si>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</si>
  <si>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</si>
  <si>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</si>
  <si>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</si>
  <si>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</si>
  <si>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</si>
  <si>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</si>
  <si>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</si>
  <si>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</si>
  <si>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</si>
  <si>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</si>
  <si>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</si>
  <si>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</si>
  <si>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</si>
  <si>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</si>
  <si>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</si>
  <si>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</si>
  <si>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</si>
  <si>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</si>
  <si>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</si>
  <si>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</si>
  <si>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</si>
  <si>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</si>
  <si>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</si>
  <si>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</si>
  <si>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</si>
  <si>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</si>
  <si>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</si>
  <si>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</si>
  <si>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</si>
  <si>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</si>
  <si>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</si>
  <si>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</si>
  <si>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</si>
  <si>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</si>
  <si>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</si>
  <si>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</si>
  <si>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</si>
  <si>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</si>
  <si>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</si>
  <si>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</si>
  <si>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</si>
  <si>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</si>
  <si>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</si>
  <si>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</si>
  <si>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</si>
  <si>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</si>
  <si>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</si>
  <si>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</si>
  <si>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</si>
  <si>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</si>
  <si>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</si>
  <si>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</si>
  <si>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</si>
  <si>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</si>
  <si>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</si>
  <si>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</si>
  <si>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</si>
  <si>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</si>
  <si>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</si>
  <si>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</si>
  <si>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</si>
  <si>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</si>
  <si>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</si>
  <si>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</si>
  <si>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</si>
  <si>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</si>
  <si>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</si>
  <si>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</si>
  <si>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</si>
  <si>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</si>
  <si>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</si>
  <si>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</si>
  <si>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</si>
  <si>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</si>
  <si>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</si>
  <si>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</si>
  <si>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</si>
  <si>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</si>
  <si>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</si>
  <si>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</si>
  <si>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</si>
  <si>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</si>
  <si>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</si>
  <si>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</si>
  <si>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</si>
  <si>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</si>
  <si>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</si>
  <si>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</si>
  <si>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</si>
  <si>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</si>
  <si>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</si>
  <si>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</si>
  <si>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</si>
  <si>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</si>
  <si>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</si>
  <si>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</si>
  <si>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</si>
  <si>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</si>
  <si>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</si>
  <si>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</si>
  <si>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</si>
  <si>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</si>
  <si>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</si>
  <si>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</si>
  <si>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</si>
  <si>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</si>
  <si>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</si>
  <si>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</si>
  <si>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</si>
  <si>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</si>
  <si>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</si>
  <si>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</si>
  <si>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</si>
  <si>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</si>
  <si>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</si>
  <si>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</si>
  <si>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</si>
  <si>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</si>
  <si>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</si>
  <si>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</si>
  <si>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</si>
  <si>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</si>
  <si>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</si>
  <si>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</si>
  <si>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</si>
  <si>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</si>
  <si>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</si>
  <si>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</si>
  <si>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</si>
  <si>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</si>
  <si>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</si>
  <si>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</si>
  <si>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</si>
  <si>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</si>
  <si>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</si>
  <si>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</si>
  <si>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</si>
  <si>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</si>
  <si>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</si>
  <si>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</si>
  <si>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</si>
  <si>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</si>
  <si>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</si>
  <si>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</si>
  <si>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</si>
  <si>
    <t>Ashfaq Sahab theka</t>
  </si>
  <si>
    <t>Ashfaq sahab theka</t>
  </si>
  <si>
    <t>haseen khan</t>
  </si>
  <si>
    <t>Nov-Dec</t>
  </si>
  <si>
    <t>munawar bajwa</t>
  </si>
  <si>
    <t>Oct Balance CF</t>
  </si>
  <si>
    <t>Nov Balance</t>
  </si>
  <si>
    <t>Salary unpaid</t>
  </si>
  <si>
    <t>Salary (Omer-Oct/Nov)</t>
  </si>
  <si>
    <t>TID:795579</t>
  </si>
  <si>
    <t>Omer//Farcon payment</t>
  </si>
  <si>
    <t>Balance CF</t>
  </si>
  <si>
    <t>Shahid Munir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</si>
</sst>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ill="1" applyBorder="1"/>
    <xf numFmtId="0" fontId="0" fillId="0" borderId="25" xfId="0" applyBorder="1"/>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81</xdr:row>
      <xdr:rowOff>59124</xdr:rowOff>
    </xdr:from>
    <xdr:to>
      <xdr:col>11</xdr:col>
      <xdr:colOff>66829</xdr:colOff>
      <xdr:row>94</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refreshError="1"/>
      <sheetData sheetId="2" refreshError="1"/>
      <sheetData sheetId="3" refreshError="1"/>
      <sheetData sheetId="4" refreshError="1"/>
      <sheetData sheetId="5" refreshError="1"/>
      <sheetData sheetId="6" refreshError="1"/>
      <sheetData sheetId="7">
        <row r="5">
          <cell r="N5">
            <v>6489605</v>
          </cell>
        </row>
        <row r="6">
          <cell r="N6">
            <v>-584716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07" dataDxfId="106" headerRowCellStyle="Comma" dataCellStyle="Comma">
  <autoFilter ref="A1:K246"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9" totalsRowDxfId="8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5" totalsRowCount="1" headerRowDxfId="85" headerRowBorderDxfId="84" tableBorderDxfId="83">
  <autoFilter ref="A1:I74" xr:uid="{F8E8C957-ABE7-4E4F-8D4E-7D44E26B334F}">
    <filterColumn colId="1">
      <filters>
        <filter val="Kaleem ullah"/>
      </filters>
    </filterColumn>
  </autoFilter>
  <tableColumns count="9">
    <tableColumn id="1" xr3:uid="{C2E817D6-AB98-4DDD-8890-736B27F261CD}" name="Date" dataDxfId="82" totalsRowDxfId="81"/>
    <tableColumn id="2" xr3:uid="{CFB51890-CCDC-463C-81C9-3F8BD7469CB9}" name="Party Name"/>
    <tableColumn id="3" xr3:uid="{A113D971-1C9D-4733-99C4-BD0CC4333209}" name="Vehicle Number"/>
    <tableColumn id="4" xr3:uid="{49780304-3DD1-4AE9-98EE-2BC7EB8F3B57}" name="Weight" dataDxfId="80" totalsRowDxfId="79" dataCellStyle="Comma"/>
    <tableColumn id="5" xr3:uid="{FCAF1BC6-1D8C-42AD-8BBC-F924BF2DC7FE}" name="Rate" dataDxfId="78" totalsRowDxfId="77" dataCellStyle="Comma"/>
    <tableColumn id="6" xr3:uid="{8C70A624-4134-410C-9C45-9FDEB51D51BF}" name="Rent" dataDxfId="76" totalsRowDxfId="75" dataCellStyle="Comma"/>
    <tableColumn id="7" xr3:uid="{EBCE10AE-9634-4982-9C95-37ABC8A7078C}" name="Total" totalsRowFunction="sum" dataDxfId="74" totalsRowDxfId="73" dataCellStyle="Comma">
      <calculatedColumnFormula>D2*E2</calculatedColumnFormula>
    </tableColumn>
    <tableColumn id="9" xr3:uid="{D4788559-C94A-44D9-B9AE-E72B214355AC}" name="Paid" totalsRowFunction="sum" dataDxfId="72" totalsRowDxfId="71" dataCellStyle="Comma"/>
    <tableColumn id="8" xr3:uid="{E26F5BF0-1875-4FC6-994D-49F202ED562B}" name="balance" totalsRowFunction="sum" dataDxfId="70" totalsRowDxfId="6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08" totalsRowCount="1">
  <autoFilter ref="A1:G507" xr:uid="{CB032221-B416-47A8-9A76-693DE76CFD04}"/>
  <tableColumns count="7">
    <tableColumn id="1" xr3:uid="{554B1EED-65B6-4E9A-B646-82727FAC40DE}" name="Date" dataDxfId="12" totalsRowDxfId="3"/>
    <tableColumn id="2" xr3:uid="{32259059-42CF-4947-83DE-115AA430BE2B}" name="Party"/>
    <tableColumn id="3" xr3:uid="{A1320223-D55D-483C-91C3-AB19B95CC9D8}" name="Debit" totalsRowFunction="sum" dataDxfId="11" totalsRowDxfId="2" dataCellStyle="Comma"/>
    <tableColumn id="4" xr3:uid="{E9745767-9FF0-4B1C-9052-FF335D1D7588}" name="Credit" totalsRowFunction="sum" dataDxfId="10" totalsRowDxfId="1" dataCellStyle="Comma"/>
    <tableColumn id="5" xr3:uid="{5C88A48E-2467-4E6D-B626-2442B7FD0BE4}" name="Description"/>
    <tableColumn id="6" xr3:uid="{63CA4666-144E-4BE6-8B7C-7CB992BD3041}" name="Mode" totalsRowFunction="custom" dataDxfId="9"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7" tableBorderDxfId="66" totalsRowBorderDxfId="65">
  <autoFilter ref="J3:K6" xr:uid="{DCE01694-23ED-48BF-8B92-4186B9ED10A8}"/>
  <tableColumns count="2">
    <tableColumn id="1" xr3:uid="{C8484DAF-2989-4C2F-9AEC-A6917E1C57F6}" name="Type" dataDxfId="64"/>
    <tableColumn id="2" xr3:uid="{B07B7A2A-4D4E-4654-BED6-FE2F0A7BEC34}" name="Amount" dataDxfId="6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2" headerRowBorderDxfId="61" tableBorderDxfId="60" totalsRowBorderDxfId="59">
  <autoFilter ref="M3:O6" xr:uid="{D166BDD1-ACD7-45D7-8AE9-7350373F8CEB}"/>
  <tableColumns count="3">
    <tableColumn id="1" xr3:uid="{64F0205E-DEA7-4571-BA86-E4374A5FEE28}" name="Type" totalsRowLabel="Total" dataDxfId="58" totalsRowDxfId="57"/>
    <tableColumn id="2" xr3:uid="{15FA05F9-789C-4459-9BE0-5C1EC84D3365}" name="amount" totalsRowFunction="custom" dataDxfId="56" totalsRowDxfId="55">
      <totalsRowFormula>SUM(N5:N6)</totalsRowFormula>
    </tableColumn>
    <tableColumn id="3" xr3:uid="{3681D409-90C6-44D0-BDE2-4B5943A516F0}" name="Actual" totalsRowFunction="custom" totalsRowDxfId="5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9" headerRowBorderDxfId="48">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4" headerRowBorderDxfId="43">
  <autoFilter ref="A4:H19" xr:uid="{A4C80688-A8BA-4BA7-90B4-791CD99446B4}"/>
  <sortState xmlns:xlrd2="http://schemas.microsoft.com/office/spreadsheetml/2017/richdata2" ref="A5:H6">
    <sortCondition ref="A4:A6"/>
  </sortState>
  <tableColumns count="8">
    <tableColumn id="1" xr3:uid="{4A818912-918E-4111-ACFC-BC93FEF7C1AD}" name="Date" dataDxfId="42" totalsRowDxfId="13"/>
    <tableColumn id="8" xr3:uid="{477ACFD5-62AF-4F69-974B-E9B974C11D7D}" name="Party Name" dataDxfId="4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0">
      <calculatedColumnFormula>Table2[[#This Row],[Quantity]]*200*Table2[[#This Row],[Boxes]]</calculatedColumnFormula>
    </tableColumn>
    <tableColumn id="6" xr3:uid="{30432929-CBD4-4BA8-B63F-CD0F6CF6405F}" name="Paid" totalsRowFunction="sum" dataDxfId="3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7" totalsRowDxfId="3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5" totalsRowDxfId="34"/>
    <tableColumn id="2" xr3:uid="{053BFC14-4828-417C-9F9F-95B6E232A945}" name="Amount" totalsRowFunction="custom" dataDxfId="33" totalsRowDxfId="3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1" totalsRowDxfId="3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6">
      <calculatedColumnFormula>Billing!Q5</calculatedColumnFormula>
    </tableColumn>
    <tableColumn id="2" xr3:uid="{7093A59E-B58F-487D-888A-9AA8156B5F9A}" name="Amount Paid" dataDxfId="15">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14"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opLeftCell="S12" zoomScale="109" zoomScaleNormal="80" workbookViewId="0">
      <selection activeCell="U34" sqref="U3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189</v>
      </c>
      <c r="Y4" s="23" t="s">
        <v>190</v>
      </c>
      <c r="Z4" s="23" t="s">
        <v>387</v>
      </c>
      <c r="AA4" s="23" t="s">
        <v>430</v>
      </c>
      <c r="AB4" s="23" t="s">
        <v>464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189</v>
      </c>
      <c r="J48" s="23" t="s">
        <v>190</v>
      </c>
      <c r="K48" s="23" t="s">
        <v>387</v>
      </c>
      <c r="L48" s="23" t="s">
        <v>430</v>
      </c>
      <c r="M48" s="23" t="s">
        <v>464</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183</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331</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5" zoomScale="150" workbookViewId="0">
      <selection activeCell="C5" sqref="C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Wood!K6+(700*810)-((363*810)+(830*233)+(146*580))</f>
        <v>6800910</v>
      </c>
      <c r="D4" t="s">
        <v>218</v>
      </c>
    </row>
    <row r="5" spans="1:4" x14ac:dyDescent="0.3">
      <c r="B5" t="s">
        <v>48</v>
      </c>
      <c r="C5" s="11">
        <f>SUM(Table8[Price])+Table2325[[#Totals],[total]]-Dyes!P56</f>
        <v>1438785</v>
      </c>
    </row>
    <row r="6" spans="1:4" x14ac:dyDescent="0.3">
      <c r="B6" t="s">
        <v>49</v>
      </c>
      <c r="C6" s="11">
        <f>SUM(Table2[Price])+Finish!J30-Finish!K30</f>
        <v>745400</v>
      </c>
      <c r="D6" t="s">
        <v>217</v>
      </c>
    </row>
    <row r="7" spans="1:4" x14ac:dyDescent="0.3">
      <c r="B7" t="s">
        <v>50</v>
      </c>
      <c r="C7" s="11">
        <f>SUMIFS(Table14[Debit], Table14[Party],Table12[[#This Row],[Type]])</f>
        <v>38648</v>
      </c>
    </row>
    <row r="8" spans="1:4" x14ac:dyDescent="0.3">
      <c r="B8" t="s">
        <v>51</v>
      </c>
      <c r="C8" s="11">
        <f>Electricity!E3</f>
        <v>2047865</v>
      </c>
    </row>
    <row r="9" spans="1:4" x14ac:dyDescent="0.3">
      <c r="B9" t="s">
        <v>52</v>
      </c>
      <c r="C9" s="11">
        <f>SUMIFS(Table14[Debit], Table14[Party],Table12[[#This Row],[Type]])+SUMIFS(Table14[Debit], Table14[Party],"Advance Salary")</f>
        <v>2034350</v>
      </c>
    </row>
    <row r="10" spans="1:4" x14ac:dyDescent="0.3">
      <c r="B10" t="s">
        <v>53</v>
      </c>
      <c r="C10" s="11">
        <f>Table5[[#Totals],[Amount]]</f>
        <v>163990</v>
      </c>
    </row>
    <row r="11" spans="1:4" x14ac:dyDescent="0.3">
      <c r="B11" t="s">
        <v>54</v>
      </c>
      <c r="C11" s="11">
        <f>Table13[[#Totals],[Debit]]</f>
        <v>215580</v>
      </c>
    </row>
    <row r="12" spans="1:4" x14ac:dyDescent="0.3">
      <c r="B12" t="s">
        <v>55</v>
      </c>
      <c r="C12" s="11">
        <f>Table15[[#Totals],[Amount]]</f>
        <v>405764</v>
      </c>
    </row>
    <row r="13" spans="1:4" x14ac:dyDescent="0.3">
      <c r="C13" s="11"/>
    </row>
    <row r="14" spans="1:4" x14ac:dyDescent="0.3">
      <c r="C14" s="14">
        <f>SUM(Table12[Amount])</f>
        <v>13891292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K20" sqref="K20"/>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13891292</v>
      </c>
    </row>
    <row r="5" spans="1:3" x14ac:dyDescent="0.3">
      <c r="A5" s="6"/>
      <c r="B5" s="15" t="s">
        <v>68</v>
      </c>
      <c r="C5" s="15">
        <f>C3-C4</f>
        <v>7214203.3547915109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35505574</v>
      </c>
    </row>
    <row r="13" spans="1:3" ht="15" thickBot="1" x14ac:dyDescent="0.35">
      <c r="B13" s="74" t="s">
        <v>94</v>
      </c>
      <c r="C13" s="73">
        <f>(C11-C12)</f>
        <v>-14400078.645208489</v>
      </c>
    </row>
    <row r="14" spans="1:3" ht="15" thickBot="1" x14ac:dyDescent="0.35">
      <c r="B14" s="58"/>
      <c r="C14" s="59"/>
    </row>
    <row r="15" spans="1:3" x14ac:dyDescent="0.3">
      <c r="B15" s="56" t="s">
        <v>44</v>
      </c>
      <c r="C15" s="57">
        <f>C4</f>
        <v>13891292</v>
      </c>
    </row>
    <row r="16" spans="1:3" x14ac:dyDescent="0.3">
      <c r="B16" s="58" t="s">
        <v>70</v>
      </c>
      <c r="C16" s="59">
        <f>SUM(Table14[Debit])</f>
        <v>27262308</v>
      </c>
    </row>
    <row r="17" spans="2:6" ht="15" thickBot="1" x14ac:dyDescent="0.35">
      <c r="B17" s="74" t="s">
        <v>71</v>
      </c>
      <c r="C17" s="73">
        <f>C15-C16</f>
        <v>-13371016</v>
      </c>
    </row>
    <row r="18" spans="2:6" ht="15" thickBot="1" x14ac:dyDescent="0.35">
      <c r="B18" s="58"/>
      <c r="C18" s="59"/>
    </row>
    <row r="19" spans="2:6" ht="15" thickBot="1" x14ac:dyDescent="0.35">
      <c r="B19" s="75" t="s">
        <v>72</v>
      </c>
      <c r="C19" s="76">
        <f>Table18[[#Totals],[amount]]</f>
        <v>8244916</v>
      </c>
    </row>
    <row r="20" spans="2:6" ht="15" thickBot="1" x14ac:dyDescent="0.35">
      <c r="B20" s="71"/>
      <c r="C20" s="72"/>
    </row>
    <row r="21" spans="2:6" ht="15" thickBot="1" x14ac:dyDescent="0.35">
      <c r="B21" s="60" t="s">
        <v>73</v>
      </c>
      <c r="C21" s="61">
        <f>(C13-C17)+C19</f>
        <v>7215853.3547915109</v>
      </c>
      <c r="E21" s="79" t="s">
        <v>74</v>
      </c>
      <c r="F21" s="80">
        <f>C5*0.05</f>
        <v>360710.16773957555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A224" zoomScale="91" zoomScaleNormal="82" workbookViewId="0">
      <selection activeCell="G239" sqref="G23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199</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199</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199</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199</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199</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199</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199</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199</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199</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199</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199</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199</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199</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199</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199</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199</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183</v>
      </c>
      <c r="C18" s="115" t="s">
        <v>199</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186</v>
      </c>
      <c r="C19" s="115" t="s">
        <v>199</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187</v>
      </c>
      <c r="C20" s="115" t="s">
        <v>199</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195</v>
      </c>
      <c r="C21" s="115" t="s">
        <v>199</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199</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199</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199</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199</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199</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199</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199</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199</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199</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199</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199</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199</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199</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199</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199</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199</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183</v>
      </c>
      <c r="C38" s="115" t="s">
        <v>199</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186</v>
      </c>
      <c r="C39" s="115" t="s">
        <v>199</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187</v>
      </c>
      <c r="C40" s="115" t="s">
        <v>199</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195</v>
      </c>
      <c r="C41" s="115" t="s">
        <v>199</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199</v>
      </c>
      <c r="D42" s="115" t="s">
        <v>197</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199</v>
      </c>
      <c r="D43" s="115" t="s">
        <v>197</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199</v>
      </c>
      <c r="D44" s="115" t="s">
        <v>197</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199</v>
      </c>
      <c r="D45" s="115" t="s">
        <v>197</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199</v>
      </c>
      <c r="D46" s="115" t="s">
        <v>197</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199</v>
      </c>
      <c r="D47" s="115" t="s">
        <v>197</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199</v>
      </c>
      <c r="D48" s="115" t="s">
        <v>197</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199</v>
      </c>
      <c r="D49" s="115" t="s">
        <v>197</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199</v>
      </c>
      <c r="D50" s="115" t="s">
        <v>197</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199</v>
      </c>
      <c r="D51" s="115" t="s">
        <v>197</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199</v>
      </c>
      <c r="D52" s="115" t="s">
        <v>197</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199</v>
      </c>
      <c r="D53" s="115" t="s">
        <v>197</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199</v>
      </c>
      <c r="D54" s="115" t="s">
        <v>197</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199</v>
      </c>
      <c r="D55" s="115" t="s">
        <v>197</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199</v>
      </c>
      <c r="D56" s="115" t="s">
        <v>197</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199</v>
      </c>
      <c r="D57" s="115" t="s">
        <v>197</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183</v>
      </c>
      <c r="C58" s="115" t="s">
        <v>199</v>
      </c>
      <c r="D58" s="115" t="s">
        <v>197</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186</v>
      </c>
      <c r="C59" s="115" t="s">
        <v>199</v>
      </c>
      <c r="D59" s="115" t="s">
        <v>197</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187</v>
      </c>
      <c r="C60" s="115" t="s">
        <v>199</v>
      </c>
      <c r="D60" s="115" t="s">
        <v>197</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195</v>
      </c>
      <c r="C61" s="115" t="s">
        <v>199</v>
      </c>
      <c r="D61" s="115" t="s">
        <v>197</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199</v>
      </c>
      <c r="D62" s="115" t="s">
        <v>198</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199</v>
      </c>
      <c r="D63" s="115" t="s">
        <v>198</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199</v>
      </c>
      <c r="D64" s="115" t="s">
        <v>198</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199</v>
      </c>
      <c r="D65" s="115" t="s">
        <v>198</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199</v>
      </c>
      <c r="D66" s="115" t="s">
        <v>198</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199</v>
      </c>
      <c r="D67" s="115" t="s">
        <v>198</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199</v>
      </c>
      <c r="D68" s="115" t="s">
        <v>198</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199</v>
      </c>
      <c r="D69" s="115" t="s">
        <v>198</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199</v>
      </c>
      <c r="D70" s="115" t="s">
        <v>198</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199</v>
      </c>
      <c r="D71" s="115" t="s">
        <v>198</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199</v>
      </c>
      <c r="D72" s="115" t="s">
        <v>198</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199</v>
      </c>
      <c r="D73" s="115" t="s">
        <v>198</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199</v>
      </c>
      <c r="D74" s="115" t="s">
        <v>198</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199</v>
      </c>
      <c r="D75" s="115" t="s">
        <v>198</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199</v>
      </c>
      <c r="D76" s="115" t="s">
        <v>198</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199</v>
      </c>
      <c r="D77" s="115" t="s">
        <v>198</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183</v>
      </c>
      <c r="C78" s="115" t="s">
        <v>199</v>
      </c>
      <c r="D78" s="115" t="s">
        <v>198</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186</v>
      </c>
      <c r="C79" s="115" t="s">
        <v>199</v>
      </c>
      <c r="D79" s="115" t="s">
        <v>198</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187</v>
      </c>
      <c r="C80" s="115" t="s">
        <v>199</v>
      </c>
      <c r="D80" s="115" t="s">
        <v>198</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195</v>
      </c>
      <c r="C81" s="115" t="s">
        <v>199</v>
      </c>
      <c r="D81" s="115" t="s">
        <v>198</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195</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195</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195</v>
      </c>
      <c r="C85" s="118">
        <v>1094</v>
      </c>
      <c r="D85" s="118" t="s">
        <v>87</v>
      </c>
      <c r="E85" s="120" t="s">
        <v>196</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195</v>
      </c>
      <c r="C86" s="109">
        <v>1095</v>
      </c>
      <c r="D86" s="109" t="s">
        <v>87</v>
      </c>
      <c r="E86" s="110" t="s">
        <v>196</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195</v>
      </c>
      <c r="C87" s="118">
        <v>1096</v>
      </c>
      <c r="D87" s="118" t="s">
        <v>87</v>
      </c>
      <c r="E87" s="120" t="s">
        <v>196</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195</v>
      </c>
      <c r="C88" s="109">
        <v>1097</v>
      </c>
      <c r="D88" s="109" t="s">
        <v>87</v>
      </c>
      <c r="E88" s="110" t="s">
        <v>196</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183</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183</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183</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241</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241</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242</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253</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187</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187</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253</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187</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187</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187</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298</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183</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183</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183</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183</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183</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183</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296</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296</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183</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298</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187</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241</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298</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187</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187</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241</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241</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355</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195</v>
      </c>
      <c r="C185" s="126">
        <v>1194</v>
      </c>
      <c r="D185" s="126" t="s">
        <v>384</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241</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241</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241</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241</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241</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183</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183</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414</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296</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187</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187</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195</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241</v>
      </c>
      <c r="C223" s="126">
        <v>1232</v>
      </c>
      <c r="D223" s="126" t="s">
        <v>416</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241</v>
      </c>
      <c r="C224" s="126">
        <v>1233</v>
      </c>
      <c r="D224" s="126" t="s">
        <v>416</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195</v>
      </c>
      <c r="C227" s="126">
        <v>1236</v>
      </c>
      <c r="D227" s="126" t="s">
        <v>384</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241</v>
      </c>
      <c r="C231" s="126">
        <v>1240</v>
      </c>
      <c r="D231" s="126" t="s">
        <v>416</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296</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296</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452</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452</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456</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456</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462</v>
      </c>
      <c r="C246" s="126">
        <v>1255</v>
      </c>
      <c r="D246" s="126" t="s">
        <v>463</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opLeftCell="A61" zoomScale="145" zoomScaleNormal="90" workbookViewId="0">
      <selection activeCell="D75" sqref="D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6806010</v>
      </c>
      <c r="L6" s="3" t="s">
        <v>2</v>
      </c>
      <c r="M6" t="s">
        <v>88</v>
      </c>
    </row>
    <row r="7" spans="1:16" hidden="1" x14ac:dyDescent="0.3">
      <c r="A7" s="85">
        <v>45979</v>
      </c>
      <c r="B7" s="95" t="s">
        <v>192</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192</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223</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223</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254</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254</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269</v>
      </c>
      <c r="D18" s="11">
        <v>470</v>
      </c>
      <c r="E18" s="11">
        <v>810</v>
      </c>
      <c r="F18" s="11">
        <v>72800</v>
      </c>
      <c r="G18" s="11">
        <f t="shared" si="3"/>
        <v>380700</v>
      </c>
      <c r="H18" s="11">
        <f>SUMIFS(Table14[Debit], Table14[Date], Table3[[#This Row],[Date]], Table14[Party], Table3[[#This Row],[Party Name]])</f>
        <v>107800</v>
      </c>
      <c r="I18" s="11">
        <f>(D18*E18)-Table3[[#This Row],[Paid]]</f>
        <v>272900</v>
      </c>
      <c r="L18" s="42" t="s">
        <v>223</v>
      </c>
      <c r="M18" s="14">
        <v>456</v>
      </c>
      <c r="N18" s="14">
        <v>369360</v>
      </c>
      <c r="O18" s="14">
        <v>80300</v>
      </c>
      <c r="P18" s="14">
        <v>289060</v>
      </c>
    </row>
    <row r="19" spans="1:16" hidden="1" x14ac:dyDescent="0.3">
      <c r="A19" s="1">
        <v>45986</v>
      </c>
      <c r="B19" t="s">
        <v>95</v>
      </c>
      <c r="C19" t="s">
        <v>270</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283</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223</v>
      </c>
      <c r="M20" s="14">
        <v>394</v>
      </c>
      <c r="N20" s="14">
        <v>319140</v>
      </c>
      <c r="O20" s="14">
        <v>200068</v>
      </c>
      <c r="P20" s="14">
        <v>119072</v>
      </c>
    </row>
    <row r="21" spans="1:16" hidden="1" x14ac:dyDescent="0.3">
      <c r="A21" s="1">
        <v>45987</v>
      </c>
      <c r="B21" t="s">
        <v>178</v>
      </c>
      <c r="C21" t="s">
        <v>279</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291</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254</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309</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254</v>
      </c>
      <c r="M25" s="14">
        <v>152</v>
      </c>
      <c r="N25" s="14">
        <v>88160</v>
      </c>
      <c r="O25" s="14">
        <v>40000</v>
      </c>
      <c r="P25" s="14">
        <v>48160</v>
      </c>
    </row>
    <row r="26" spans="1:16" hidden="1" x14ac:dyDescent="0.3">
      <c r="A26" s="1">
        <v>45992</v>
      </c>
      <c r="B26" t="s">
        <v>95</v>
      </c>
      <c r="C26" t="s">
        <v>223</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269</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270</v>
      </c>
      <c r="M28" s="14">
        <v>206</v>
      </c>
      <c r="N28" s="14">
        <v>157590</v>
      </c>
      <c r="O28" s="14"/>
      <c r="P28" s="14">
        <v>157590</v>
      </c>
    </row>
    <row r="29" spans="1:16" hidden="1" x14ac:dyDescent="0.3">
      <c r="A29" s="1">
        <v>45994</v>
      </c>
      <c r="B29" t="s">
        <v>343</v>
      </c>
      <c r="C29" t="s">
        <v>341</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343</v>
      </c>
      <c r="C30" t="s">
        <v>373</v>
      </c>
      <c r="D30" s="11">
        <v>195</v>
      </c>
      <c r="E30" s="11">
        <v>830</v>
      </c>
      <c r="F30" s="11"/>
      <c r="G30" s="11">
        <f>D30*E30</f>
        <v>161850</v>
      </c>
      <c r="H30" s="11">
        <f>SUMIFS(Table14[Debit], Table14[Date], Table3[[#This Row],[Date]], Table14[Party], Table3[[#This Row],[Party Name]])</f>
        <v>170000</v>
      </c>
      <c r="I30" s="11">
        <f>(D30*E30)-Table3[[#This Row],[Paid]]</f>
        <v>-8150</v>
      </c>
      <c r="L30" s="42" t="s">
        <v>283</v>
      </c>
      <c r="M30" s="14">
        <v>281</v>
      </c>
      <c r="N30" s="14">
        <v>227610</v>
      </c>
      <c r="O30" s="14">
        <v>347823</v>
      </c>
      <c r="P30" s="14">
        <v>-120213</v>
      </c>
    </row>
    <row r="31" spans="1:16" hidden="1" x14ac:dyDescent="0.3">
      <c r="A31" s="1">
        <v>45995</v>
      </c>
      <c r="B31" t="s">
        <v>95</v>
      </c>
      <c r="C31" t="s">
        <v>354</v>
      </c>
      <c r="D31" s="11">
        <v>471</v>
      </c>
      <c r="E31" s="11">
        <v>810</v>
      </c>
      <c r="F31" s="11">
        <v>118000</v>
      </c>
      <c r="G31" s="11">
        <f>D31*E31</f>
        <v>381510</v>
      </c>
      <c r="H31" s="11">
        <f>SUMIFS(Table14[Debit], Table14[Date], Table3[[#This Row],[Date]], Table14[Party], Table3[[#This Row],[Party Name]])</f>
        <v>418188</v>
      </c>
      <c r="I31" s="11">
        <f>(D31*E31)-Table3[[#This Row],[Paid]]</f>
        <v>-36678</v>
      </c>
      <c r="L31" s="42" t="s">
        <v>279</v>
      </c>
      <c r="M31" s="14">
        <v>384</v>
      </c>
      <c r="N31" s="14">
        <v>299520</v>
      </c>
      <c r="O31" s="14">
        <v>100000</v>
      </c>
      <c r="P31" s="14">
        <v>199520</v>
      </c>
    </row>
    <row r="32" spans="1:16" hidden="1" x14ac:dyDescent="0.3">
      <c r="A32" s="1">
        <v>45996</v>
      </c>
      <c r="B32" t="s">
        <v>343</v>
      </c>
      <c r="C32" t="s">
        <v>374</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371</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343</v>
      </c>
      <c r="C34" t="s">
        <v>373</v>
      </c>
      <c r="D34" s="11">
        <v>188</v>
      </c>
      <c r="E34" s="11">
        <v>810</v>
      </c>
      <c r="F34" s="11"/>
      <c r="G34" s="11">
        <f t="shared" si="8"/>
        <v>152280</v>
      </c>
      <c r="H34" s="11">
        <f>SUMIFS(Table14[Debit], Table14[Date], Table3[[#This Row],[Date]], Table14[Party], Table3[[#This Row],[Party Name]])</f>
        <v>128500</v>
      </c>
      <c r="I34" s="11">
        <f>(D34*E34)-Table3[[#This Row],[Paid]]</f>
        <v>23780</v>
      </c>
      <c r="L34" s="42" t="s">
        <v>291</v>
      </c>
      <c r="M34" s="14">
        <v>496</v>
      </c>
      <c r="N34" s="14">
        <v>401760</v>
      </c>
      <c r="O34" s="14">
        <v>106000</v>
      </c>
      <c r="P34" s="14">
        <v>295760</v>
      </c>
    </row>
    <row r="35" spans="1:16" x14ac:dyDescent="0.3">
      <c r="A35" s="1">
        <v>45997</v>
      </c>
      <c r="B35" t="s">
        <v>170</v>
      </c>
      <c r="C35" t="s">
        <v>372</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309</v>
      </c>
      <c r="M36" s="14">
        <v>287</v>
      </c>
      <c r="N36" s="14">
        <v>232470</v>
      </c>
      <c r="O36" s="14">
        <v>46100</v>
      </c>
      <c r="P36" s="14">
        <v>186370</v>
      </c>
    </row>
    <row r="37" spans="1:16" hidden="1" x14ac:dyDescent="0.3">
      <c r="A37" s="1">
        <v>45997</v>
      </c>
      <c r="B37" t="s">
        <v>370</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370</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370</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375</v>
      </c>
      <c r="D40" s="11">
        <v>139</v>
      </c>
      <c r="E40" s="11">
        <v>580</v>
      </c>
      <c r="F40" s="11"/>
      <c r="G40" s="11">
        <f>D40*E40</f>
        <v>80620</v>
      </c>
      <c r="H40" s="11"/>
      <c r="I40" s="11">
        <f>(D40*E40)-Table3[[#This Row],[Paid]]</f>
        <v>80620</v>
      </c>
      <c r="L40" s="42" t="s">
        <v>223</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hidden="1" x14ac:dyDescent="0.3">
      <c r="A43" s="1">
        <v>45998</v>
      </c>
      <c r="B43" t="s">
        <v>343</v>
      </c>
      <c r="C43" t="s">
        <v>383</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370</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341</v>
      </c>
      <c r="M45" s="14">
        <v>225</v>
      </c>
      <c r="N45" s="14">
        <v>186750</v>
      </c>
      <c r="O45" s="14">
        <v>50000</v>
      </c>
      <c r="P45" s="14">
        <v>136750</v>
      </c>
    </row>
    <row r="46" spans="1:16" hidden="1" x14ac:dyDescent="0.3">
      <c r="A46" s="1">
        <v>46000</v>
      </c>
      <c r="B46" t="s">
        <v>370</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354</v>
      </c>
      <c r="M47" s="14">
        <v>471</v>
      </c>
      <c r="N47" s="14">
        <v>381510</v>
      </c>
      <c r="O47" s="14">
        <v>418188</v>
      </c>
      <c r="P47" s="14">
        <v>-36678</v>
      </c>
    </row>
    <row r="48" spans="1:16" hidden="1" x14ac:dyDescent="0.3">
      <c r="A48" s="1">
        <v>46000</v>
      </c>
      <c r="B48" t="s">
        <v>343</v>
      </c>
      <c r="C48" t="s">
        <v>403</v>
      </c>
      <c r="D48" s="11">
        <v>170</v>
      </c>
      <c r="E48" s="11">
        <v>810</v>
      </c>
      <c r="F48" s="11"/>
      <c r="G48" s="11">
        <f t="shared" si="9"/>
        <v>137700</v>
      </c>
      <c r="H48" s="11">
        <f>SUMIFS(Table14[Debit], Table14[Date], Table3[[#This Row],[Date]], Table14[Party], Table3[[#This Row],[Party Name]])</f>
        <v>100000</v>
      </c>
      <c r="I48" s="11">
        <f>(D48*E48)-Table3[[#This Row],[Paid]]</f>
        <v>37700</v>
      </c>
      <c r="L48" s="42" t="s">
        <v>373</v>
      </c>
      <c r="M48" s="14">
        <v>195</v>
      </c>
      <c r="N48" s="14">
        <v>161850</v>
      </c>
      <c r="O48" s="14">
        <v>170000</v>
      </c>
      <c r="P48" s="14">
        <v>-8150</v>
      </c>
    </row>
    <row r="49" spans="1:16" hidden="1" x14ac:dyDescent="0.3">
      <c r="A49" s="1">
        <v>46001</v>
      </c>
      <c r="B49" t="s">
        <v>370</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hidden="1" x14ac:dyDescent="0.3">
      <c r="A50" s="1">
        <v>46001</v>
      </c>
      <c r="B50" t="s">
        <v>343</v>
      </c>
      <c r="D50" s="11"/>
      <c r="E50" s="11"/>
      <c r="F50" s="11"/>
      <c r="G50" s="11">
        <f t="shared" si="10"/>
        <v>0</v>
      </c>
      <c r="H50" s="11">
        <f>SUMIFS(Table14[Debit], Table14[Date], Table3[[#This Row],[Date]], Table14[Party], Table3[[#This Row],[Party Name]])</f>
        <v>125000</v>
      </c>
      <c r="I50" s="11">
        <f>(D50*E50)-Table3[[#This Row],[Paid]]</f>
        <v>-125000</v>
      </c>
      <c r="L50" s="42" t="s">
        <v>374</v>
      </c>
      <c r="M50" s="14">
        <v>215</v>
      </c>
      <c r="N50" s="14">
        <v>174150</v>
      </c>
      <c r="O50" s="14">
        <v>40450</v>
      </c>
      <c r="P50" s="14">
        <v>133700</v>
      </c>
    </row>
    <row r="51" spans="1:16" x14ac:dyDescent="0.3">
      <c r="A51" s="1">
        <v>46000</v>
      </c>
      <c r="B51" t="s">
        <v>170</v>
      </c>
      <c r="C51" t="s">
        <v>375</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hidden="1" x14ac:dyDescent="0.3">
      <c r="A52" s="1">
        <v>46002</v>
      </c>
      <c r="B52" t="s">
        <v>343</v>
      </c>
      <c r="C52" t="s">
        <v>373</v>
      </c>
      <c r="D52" s="11">
        <v>186</v>
      </c>
      <c r="E52" s="11">
        <v>810</v>
      </c>
      <c r="F52" s="11"/>
      <c r="G52" s="11">
        <f t="shared" si="10"/>
        <v>150660</v>
      </c>
      <c r="H52" s="11">
        <f>SUMIFS(Table14[Debit], Table14[Date], Table3[[#This Row],[Date]], Table14[Party], Table3[[#This Row],[Party Name]])</f>
        <v>90000</v>
      </c>
      <c r="I52" s="11">
        <f>(D52*E52)-Table3[[#This Row],[Paid]]</f>
        <v>60660</v>
      </c>
      <c r="L52" s="42" t="s">
        <v>375</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hidden="1" x14ac:dyDescent="0.3">
      <c r="A54" s="1">
        <v>46003</v>
      </c>
      <c r="B54" t="s">
        <v>343</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375</v>
      </c>
      <c r="D55" s="11">
        <v>137</v>
      </c>
      <c r="E55" s="11">
        <v>580</v>
      </c>
      <c r="F55" s="11"/>
      <c r="G55" s="11">
        <f t="shared" ref="G55:G66" si="11">D55*E55</f>
        <v>79460</v>
      </c>
      <c r="H55" s="11">
        <f>SUMIFS(Table14[Debit], Table14[Date], Table3[[#This Row],[Date]], Table14[Party], Table3[[#This Row],[Party Name]])</f>
        <v>0</v>
      </c>
      <c r="I55" s="11">
        <f>(D55*E55)-Table3[[#This Row],[Paid]]</f>
        <v>79460</v>
      </c>
      <c r="L55" s="42" t="s">
        <v>373</v>
      </c>
      <c r="M55" s="14">
        <v>188</v>
      </c>
      <c r="N55" s="14">
        <v>152280</v>
      </c>
      <c r="O55" s="14">
        <v>128500</v>
      </c>
      <c r="P55" s="14">
        <v>23780</v>
      </c>
    </row>
    <row r="56" spans="1:16" hidden="1" x14ac:dyDescent="0.3">
      <c r="A56" s="1">
        <v>46005</v>
      </c>
      <c r="B56" t="s">
        <v>370</v>
      </c>
      <c r="C56">
        <v>8618</v>
      </c>
      <c r="D56" s="11">
        <v>66</v>
      </c>
      <c r="E56" s="11">
        <v>720</v>
      </c>
      <c r="F56" s="11"/>
      <c r="G56" s="11">
        <f t="shared" si="11"/>
        <v>47520</v>
      </c>
      <c r="H56" s="11">
        <f>SUMIFS(Table14[Debit], Table14[Date], Table3[[#This Row],[Date]], Table14[Party], Table3[[#This Row],[Party Name]])</f>
        <v>40000</v>
      </c>
      <c r="I56" s="11">
        <f>(D56*E56)-Table3[[#This Row],[Paid]]</f>
        <v>7520</v>
      </c>
      <c r="L56" s="42" t="s">
        <v>371</v>
      </c>
      <c r="M56" s="14">
        <v>61</v>
      </c>
      <c r="N56" s="14">
        <v>49410</v>
      </c>
      <c r="O56" s="14">
        <v>200510</v>
      </c>
      <c r="P56" s="14">
        <v>-151100</v>
      </c>
    </row>
    <row r="57" spans="1:16" hidden="1" x14ac:dyDescent="0.3">
      <c r="A57" s="1">
        <v>46005</v>
      </c>
      <c r="B57" t="s">
        <v>343</v>
      </c>
      <c r="C57" t="s">
        <v>373</v>
      </c>
      <c r="D57" s="11">
        <v>207</v>
      </c>
      <c r="E57" s="11">
        <v>810</v>
      </c>
      <c r="F57" s="11"/>
      <c r="G57" s="11">
        <f t="shared" si="11"/>
        <v>167670</v>
      </c>
      <c r="H57" s="11">
        <f>SUMIFS(Table14[Debit], Table14[Date], Table3[[#This Row],[Date]], Table14[Party], Table3[[#This Row],[Party Name]])</f>
        <v>0</v>
      </c>
      <c r="I57" s="11">
        <f>(D57*E57)-Table3[[#This Row],[Paid]]</f>
        <v>167670</v>
      </c>
      <c r="L57" s="42" t="s">
        <v>372</v>
      </c>
      <c r="M57" s="14">
        <v>134</v>
      </c>
      <c r="N57" s="14">
        <v>77720</v>
      </c>
      <c r="O57" s="14">
        <v>150000</v>
      </c>
      <c r="P57" s="14">
        <v>-72280</v>
      </c>
    </row>
    <row r="58" spans="1:16" x14ac:dyDescent="0.3">
      <c r="A58" s="1">
        <v>46004</v>
      </c>
      <c r="B58" t="s">
        <v>170</v>
      </c>
      <c r="C58" t="s">
        <v>375</v>
      </c>
      <c r="D58" s="11">
        <v>83</v>
      </c>
      <c r="E58" s="11">
        <v>775</v>
      </c>
      <c r="F58" s="11"/>
      <c r="G58" s="11">
        <f>D58*E58</f>
        <v>64325</v>
      </c>
      <c r="H58" s="11"/>
      <c r="I58" s="11">
        <f>(D58*E58)-Table3[[#This Row],[Paid]]</f>
        <v>64325</v>
      </c>
      <c r="L58" s="42">
        <v>8618</v>
      </c>
      <c r="M58" s="14">
        <v>317</v>
      </c>
      <c r="N58" s="14">
        <v>228240</v>
      </c>
      <c r="O58" s="14">
        <v>100000</v>
      </c>
      <c r="P58" s="14">
        <v>128240</v>
      </c>
    </row>
    <row r="59" spans="1:16" x14ac:dyDescent="0.3">
      <c r="A59" s="1">
        <v>46004</v>
      </c>
      <c r="B59" t="s">
        <v>170</v>
      </c>
      <c r="C59" t="s">
        <v>375</v>
      </c>
      <c r="D59" s="11">
        <v>57</v>
      </c>
      <c r="E59" s="11">
        <v>580</v>
      </c>
      <c r="F59" s="11"/>
      <c r="G59" s="11">
        <f t="shared" si="11"/>
        <v>33060</v>
      </c>
      <c r="H59" s="11">
        <f>SUMIFS(Table14[Debit], Table14[Date], Table3[[#This Row],[Date]], Table14[Party], Table3[[#This Row],[Party Name]])</f>
        <v>0</v>
      </c>
      <c r="I59" s="11">
        <f>(D59*E59)-Table3[[#This Row],[Paid]]</f>
        <v>33060</v>
      </c>
      <c r="L59" s="42" t="s">
        <v>98</v>
      </c>
      <c r="M59" s="14">
        <v>128</v>
      </c>
      <c r="N59" s="14">
        <v>74240</v>
      </c>
      <c r="O59" s="14"/>
      <c r="P59" s="14">
        <v>74240</v>
      </c>
    </row>
    <row r="60" spans="1:16" hidden="1" x14ac:dyDescent="0.3">
      <c r="A60" s="1">
        <v>46006</v>
      </c>
      <c r="B60" t="s">
        <v>343</v>
      </c>
      <c r="D60" s="11"/>
      <c r="E60" s="11"/>
      <c r="F60" s="11"/>
      <c r="G60" s="11">
        <f t="shared" si="11"/>
        <v>0</v>
      </c>
      <c r="H60" s="11">
        <f>SUMIFS(Table14[Debit], Table14[Date], Table3[[#This Row],[Date]], Table14[Party], Table3[[#This Row],[Party Name]])</f>
        <v>150000</v>
      </c>
      <c r="I60" s="11">
        <f>(D60*E60)-Table3[[#This Row],[Paid]]</f>
        <v>-150000</v>
      </c>
      <c r="L60" s="26">
        <v>45998</v>
      </c>
      <c r="M60" s="14">
        <v>337</v>
      </c>
      <c r="N60" s="14">
        <v>239390</v>
      </c>
      <c r="O60" s="14">
        <v>0</v>
      </c>
      <c r="P60" s="14">
        <v>239390</v>
      </c>
    </row>
    <row r="61" spans="1:16" x14ac:dyDescent="0.3">
      <c r="A61" s="1">
        <v>46006</v>
      </c>
      <c r="B61" t="s">
        <v>170</v>
      </c>
      <c r="D61" s="11"/>
      <c r="E61" s="11"/>
      <c r="F61" s="11"/>
      <c r="G61" s="11">
        <f t="shared" si="11"/>
        <v>0</v>
      </c>
      <c r="H61" s="11"/>
      <c r="I61" s="11">
        <f>(D61*E61)-Table3[[#This Row],[Paid]]</f>
        <v>0</v>
      </c>
      <c r="L61" s="42" t="s">
        <v>98</v>
      </c>
      <c r="M61" s="14">
        <v>146</v>
      </c>
      <c r="N61" s="14">
        <v>84680</v>
      </c>
      <c r="O61" s="14"/>
      <c r="P61" s="14">
        <v>84680</v>
      </c>
    </row>
    <row r="62" spans="1:16" hidden="1" x14ac:dyDescent="0.3">
      <c r="A62" s="1">
        <v>46006</v>
      </c>
      <c r="B62" t="s">
        <v>150</v>
      </c>
      <c r="C62" t="s">
        <v>254</v>
      </c>
      <c r="D62" s="11">
        <v>36</v>
      </c>
      <c r="E62" s="11">
        <v>580</v>
      </c>
      <c r="F62" s="11"/>
      <c r="G62" s="11">
        <f t="shared" si="11"/>
        <v>20880</v>
      </c>
      <c r="H62" s="11">
        <f>SUMIFS(Table14[Debit], Table14[Date], Table3[[#This Row],[Date]], Table14[Party], Table3[[#This Row],[Party Name]])</f>
        <v>0</v>
      </c>
      <c r="I62" s="11">
        <f>(D62*E62)-Table3[[#This Row],[Paid]]</f>
        <v>20880</v>
      </c>
      <c r="L62" s="42" t="s">
        <v>383</v>
      </c>
      <c r="M62" s="14">
        <v>191</v>
      </c>
      <c r="N62" s="14">
        <v>154710</v>
      </c>
      <c r="O62" s="14">
        <v>0</v>
      </c>
      <c r="P62" s="14">
        <v>154710</v>
      </c>
    </row>
    <row r="63" spans="1:16" hidden="1" x14ac:dyDescent="0.3">
      <c r="A63" s="1">
        <v>46006</v>
      </c>
      <c r="B63" t="s">
        <v>150</v>
      </c>
      <c r="C63" t="s">
        <v>254</v>
      </c>
      <c r="D63" s="11">
        <v>40</v>
      </c>
      <c r="E63" s="11">
        <v>580</v>
      </c>
      <c r="F63" s="11"/>
      <c r="G63" s="11">
        <f t="shared" si="11"/>
        <v>23200</v>
      </c>
      <c r="H63" s="11">
        <f>SUMIFS(Table14[Debit], Table14[Date], Table3[[#This Row],[Date]], Table14[Party], Table3[[#This Row],[Party Name]])</f>
        <v>0</v>
      </c>
      <c r="I63" s="11">
        <f>(D63*E63)-Table3[[#This Row],[Paid]]</f>
        <v>23200</v>
      </c>
      <c r="L63" s="26">
        <v>45999</v>
      </c>
      <c r="M63" s="14">
        <v>172</v>
      </c>
      <c r="N63" s="14">
        <v>99760</v>
      </c>
      <c r="O63" s="14">
        <v>120000</v>
      </c>
      <c r="P63" s="14">
        <v>-20240</v>
      </c>
    </row>
    <row r="64" spans="1:16" hidden="1" x14ac:dyDescent="0.3">
      <c r="A64" s="1">
        <v>46006</v>
      </c>
      <c r="B64" t="s">
        <v>343</v>
      </c>
      <c r="C64" t="s">
        <v>373</v>
      </c>
      <c r="D64" s="11">
        <v>180</v>
      </c>
      <c r="E64" s="11">
        <v>810</v>
      </c>
      <c r="F64" s="11"/>
      <c r="G64" s="11">
        <f>D64*E64</f>
        <v>145800</v>
      </c>
      <c r="H64" s="11"/>
      <c r="I64" s="11">
        <f>(D64*E64)-Table3[[#This Row],[Paid]]</f>
        <v>145800</v>
      </c>
      <c r="L64" s="42">
        <v>8618</v>
      </c>
      <c r="M64" s="14">
        <v>172</v>
      </c>
      <c r="N64" s="14">
        <v>99760</v>
      </c>
      <c r="O64" s="14">
        <v>120000</v>
      </c>
      <c r="P64" s="14">
        <v>-20240</v>
      </c>
    </row>
    <row r="65" spans="1:16" x14ac:dyDescent="0.3">
      <c r="A65" s="1">
        <v>46006</v>
      </c>
      <c r="B65" t="s">
        <v>170</v>
      </c>
      <c r="C65" t="s">
        <v>442</v>
      </c>
      <c r="D65" s="11">
        <v>73</v>
      </c>
      <c r="E65" s="11">
        <v>775</v>
      </c>
      <c r="F65" s="11"/>
      <c r="G65" s="11">
        <f>D65*E65</f>
        <v>56575</v>
      </c>
      <c r="H65" s="11"/>
      <c r="I65" s="11">
        <f>(D65*E65)-Table3[[#This Row],[Paid]]</f>
        <v>56575</v>
      </c>
      <c r="L65" s="26">
        <v>46000</v>
      </c>
      <c r="M65" s="14">
        <v>308</v>
      </c>
      <c r="N65" s="14">
        <v>217740</v>
      </c>
      <c r="O65" s="14">
        <v>470050</v>
      </c>
      <c r="P65" s="14">
        <v>-252310</v>
      </c>
    </row>
    <row r="66" spans="1:16" x14ac:dyDescent="0.3">
      <c r="A66" s="1">
        <v>46006</v>
      </c>
      <c r="B66" t="s">
        <v>170</v>
      </c>
      <c r="C66" t="s">
        <v>442</v>
      </c>
      <c r="D66" s="11">
        <v>306</v>
      </c>
      <c r="E66" s="11">
        <v>580</v>
      </c>
      <c r="F66" s="11"/>
      <c r="G66" s="11">
        <f t="shared" si="11"/>
        <v>177480</v>
      </c>
      <c r="H66" s="11">
        <f>SUMIFS(Table14[Debit], Table14[Date], Table3[[#This Row],[Date]], Table14[Party], Table3[[#This Row],[Party Name]])</f>
        <v>100000</v>
      </c>
      <c r="I66" s="11">
        <f>(D66*E66)-Table3[[#This Row],[Paid]]</f>
        <v>77480</v>
      </c>
      <c r="L66" s="42" t="s">
        <v>104</v>
      </c>
      <c r="M66" s="14"/>
      <c r="N66" s="14">
        <v>0</v>
      </c>
      <c r="O66" s="14">
        <v>370050</v>
      </c>
      <c r="P66" s="14">
        <v>-370050</v>
      </c>
    </row>
    <row r="67" spans="1:16" hidden="1" x14ac:dyDescent="0.3">
      <c r="A67" s="1">
        <v>46007</v>
      </c>
      <c r="B67" t="s">
        <v>95</v>
      </c>
      <c r="C67" t="s">
        <v>223</v>
      </c>
      <c r="D67" s="11">
        <v>363</v>
      </c>
      <c r="E67" s="11">
        <v>810</v>
      </c>
      <c r="F67" s="11">
        <v>63500</v>
      </c>
      <c r="G67" s="11">
        <f t="shared" ref="G67:G71" si="12">D67*E67</f>
        <v>294030</v>
      </c>
      <c r="H67" s="11">
        <f>SUMIFS(Table14[Debit], Table14[Date], Table3[[#This Row],[Date]], Table14[Party], Table3[[#This Row],[Party Name]])</f>
        <v>211500</v>
      </c>
      <c r="I67" s="11">
        <f>(D67*E67)-Table3[[#This Row],[Paid]]</f>
        <v>82530</v>
      </c>
      <c r="L67" s="42" t="s">
        <v>373</v>
      </c>
      <c r="M67" s="14">
        <v>170</v>
      </c>
      <c r="N67" s="14">
        <v>137700</v>
      </c>
      <c r="O67" s="14">
        <v>100000</v>
      </c>
      <c r="P67" s="14">
        <v>37700</v>
      </c>
    </row>
    <row r="68" spans="1:16" hidden="1" x14ac:dyDescent="0.3">
      <c r="A68" s="1">
        <v>46007</v>
      </c>
      <c r="B68" t="s">
        <v>178</v>
      </c>
      <c r="D68" s="11"/>
      <c r="E68" s="11"/>
      <c r="F68" s="11"/>
      <c r="G68" s="11">
        <f t="shared" si="12"/>
        <v>0</v>
      </c>
      <c r="H68" s="11">
        <f>SUMIFS(Table14[Debit], Table14[Date], Table3[[#This Row],[Date]], Table14[Party], Table3[[#This Row],[Party Name]])</f>
        <v>1000</v>
      </c>
      <c r="I68" s="11">
        <f>(D68*E68)-Table3[[#This Row],[Paid]]</f>
        <v>-1000</v>
      </c>
      <c r="L68" s="42" t="s">
        <v>375</v>
      </c>
      <c r="M68" s="14">
        <v>138</v>
      </c>
      <c r="N68" s="14">
        <v>80040</v>
      </c>
      <c r="O68" s="14">
        <v>0</v>
      </c>
      <c r="P68" s="14">
        <v>80040</v>
      </c>
    </row>
    <row r="69" spans="1:16" x14ac:dyDescent="0.3">
      <c r="A69" s="1">
        <v>46007</v>
      </c>
      <c r="B69" t="s">
        <v>170</v>
      </c>
      <c r="D69" s="11"/>
      <c r="E69" s="11"/>
      <c r="F69" s="11"/>
      <c r="G69" s="11">
        <f t="shared" si="12"/>
        <v>0</v>
      </c>
      <c r="H69" s="11">
        <f>SUMIFS(Table14[Debit], Table14[Date], Table3[[#This Row],[Date]], Table14[Party], Table3[[#This Row],[Party Name]])</f>
        <v>151072</v>
      </c>
      <c r="I69" s="11">
        <f>(D69*E69)-Table3[[#This Row],[Paid]]</f>
        <v>-151072</v>
      </c>
      <c r="L69" s="26">
        <v>46001</v>
      </c>
      <c r="M69" s="14"/>
      <c r="N69" s="14">
        <v>0</v>
      </c>
      <c r="O69" s="14">
        <v>227000</v>
      </c>
      <c r="P69" s="14">
        <v>-227000</v>
      </c>
    </row>
    <row r="70" spans="1:16" hidden="1" x14ac:dyDescent="0.3">
      <c r="A70" s="1">
        <v>46007</v>
      </c>
      <c r="B70" t="s">
        <v>343</v>
      </c>
      <c r="C70" t="s">
        <v>457</v>
      </c>
      <c r="D70" s="11">
        <v>233</v>
      </c>
      <c r="E70" s="11">
        <v>830</v>
      </c>
      <c r="F70" s="11">
        <v>46600</v>
      </c>
      <c r="G70" s="11">
        <f t="shared" si="12"/>
        <v>193390</v>
      </c>
      <c r="H70" s="11">
        <f>SUMIFS(Table14[Debit], Table14[Date], Table3[[#This Row],[Date]], Table14[Party], Table3[[#This Row],[Party Name]])</f>
        <v>47600</v>
      </c>
      <c r="I70" s="11">
        <f>(D70*E70)-Table3[[#This Row],[Paid]]</f>
        <v>145790</v>
      </c>
      <c r="L70" s="42" t="s">
        <v>104</v>
      </c>
      <c r="M70" s="14"/>
      <c r="N70" s="14">
        <v>0</v>
      </c>
      <c r="O70" s="14">
        <v>227000</v>
      </c>
      <c r="P70" s="14">
        <v>-227000</v>
      </c>
    </row>
    <row r="71" spans="1:16" hidden="1" x14ac:dyDescent="0.3">
      <c r="A71" s="1">
        <v>46008</v>
      </c>
      <c r="B71" t="s">
        <v>95</v>
      </c>
      <c r="D71" s="11"/>
      <c r="E71" s="11"/>
      <c r="F71" s="11"/>
      <c r="G71" s="11">
        <f t="shared" si="12"/>
        <v>0</v>
      </c>
      <c r="H71" s="11">
        <f>SUMIFS(Table14[Debit], Table14[Date], Table3[[#This Row],[Date]], Table14[Party], Table3[[#This Row],[Party Name]])</f>
        <v>266000</v>
      </c>
      <c r="I71" s="11">
        <f>(D71*E71)-Table3[[#This Row],[Paid]]</f>
        <v>-266000</v>
      </c>
      <c r="L71" s="26">
        <v>46002</v>
      </c>
      <c r="M71" s="14">
        <v>186</v>
      </c>
      <c r="N71" s="14">
        <v>150660</v>
      </c>
      <c r="O71" s="14">
        <v>240500</v>
      </c>
      <c r="P71" s="14">
        <v>-89840</v>
      </c>
    </row>
    <row r="72" spans="1:16" hidden="1" x14ac:dyDescent="0.3">
      <c r="A72" s="1">
        <v>46008</v>
      </c>
      <c r="B72" t="s">
        <v>343</v>
      </c>
      <c r="D72" s="11"/>
      <c r="E72" s="11"/>
      <c r="F72" s="11"/>
      <c r="G72" s="11">
        <f t="shared" ref="G72:G74" si="13">D72*E72</f>
        <v>0</v>
      </c>
      <c r="H72" s="11">
        <f>SUMIFS(Table14[Debit], Table14[Date], Table3[[#This Row],[Date]], Table14[Party], Table3[[#This Row],[Party Name]])</f>
        <v>76000</v>
      </c>
      <c r="I72" s="11">
        <f>(D72*E72)-Table3[[#This Row],[Paid]]</f>
        <v>-76000</v>
      </c>
      <c r="L72" s="42" t="s">
        <v>104</v>
      </c>
      <c r="M72" s="14"/>
      <c r="N72" s="14">
        <v>0</v>
      </c>
      <c r="O72" s="14">
        <v>150500</v>
      </c>
      <c r="P72" s="14">
        <v>-150500</v>
      </c>
    </row>
    <row r="73" spans="1:16" x14ac:dyDescent="0.3">
      <c r="A73" s="1">
        <v>46008</v>
      </c>
      <c r="B73" t="s">
        <v>170</v>
      </c>
      <c r="C73" t="s">
        <v>375</v>
      </c>
      <c r="D73" s="11">
        <v>92</v>
      </c>
      <c r="E73" s="11">
        <v>775</v>
      </c>
      <c r="F73" s="11"/>
      <c r="G73" s="11">
        <f>D73*E73</f>
        <v>71300</v>
      </c>
      <c r="H73" s="11"/>
      <c r="I73" s="11">
        <f>(D73*E73)-Table3[[#This Row],[Paid]]</f>
        <v>71300</v>
      </c>
      <c r="L73" s="42" t="s">
        <v>373</v>
      </c>
      <c r="M73" s="14">
        <v>186</v>
      </c>
      <c r="N73" s="14">
        <v>150660</v>
      </c>
      <c r="O73" s="14">
        <v>90000</v>
      </c>
      <c r="P73" s="14">
        <v>60660</v>
      </c>
    </row>
    <row r="74" spans="1:16" x14ac:dyDescent="0.3">
      <c r="A74" s="1">
        <v>46008</v>
      </c>
      <c r="B74" t="s">
        <v>170</v>
      </c>
      <c r="C74" t="s">
        <v>375</v>
      </c>
      <c r="D74" s="11">
        <v>54</v>
      </c>
      <c r="E74" s="11">
        <v>580</v>
      </c>
      <c r="F74" s="11"/>
      <c r="G74" s="11">
        <f t="shared" si="13"/>
        <v>31320</v>
      </c>
      <c r="H74" s="11">
        <f>SUMIFS(Table14[Debit], Table14[Date], Table3[[#This Row],[Date]], Table14[Party], Table3[[#This Row],[Party Name]])</f>
        <v>0</v>
      </c>
      <c r="I74" s="11">
        <f>(D74*E74)-Table3[[#This Row],[Paid]]</f>
        <v>31320</v>
      </c>
      <c r="L74" s="26">
        <v>46003</v>
      </c>
      <c r="M74" s="14">
        <v>137</v>
      </c>
      <c r="N74" s="14">
        <v>79460</v>
      </c>
      <c r="O74" s="14">
        <v>190000</v>
      </c>
      <c r="P74" s="14">
        <v>-110540</v>
      </c>
    </row>
    <row r="75" spans="1:16" x14ac:dyDescent="0.3">
      <c r="A75" s="1"/>
      <c r="D75" s="14"/>
      <c r="E75" s="14"/>
      <c r="F75" s="14"/>
      <c r="G75" s="14">
        <f>SUBTOTAL(109,Table3[Total])</f>
        <v>1028620</v>
      </c>
      <c r="H75" s="14">
        <f>SUBTOTAL(109,Table3[Paid])</f>
        <v>728572</v>
      </c>
      <c r="I75" s="14">
        <f>SUBTOTAL(109,Table3[balance])</f>
        <v>650823</v>
      </c>
      <c r="L75" s="42" t="s">
        <v>104</v>
      </c>
      <c r="M75" s="14"/>
      <c r="N75" s="14">
        <v>0</v>
      </c>
      <c r="O75" s="14">
        <v>190000</v>
      </c>
      <c r="P75" s="14">
        <v>-190000</v>
      </c>
    </row>
    <row r="76" spans="1:16" x14ac:dyDescent="0.3">
      <c r="L76" s="42" t="s">
        <v>375</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373</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0:16" x14ac:dyDescent="0.3">
      <c r="L81" s="42" t="s">
        <v>375</v>
      </c>
      <c r="M81" s="14">
        <v>140</v>
      </c>
      <c r="N81" s="14">
        <v>81200</v>
      </c>
      <c r="O81" s="14">
        <v>0</v>
      </c>
      <c r="P81" s="14">
        <v>81200</v>
      </c>
    </row>
    <row r="82" spans="10:16" x14ac:dyDescent="0.3">
      <c r="L82" s="26">
        <v>46006</v>
      </c>
      <c r="M82" s="14">
        <v>634</v>
      </c>
      <c r="N82" s="14">
        <v>409120</v>
      </c>
      <c r="O82" s="14">
        <v>250000</v>
      </c>
      <c r="P82" s="14">
        <v>159120</v>
      </c>
    </row>
    <row r="83" spans="10:16" x14ac:dyDescent="0.3">
      <c r="L83" s="42" t="s">
        <v>104</v>
      </c>
      <c r="M83" s="14"/>
      <c r="N83" s="14">
        <v>0</v>
      </c>
      <c r="O83" s="14">
        <v>150000</v>
      </c>
      <c r="P83" s="14">
        <v>-150000</v>
      </c>
    </row>
    <row r="84" spans="10:16" x14ac:dyDescent="0.3">
      <c r="J84" t="str" cm="1">
        <f t="array" ref="J84:J91">_xlfn.UNIQUE(K84:K153)</f>
        <v>Malik Zaheer</v>
      </c>
      <c r="K84" s="136" t="s">
        <v>95</v>
      </c>
      <c r="L84" s="42" t="s">
        <v>254</v>
      </c>
      <c r="M84" s="14">
        <v>76</v>
      </c>
      <c r="N84" s="14">
        <v>44080</v>
      </c>
      <c r="O84" s="14">
        <v>0</v>
      </c>
      <c r="P84" s="14">
        <v>44080</v>
      </c>
    </row>
    <row r="85" spans="10:16" x14ac:dyDescent="0.3">
      <c r="J85" t="str">
        <v>Aqib</v>
      </c>
      <c r="K85" s="137" t="s">
        <v>97</v>
      </c>
      <c r="L85" s="42" t="s">
        <v>373</v>
      </c>
      <c r="M85" s="14">
        <v>180</v>
      </c>
      <c r="N85" s="14">
        <v>145800</v>
      </c>
      <c r="O85" s="14"/>
      <c r="P85" s="14">
        <v>145800</v>
      </c>
    </row>
    <row r="86" spans="10:16" x14ac:dyDescent="0.3">
      <c r="J86" t="str">
        <v>Rafaqat</v>
      </c>
      <c r="K86" s="136" t="s">
        <v>150</v>
      </c>
      <c r="L86" s="42" t="s">
        <v>442</v>
      </c>
      <c r="M86" s="14">
        <v>378</v>
      </c>
      <c r="N86" s="14">
        <v>219240</v>
      </c>
      <c r="O86" s="14">
        <v>100000</v>
      </c>
      <c r="P86" s="14">
        <v>119240</v>
      </c>
    </row>
    <row r="87" spans="10:16" x14ac:dyDescent="0.3">
      <c r="J87" t="str">
        <v>Kaleem ullah</v>
      </c>
      <c r="K87" s="137" t="s">
        <v>170</v>
      </c>
      <c r="L87" s="26">
        <v>46007</v>
      </c>
      <c r="M87" s="14">
        <v>596</v>
      </c>
      <c r="N87" s="14">
        <v>482760</v>
      </c>
      <c r="O87" s="14">
        <v>411172</v>
      </c>
      <c r="P87" s="14">
        <v>71588</v>
      </c>
    </row>
    <row r="88" spans="10:16" x14ac:dyDescent="0.3">
      <c r="J88" t="str">
        <v>Ishaq</v>
      </c>
      <c r="K88" s="138" t="s">
        <v>178</v>
      </c>
      <c r="L88" s="42" t="s">
        <v>104</v>
      </c>
      <c r="M88" s="14"/>
      <c r="N88" s="14">
        <v>0</v>
      </c>
      <c r="O88" s="14">
        <v>152072</v>
      </c>
      <c r="P88" s="14">
        <v>-152072</v>
      </c>
    </row>
    <row r="89" spans="10:16" x14ac:dyDescent="0.3">
      <c r="J89" t="str">
        <v>Aurangzeb</v>
      </c>
      <c r="K89" s="139" t="s">
        <v>192</v>
      </c>
      <c r="L89" s="42" t="s">
        <v>223</v>
      </c>
      <c r="M89" s="14">
        <v>363</v>
      </c>
      <c r="N89" s="14">
        <v>294030</v>
      </c>
      <c r="O89" s="14">
        <v>211500</v>
      </c>
      <c r="P89" s="14">
        <v>82530</v>
      </c>
    </row>
    <row r="90" spans="10:16" x14ac:dyDescent="0.3">
      <c r="J90" t="str">
        <v>Irfan Punjabi</v>
      </c>
      <c r="K90" s="134" t="s">
        <v>95</v>
      </c>
      <c r="L90" s="42" t="s">
        <v>457</v>
      </c>
      <c r="M90" s="14">
        <v>233</v>
      </c>
      <c r="N90" s="14">
        <v>188730</v>
      </c>
      <c r="O90" s="14">
        <v>47600</v>
      </c>
      <c r="P90" s="14">
        <v>141130</v>
      </c>
    </row>
    <row r="91" spans="10:16" x14ac:dyDescent="0.3">
      <c r="J91" t="str">
        <v>Amjad wood</v>
      </c>
      <c r="K91" s="135" t="s">
        <v>170</v>
      </c>
      <c r="L91" s="26">
        <v>46008</v>
      </c>
      <c r="M91" s="14">
        <v>146</v>
      </c>
      <c r="N91" s="14">
        <v>84680</v>
      </c>
      <c r="O91" s="14">
        <v>342000</v>
      </c>
      <c r="P91" s="14">
        <v>-257320</v>
      </c>
    </row>
    <row r="92" spans="10:16" x14ac:dyDescent="0.3">
      <c r="K92" s="134" t="s">
        <v>192</v>
      </c>
      <c r="L92" s="42" t="s">
        <v>104</v>
      </c>
      <c r="M92" s="14"/>
      <c r="N92" s="14">
        <v>0</v>
      </c>
      <c r="O92" s="14">
        <v>342000</v>
      </c>
      <c r="P92" s="14">
        <v>-342000</v>
      </c>
    </row>
    <row r="93" spans="10:16" x14ac:dyDescent="0.3">
      <c r="K93" s="135" t="s">
        <v>95</v>
      </c>
      <c r="L93" s="42" t="s">
        <v>375</v>
      </c>
      <c r="M93" s="14">
        <v>146</v>
      </c>
      <c r="N93" s="14">
        <v>84680</v>
      </c>
      <c r="O93" s="14">
        <v>0</v>
      </c>
      <c r="P93" s="14">
        <v>84680</v>
      </c>
    </row>
    <row r="94" spans="10:16" x14ac:dyDescent="0.3">
      <c r="K94" s="134" t="s">
        <v>95</v>
      </c>
      <c r="L94" s="26" t="s">
        <v>28</v>
      </c>
      <c r="M94" s="14">
        <v>8970</v>
      </c>
      <c r="N94" s="14">
        <v>6752410</v>
      </c>
      <c r="O94" s="14">
        <v>6809035</v>
      </c>
      <c r="P94" s="14">
        <v>3267828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343</v>
      </c>
    </row>
    <row r="112" spans="11:11" x14ac:dyDescent="0.3">
      <c r="K112" s="134" t="s">
        <v>343</v>
      </c>
    </row>
    <row r="113" spans="11:11" x14ac:dyDescent="0.3">
      <c r="K113" s="135" t="s">
        <v>95</v>
      </c>
    </row>
    <row r="114" spans="11:11" x14ac:dyDescent="0.3">
      <c r="K114" s="134" t="s">
        <v>343</v>
      </c>
    </row>
    <row r="115" spans="11:11" x14ac:dyDescent="0.3">
      <c r="K115" s="135" t="s">
        <v>95</v>
      </c>
    </row>
    <row r="116" spans="11:11" x14ac:dyDescent="0.3">
      <c r="K116" s="134" t="s">
        <v>343</v>
      </c>
    </row>
    <row r="117" spans="11:11" x14ac:dyDescent="0.3">
      <c r="K117" s="135" t="s">
        <v>170</v>
      </c>
    </row>
    <row r="118" spans="11:11" x14ac:dyDescent="0.3">
      <c r="K118" s="134" t="s">
        <v>150</v>
      </c>
    </row>
    <row r="119" spans="11:11" x14ac:dyDescent="0.3">
      <c r="K119" s="135" t="s">
        <v>370</v>
      </c>
    </row>
    <row r="120" spans="11:11" x14ac:dyDescent="0.3">
      <c r="K120" s="134" t="s">
        <v>370</v>
      </c>
    </row>
    <row r="121" spans="11:11" x14ac:dyDescent="0.3">
      <c r="K121" s="135" t="s">
        <v>370</v>
      </c>
    </row>
    <row r="122" spans="11:11" x14ac:dyDescent="0.3">
      <c r="K122" s="134" t="s">
        <v>170</v>
      </c>
    </row>
    <row r="123" spans="11:11" x14ac:dyDescent="0.3">
      <c r="K123" s="135" t="s">
        <v>170</v>
      </c>
    </row>
    <row r="124" spans="11:11" x14ac:dyDescent="0.3">
      <c r="K124" s="134" t="s">
        <v>170</v>
      </c>
    </row>
    <row r="125" spans="11:11" x14ac:dyDescent="0.3">
      <c r="K125" s="135" t="s">
        <v>343</v>
      </c>
    </row>
    <row r="126" spans="11:11" x14ac:dyDescent="0.3">
      <c r="K126" s="134" t="s">
        <v>370</v>
      </c>
    </row>
    <row r="127" spans="11:11" x14ac:dyDescent="0.3">
      <c r="K127" s="135" t="s">
        <v>95</v>
      </c>
    </row>
    <row r="128" spans="11:11" x14ac:dyDescent="0.3">
      <c r="K128" s="134" t="s">
        <v>370</v>
      </c>
    </row>
    <row r="129" spans="11:11" x14ac:dyDescent="0.3">
      <c r="K129" s="135" t="s">
        <v>178</v>
      </c>
    </row>
    <row r="130" spans="11:11" x14ac:dyDescent="0.3">
      <c r="K130" s="134" t="s">
        <v>343</v>
      </c>
    </row>
    <row r="131" spans="11:11" x14ac:dyDescent="0.3">
      <c r="K131" s="135" t="s">
        <v>370</v>
      </c>
    </row>
    <row r="132" spans="11:11" x14ac:dyDescent="0.3">
      <c r="K132" s="134" t="s">
        <v>343</v>
      </c>
    </row>
    <row r="133" spans="11:11" x14ac:dyDescent="0.3">
      <c r="K133" s="135" t="s">
        <v>170</v>
      </c>
    </row>
    <row r="134" spans="11:11" x14ac:dyDescent="0.3">
      <c r="K134" s="134" t="s">
        <v>343</v>
      </c>
    </row>
    <row r="135" spans="11:11" x14ac:dyDescent="0.3">
      <c r="K135" s="135" t="s">
        <v>170</v>
      </c>
    </row>
    <row r="136" spans="11:11" x14ac:dyDescent="0.3">
      <c r="K136" s="134" t="s">
        <v>343</v>
      </c>
    </row>
    <row r="137" spans="11:11" x14ac:dyDescent="0.3">
      <c r="K137" s="135" t="s">
        <v>170</v>
      </c>
    </row>
    <row r="138" spans="11:11" x14ac:dyDescent="0.3">
      <c r="K138" s="134" t="s">
        <v>370</v>
      </c>
    </row>
    <row r="139" spans="11:11" x14ac:dyDescent="0.3">
      <c r="K139" s="135" t="s">
        <v>343</v>
      </c>
    </row>
    <row r="140" spans="11:11" x14ac:dyDescent="0.3">
      <c r="K140" s="134" t="s">
        <v>170</v>
      </c>
    </row>
    <row r="141" spans="11:11" x14ac:dyDescent="0.3">
      <c r="K141" s="135" t="s">
        <v>343</v>
      </c>
    </row>
    <row r="142" spans="11:11" x14ac:dyDescent="0.3">
      <c r="K142" s="134" t="s">
        <v>170</v>
      </c>
    </row>
    <row r="143" spans="11:11" x14ac:dyDescent="0.3">
      <c r="K143" s="135" t="s">
        <v>150</v>
      </c>
    </row>
    <row r="144" spans="11:11" x14ac:dyDescent="0.3">
      <c r="K144" s="134" t="s">
        <v>150</v>
      </c>
    </row>
    <row r="145" spans="11:11" x14ac:dyDescent="0.3">
      <c r="K145" s="135" t="s">
        <v>343</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343</v>
      </c>
    </row>
    <row r="151" spans="11:11" x14ac:dyDescent="0.3">
      <c r="K151" s="135" t="s">
        <v>95</v>
      </c>
    </row>
    <row r="152" spans="11:11" x14ac:dyDescent="0.3">
      <c r="K152" s="134" t="s">
        <v>343</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08"/>
  <sheetViews>
    <sheetView tabSelected="1" topLeftCell="A493" zoomScale="160" workbookViewId="0">
      <selection activeCell="C508" sqref="C50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202</v>
      </c>
      <c r="C2" s="11"/>
      <c r="D2" s="87">
        <f>[1]Cashbook!$N$5</f>
        <v>6489605</v>
      </c>
      <c r="E2" s="81"/>
      <c r="F2" s="88" t="s">
        <v>109</v>
      </c>
    </row>
    <row r="3" spans="1:16" x14ac:dyDescent="0.3">
      <c r="A3" s="86">
        <v>45947</v>
      </c>
      <c r="B3" s="81" t="s">
        <v>203</v>
      </c>
      <c r="C3" s="11"/>
      <c r="D3" s="87">
        <f>[1]Cashbook!$N$6</f>
        <v>-584716</v>
      </c>
      <c r="E3" s="81"/>
      <c r="F3" s="88" t="s">
        <v>110</v>
      </c>
      <c r="J3" s="47" t="s">
        <v>45</v>
      </c>
      <c r="K3" s="35" t="s">
        <v>46</v>
      </c>
      <c r="M3" s="47" t="s">
        <v>45</v>
      </c>
      <c r="N3" s="50" t="s">
        <v>105</v>
      </c>
      <c r="O3" s="89" t="s">
        <v>106</v>
      </c>
      <c r="P3" t="s">
        <v>107</v>
      </c>
    </row>
    <row r="4" spans="1:16" x14ac:dyDescent="0.3">
      <c r="A4" s="140">
        <v>45978</v>
      </c>
      <c r="B4" s="81" t="s">
        <v>182</v>
      </c>
      <c r="C4" s="11"/>
      <c r="D4" s="87">
        <v>115000</v>
      </c>
      <c r="E4" s="81" t="s">
        <v>476</v>
      </c>
      <c r="F4" s="88" t="s">
        <v>109</v>
      </c>
      <c r="J4" s="45" t="s">
        <v>70</v>
      </c>
      <c r="K4" s="46">
        <f>Table14[[#Totals],[Debit]]</f>
        <v>27262308</v>
      </c>
      <c r="M4" s="45" t="s">
        <v>108</v>
      </c>
      <c r="N4" s="51">
        <f>SUMIFS(Table14[Withdrawal],Table14[Party],"Cash",Table14[Mode],"Transfer")</f>
        <v>0</v>
      </c>
    </row>
    <row r="5" spans="1:16" x14ac:dyDescent="0.3">
      <c r="A5" s="140">
        <v>45978</v>
      </c>
      <c r="B5" s="81" t="s">
        <v>236</v>
      </c>
      <c r="C5" s="11">
        <v>115000</v>
      </c>
      <c r="D5" s="87"/>
      <c r="E5" s="81" t="s">
        <v>477</v>
      </c>
      <c r="F5" s="88" t="s">
        <v>109</v>
      </c>
      <c r="J5" s="45" t="s">
        <v>69</v>
      </c>
      <c r="K5" s="46">
        <f>Table14[[#Totals],[Credit]]</f>
        <v>35505574</v>
      </c>
      <c r="M5" s="45" t="s">
        <v>109</v>
      </c>
      <c r="N5" s="46">
        <f>(SUMIFS(Table14[Credit],Table14[Mode],"Bank")-SUMIFS(Table14[Debit],Table14[Mode],"Bank")-SUMIFS(Table14[Withdrawal],Table14[Mode],"Transfer"))</f>
        <v>8855832</v>
      </c>
      <c r="O5">
        <v>360000</v>
      </c>
    </row>
    <row r="6" spans="1:16" x14ac:dyDescent="0.3">
      <c r="A6" s="38">
        <v>45980</v>
      </c>
      <c r="B6" t="s">
        <v>182</v>
      </c>
      <c r="C6" s="97">
        <v>800</v>
      </c>
      <c r="D6" s="97"/>
      <c r="F6" s="124" t="s">
        <v>109</v>
      </c>
      <c r="J6" s="52" t="s">
        <v>43</v>
      </c>
      <c r="K6" s="53">
        <f>(K5-K4)</f>
        <v>8243266</v>
      </c>
      <c r="M6" s="45" t="s">
        <v>110</v>
      </c>
      <c r="N6" s="46">
        <f>((SUMIFS(Table14[Credit],Table14[Mode],"Cash")-SUMIFS(Table14[Debit],Table14[Mode],"Cash"))+SUMIFS(Table14[Withdrawal],Table14[Party],"Cash",Table14[Mode],"Transfer"))</f>
        <v>-610916</v>
      </c>
      <c r="O6">
        <v>50000</v>
      </c>
    </row>
    <row r="7" spans="1:16" x14ac:dyDescent="0.3">
      <c r="A7" s="38">
        <v>45980</v>
      </c>
      <c r="B7" t="s">
        <v>185</v>
      </c>
      <c r="C7" s="97">
        <v>7200</v>
      </c>
      <c r="D7" s="97"/>
      <c r="E7" t="s">
        <v>204</v>
      </c>
      <c r="F7" s="124" t="s">
        <v>110</v>
      </c>
      <c r="M7" s="48" t="s">
        <v>5</v>
      </c>
      <c r="N7" s="49">
        <f>SUM(N5:N6)</f>
        <v>8244916</v>
      </c>
      <c r="O7" s="90">
        <f>SUM(O5,O6)</f>
        <v>410000</v>
      </c>
      <c r="P7" s="14">
        <f>Table18[[#Totals],[amount]]-Table18[[#Totals],[Actual]]</f>
        <v>7834916</v>
      </c>
    </row>
    <row r="8" spans="1:16" x14ac:dyDescent="0.3">
      <c r="A8" s="38">
        <v>45980</v>
      </c>
      <c r="B8" t="s">
        <v>205</v>
      </c>
      <c r="C8" s="97">
        <v>2000</v>
      </c>
      <c r="D8" s="97"/>
      <c r="E8" t="s">
        <v>206</v>
      </c>
      <c r="F8" s="124" t="s">
        <v>110</v>
      </c>
    </row>
    <row r="9" spans="1:16" x14ac:dyDescent="0.3">
      <c r="A9" s="38">
        <v>45980</v>
      </c>
      <c r="B9" t="s">
        <v>192</v>
      </c>
      <c r="C9" s="11">
        <v>4000</v>
      </c>
      <c r="D9" s="11"/>
      <c r="E9" t="s">
        <v>206</v>
      </c>
      <c r="F9" s="124" t="s">
        <v>110</v>
      </c>
    </row>
    <row r="10" spans="1:16" x14ac:dyDescent="0.3">
      <c r="A10" s="38">
        <v>45980</v>
      </c>
      <c r="B10" t="s">
        <v>95</v>
      </c>
      <c r="C10" s="11">
        <v>8000</v>
      </c>
      <c r="D10" s="11"/>
      <c r="E10" t="s">
        <v>206</v>
      </c>
      <c r="F10" s="124" t="s">
        <v>110</v>
      </c>
    </row>
    <row r="11" spans="1:16" x14ac:dyDescent="0.3">
      <c r="A11" s="38">
        <v>45980</v>
      </c>
      <c r="B11" t="s">
        <v>55</v>
      </c>
      <c r="C11" s="11">
        <v>25000</v>
      </c>
      <c r="D11" s="11"/>
      <c r="E11" t="s">
        <v>207</v>
      </c>
      <c r="F11" s="124" t="s">
        <v>109</v>
      </c>
    </row>
    <row r="12" spans="1:16" x14ac:dyDescent="0.3">
      <c r="A12" s="38">
        <v>45980</v>
      </c>
      <c r="B12" t="s">
        <v>21</v>
      </c>
      <c r="C12" s="11"/>
      <c r="D12" s="11">
        <v>50000</v>
      </c>
      <c r="F12" s="124" t="s">
        <v>109</v>
      </c>
    </row>
    <row r="13" spans="1:16" x14ac:dyDescent="0.3">
      <c r="A13" s="38">
        <v>45980</v>
      </c>
      <c r="B13" t="s">
        <v>21</v>
      </c>
      <c r="C13" s="11"/>
      <c r="D13" s="11">
        <v>51000</v>
      </c>
      <c r="F13" s="124" t="s">
        <v>109</v>
      </c>
    </row>
    <row r="14" spans="1:16" x14ac:dyDescent="0.3">
      <c r="A14" s="38">
        <v>45980</v>
      </c>
      <c r="B14" t="s">
        <v>21</v>
      </c>
      <c r="C14" s="11"/>
      <c r="D14" s="11">
        <v>14000</v>
      </c>
      <c r="E14" t="s">
        <v>188</v>
      </c>
      <c r="F14" s="124" t="s">
        <v>109</v>
      </c>
    </row>
    <row r="15" spans="1:16" x14ac:dyDescent="0.3">
      <c r="A15" s="38">
        <v>45980</v>
      </c>
      <c r="B15" t="s">
        <v>185</v>
      </c>
      <c r="C15" s="11">
        <v>3000</v>
      </c>
      <c r="D15" s="11"/>
      <c r="E15" t="s">
        <v>208</v>
      </c>
      <c r="F15" s="124" t="s">
        <v>109</v>
      </c>
    </row>
    <row r="16" spans="1:16" x14ac:dyDescent="0.3">
      <c r="A16" s="38">
        <v>45980</v>
      </c>
      <c r="B16" t="s">
        <v>55</v>
      </c>
      <c r="C16" s="11">
        <v>6000</v>
      </c>
      <c r="D16" s="11"/>
      <c r="E16" t="s">
        <v>209</v>
      </c>
      <c r="F16" s="124" t="s">
        <v>109</v>
      </c>
    </row>
    <row r="17" spans="1:6" x14ac:dyDescent="0.3">
      <c r="A17" s="38">
        <v>45980</v>
      </c>
      <c r="B17" t="s">
        <v>182</v>
      </c>
      <c r="C17" s="11">
        <v>1000</v>
      </c>
      <c r="D17" s="11"/>
      <c r="E17" t="s">
        <v>210</v>
      </c>
      <c r="F17" s="124" t="s">
        <v>109</v>
      </c>
    </row>
    <row r="18" spans="1:6" x14ac:dyDescent="0.3">
      <c r="A18" s="38">
        <v>45980</v>
      </c>
      <c r="B18" t="s">
        <v>211</v>
      </c>
      <c r="C18" s="11"/>
      <c r="D18" s="11"/>
      <c r="E18" t="s">
        <v>193</v>
      </c>
      <c r="F18" s="124" t="s">
        <v>109</v>
      </c>
    </row>
    <row r="19" spans="1:6" x14ac:dyDescent="0.3">
      <c r="A19" s="38">
        <v>45980</v>
      </c>
      <c r="B19" t="s">
        <v>211</v>
      </c>
      <c r="C19" s="11"/>
      <c r="D19" s="11"/>
      <c r="E19" t="s">
        <v>212</v>
      </c>
      <c r="F19" s="124" t="s">
        <v>109</v>
      </c>
    </row>
    <row r="20" spans="1:6" x14ac:dyDescent="0.3">
      <c r="A20" s="38">
        <v>45980</v>
      </c>
      <c r="B20" t="s">
        <v>9</v>
      </c>
      <c r="C20" s="11"/>
      <c r="D20" s="11">
        <v>350000</v>
      </c>
      <c r="E20" t="s">
        <v>213</v>
      </c>
      <c r="F20" s="124" t="s">
        <v>109</v>
      </c>
    </row>
    <row r="21" spans="1:6" x14ac:dyDescent="0.3">
      <c r="A21" s="38">
        <v>45980</v>
      </c>
      <c r="B21" t="s">
        <v>95</v>
      </c>
      <c r="C21" s="11">
        <v>400012</v>
      </c>
      <c r="D21" s="11"/>
      <c r="E21" t="s">
        <v>214</v>
      </c>
      <c r="F21" s="124" t="s">
        <v>109</v>
      </c>
    </row>
    <row r="22" spans="1:6" x14ac:dyDescent="0.3">
      <c r="A22" s="125">
        <v>45980</v>
      </c>
      <c r="B22" t="s">
        <v>114</v>
      </c>
      <c r="C22" s="11">
        <v>2250</v>
      </c>
      <c r="D22" s="11"/>
      <c r="E22" s="1">
        <v>45980</v>
      </c>
      <c r="F22" s="124" t="s">
        <v>109</v>
      </c>
    </row>
    <row r="23" spans="1:6" x14ac:dyDescent="0.3">
      <c r="A23" s="38">
        <v>45980</v>
      </c>
      <c r="B23" t="s">
        <v>54</v>
      </c>
      <c r="C23" s="97">
        <v>10000</v>
      </c>
      <c r="D23" s="97"/>
      <c r="E23" t="s">
        <v>215</v>
      </c>
      <c r="F23" s="124" t="s">
        <v>109</v>
      </c>
    </row>
    <row r="24" spans="1:6" x14ac:dyDescent="0.3">
      <c r="A24" s="38">
        <v>45980</v>
      </c>
      <c r="B24" t="s">
        <v>21</v>
      </c>
      <c r="C24" s="97"/>
      <c r="D24" s="97">
        <v>10000</v>
      </c>
      <c r="E24" t="s">
        <v>215</v>
      </c>
      <c r="F24" s="124" t="s">
        <v>109</v>
      </c>
    </row>
    <row r="25" spans="1:6" x14ac:dyDescent="0.3">
      <c r="A25" s="125">
        <v>45980</v>
      </c>
      <c r="B25" t="s">
        <v>118</v>
      </c>
      <c r="C25" s="11">
        <v>24000</v>
      </c>
      <c r="D25" s="11"/>
      <c r="E25" t="s">
        <v>216</v>
      </c>
      <c r="F25" s="124" t="s">
        <v>109</v>
      </c>
    </row>
    <row r="26" spans="1:6" x14ac:dyDescent="0.3">
      <c r="A26" s="38">
        <v>45980</v>
      </c>
      <c r="B26" t="s">
        <v>21</v>
      </c>
      <c r="C26" s="97"/>
      <c r="D26" s="97">
        <v>24000</v>
      </c>
      <c r="E26" t="s">
        <v>216</v>
      </c>
      <c r="F26" s="124" t="s">
        <v>109</v>
      </c>
    </row>
    <row r="27" spans="1:6" x14ac:dyDescent="0.3">
      <c r="A27" s="125">
        <v>45981</v>
      </c>
      <c r="B27" t="s">
        <v>114</v>
      </c>
      <c r="C27" s="11">
        <v>2260</v>
      </c>
      <c r="D27" s="11"/>
      <c r="E27" s="1">
        <v>45981</v>
      </c>
      <c r="F27" s="124" t="s">
        <v>109</v>
      </c>
    </row>
    <row r="28" spans="1:6" x14ac:dyDescent="0.3">
      <c r="A28" s="125">
        <v>45981</v>
      </c>
      <c r="B28" t="s">
        <v>219</v>
      </c>
      <c r="C28" s="11"/>
      <c r="D28" s="11"/>
      <c r="E28" t="s">
        <v>220</v>
      </c>
      <c r="F28" s="124" t="s">
        <v>109</v>
      </c>
    </row>
    <row r="29" spans="1:6" x14ac:dyDescent="0.3">
      <c r="A29" s="125">
        <v>45981</v>
      </c>
      <c r="B29" t="s">
        <v>184</v>
      </c>
      <c r="C29" s="11">
        <v>141950</v>
      </c>
      <c r="D29" s="11"/>
      <c r="E29" t="s">
        <v>221</v>
      </c>
      <c r="F29" s="124" t="s">
        <v>109</v>
      </c>
    </row>
    <row r="30" spans="1:6" x14ac:dyDescent="0.3">
      <c r="A30" s="125">
        <v>45981</v>
      </c>
      <c r="B30" t="s">
        <v>21</v>
      </c>
      <c r="C30" s="11"/>
      <c r="D30" s="11">
        <v>141950</v>
      </c>
      <c r="E30" t="s">
        <v>222</v>
      </c>
      <c r="F30" s="124" t="s">
        <v>109</v>
      </c>
    </row>
    <row r="31" spans="1:6" x14ac:dyDescent="0.3">
      <c r="A31" s="125">
        <v>45981</v>
      </c>
      <c r="B31" t="s">
        <v>95</v>
      </c>
      <c r="C31" s="11">
        <v>80300</v>
      </c>
      <c r="D31" s="11"/>
      <c r="E31" t="s">
        <v>223</v>
      </c>
      <c r="F31" s="124" t="s">
        <v>109</v>
      </c>
    </row>
    <row r="32" spans="1:6" x14ac:dyDescent="0.3">
      <c r="A32" s="125">
        <v>45981</v>
      </c>
      <c r="B32" t="s">
        <v>21</v>
      </c>
      <c r="C32" s="11"/>
      <c r="D32" s="11">
        <v>100000</v>
      </c>
      <c r="F32" s="124" t="s">
        <v>109</v>
      </c>
    </row>
    <row r="33" spans="1:6" x14ac:dyDescent="0.3">
      <c r="A33" s="125">
        <v>45981</v>
      </c>
      <c r="B33" t="s">
        <v>185</v>
      </c>
      <c r="C33" s="11">
        <v>7200</v>
      </c>
      <c r="D33" s="11"/>
      <c r="E33" t="s">
        <v>204</v>
      </c>
      <c r="F33" s="124" t="s">
        <v>109</v>
      </c>
    </row>
    <row r="34" spans="1:6" x14ac:dyDescent="0.3">
      <c r="A34" s="125">
        <v>45981</v>
      </c>
      <c r="B34" t="s">
        <v>54</v>
      </c>
      <c r="C34" s="11">
        <v>500</v>
      </c>
      <c r="D34" s="11"/>
      <c r="E34" t="s">
        <v>224</v>
      </c>
      <c r="F34" s="124" t="s">
        <v>109</v>
      </c>
    </row>
    <row r="35" spans="1:6" x14ac:dyDescent="0.3">
      <c r="A35" s="125">
        <v>45981</v>
      </c>
      <c r="B35" t="s">
        <v>55</v>
      </c>
      <c r="C35" s="11">
        <v>4000</v>
      </c>
      <c r="D35" s="11"/>
      <c r="E35" t="s">
        <v>225</v>
      </c>
      <c r="F35" s="124" t="s">
        <v>109</v>
      </c>
    </row>
    <row r="36" spans="1:6" x14ac:dyDescent="0.3">
      <c r="A36" s="125">
        <v>45981</v>
      </c>
      <c r="B36" t="s">
        <v>211</v>
      </c>
      <c r="C36" s="11"/>
      <c r="D36" s="11"/>
      <c r="E36" t="s">
        <v>188</v>
      </c>
      <c r="F36" s="124" t="s">
        <v>109</v>
      </c>
    </row>
    <row r="37" spans="1:6" x14ac:dyDescent="0.3">
      <c r="A37" s="125">
        <v>45981</v>
      </c>
      <c r="B37" t="s">
        <v>226</v>
      </c>
      <c r="C37" s="11"/>
      <c r="D37" s="11">
        <v>200000</v>
      </c>
      <c r="E37" t="s">
        <v>227</v>
      </c>
      <c r="F37" s="124" t="s">
        <v>109</v>
      </c>
    </row>
    <row r="38" spans="1:6" x14ac:dyDescent="0.3">
      <c r="A38" s="125">
        <v>45981</v>
      </c>
      <c r="B38" t="s">
        <v>114</v>
      </c>
      <c r="C38" s="11">
        <v>9740</v>
      </c>
      <c r="D38" s="11"/>
      <c r="E38" t="s">
        <v>228</v>
      </c>
      <c r="F38" s="124" t="s">
        <v>109</v>
      </c>
    </row>
    <row r="39" spans="1:6" x14ac:dyDescent="0.3">
      <c r="A39" s="125">
        <v>45982</v>
      </c>
      <c r="B39" t="s">
        <v>114</v>
      </c>
      <c r="C39" s="11">
        <v>2250</v>
      </c>
      <c r="D39" s="11"/>
      <c r="E39" s="1">
        <v>45982</v>
      </c>
      <c r="F39" s="124" t="s">
        <v>109</v>
      </c>
    </row>
    <row r="40" spans="1:6" x14ac:dyDescent="0.3">
      <c r="A40" s="125">
        <v>45982</v>
      </c>
      <c r="B40" t="s">
        <v>55</v>
      </c>
      <c r="C40" s="97">
        <v>12500</v>
      </c>
      <c r="D40" s="97"/>
      <c r="E40" t="s">
        <v>230</v>
      </c>
      <c r="F40" s="124" t="s">
        <v>109</v>
      </c>
    </row>
    <row r="41" spans="1:6" x14ac:dyDescent="0.3">
      <c r="A41" s="125">
        <v>45982</v>
      </c>
      <c r="B41" t="s">
        <v>54</v>
      </c>
      <c r="C41" s="11">
        <v>8008</v>
      </c>
      <c r="D41" s="11"/>
      <c r="E41" t="s">
        <v>231</v>
      </c>
      <c r="F41" s="124" t="s">
        <v>109</v>
      </c>
    </row>
    <row r="42" spans="1:6" x14ac:dyDescent="0.3">
      <c r="A42" s="125">
        <v>45982</v>
      </c>
      <c r="B42" t="s">
        <v>21</v>
      </c>
      <c r="C42" s="11"/>
      <c r="D42" s="11">
        <v>8008</v>
      </c>
      <c r="E42" t="s">
        <v>232</v>
      </c>
      <c r="F42" s="124" t="s">
        <v>109</v>
      </c>
    </row>
    <row r="43" spans="1:6" x14ac:dyDescent="0.3">
      <c r="A43" s="125">
        <v>45982</v>
      </c>
      <c r="B43" t="s">
        <v>51</v>
      </c>
      <c r="C43" s="11">
        <v>1803475</v>
      </c>
      <c r="D43" s="11"/>
      <c r="E43" t="s">
        <v>233</v>
      </c>
      <c r="F43" s="124" t="s">
        <v>109</v>
      </c>
    </row>
    <row r="44" spans="1:6" x14ac:dyDescent="0.3">
      <c r="A44" s="125">
        <v>45982</v>
      </c>
      <c r="B44" t="s">
        <v>95</v>
      </c>
      <c r="C44" s="11">
        <v>300152</v>
      </c>
      <c r="D44" s="11"/>
      <c r="E44" t="s">
        <v>234</v>
      </c>
      <c r="F44" s="124" t="s">
        <v>109</v>
      </c>
    </row>
    <row r="45" spans="1:6" x14ac:dyDescent="0.3">
      <c r="A45" s="125">
        <v>45980</v>
      </c>
      <c r="B45" t="s">
        <v>153</v>
      </c>
      <c r="C45" s="11"/>
      <c r="D45" s="11">
        <v>300000</v>
      </c>
      <c r="F45" s="124" t="s">
        <v>109</v>
      </c>
    </row>
    <row r="46" spans="1:6" x14ac:dyDescent="0.3">
      <c r="A46" s="125">
        <v>45982</v>
      </c>
      <c r="B46" t="s">
        <v>167</v>
      </c>
      <c r="C46" s="11"/>
      <c r="D46" s="11">
        <v>700000</v>
      </c>
      <c r="F46" s="124" t="s">
        <v>109</v>
      </c>
    </row>
    <row r="47" spans="1:6" x14ac:dyDescent="0.3">
      <c r="A47" s="125">
        <v>45982</v>
      </c>
      <c r="B47" t="s">
        <v>235</v>
      </c>
      <c r="C47" s="11"/>
      <c r="D47" s="11">
        <v>500000</v>
      </c>
      <c r="F47" s="124" t="s">
        <v>109</v>
      </c>
    </row>
    <row r="48" spans="1:6" x14ac:dyDescent="0.3">
      <c r="A48" s="125">
        <v>45982</v>
      </c>
      <c r="B48" t="s">
        <v>153</v>
      </c>
      <c r="C48" s="11"/>
      <c r="D48" s="11">
        <v>175000</v>
      </c>
      <c r="F48" s="124" t="s">
        <v>109</v>
      </c>
    </row>
    <row r="49" spans="1:6" x14ac:dyDescent="0.3">
      <c r="A49" s="125">
        <v>45982</v>
      </c>
      <c r="B49" t="s">
        <v>179</v>
      </c>
      <c r="C49" s="11"/>
      <c r="D49" s="11">
        <v>120205</v>
      </c>
      <c r="F49" s="124" t="s">
        <v>109</v>
      </c>
    </row>
    <row r="50" spans="1:6" x14ac:dyDescent="0.3">
      <c r="A50" s="125">
        <v>45982</v>
      </c>
      <c r="B50" t="s">
        <v>167</v>
      </c>
      <c r="C50" s="11"/>
      <c r="D50" s="11">
        <v>175217</v>
      </c>
      <c r="F50" s="124" t="s">
        <v>109</v>
      </c>
    </row>
    <row r="51" spans="1:6" x14ac:dyDescent="0.3">
      <c r="A51" s="125">
        <v>45982</v>
      </c>
      <c r="B51" t="s">
        <v>149</v>
      </c>
      <c r="C51" s="11"/>
      <c r="D51" s="11">
        <v>130000</v>
      </c>
      <c r="F51" s="124" t="s">
        <v>109</v>
      </c>
    </row>
    <row r="52" spans="1:6" x14ac:dyDescent="0.3">
      <c r="A52" s="125">
        <v>45982</v>
      </c>
      <c r="B52" t="s">
        <v>236</v>
      </c>
      <c r="C52" s="11">
        <v>175000</v>
      </c>
      <c r="D52" s="11"/>
      <c r="E52" t="s">
        <v>237</v>
      </c>
      <c r="F52" s="124" t="s">
        <v>109</v>
      </c>
    </row>
    <row r="53" spans="1:6" x14ac:dyDescent="0.3">
      <c r="A53" s="125">
        <v>45983</v>
      </c>
      <c r="B53" t="s">
        <v>114</v>
      </c>
      <c r="C53" s="11">
        <v>1960</v>
      </c>
      <c r="D53" s="11"/>
      <c r="E53" s="1">
        <v>45983</v>
      </c>
      <c r="F53" s="124" t="s">
        <v>109</v>
      </c>
    </row>
    <row r="54" spans="1:6" x14ac:dyDescent="0.3">
      <c r="A54" s="125">
        <v>45983</v>
      </c>
      <c r="B54" t="s">
        <v>219</v>
      </c>
      <c r="C54" s="11">
        <v>25000</v>
      </c>
      <c r="D54" s="11"/>
      <c r="E54" t="s">
        <v>188</v>
      </c>
      <c r="F54" s="124" t="s">
        <v>109</v>
      </c>
    </row>
    <row r="55" spans="1:6" x14ac:dyDescent="0.3">
      <c r="A55" s="125">
        <v>45983</v>
      </c>
      <c r="B55" t="s">
        <v>54</v>
      </c>
      <c r="C55" s="11">
        <v>10370</v>
      </c>
      <c r="D55" s="11"/>
      <c r="E55" t="s">
        <v>231</v>
      </c>
      <c r="F55" s="124" t="s">
        <v>109</v>
      </c>
    </row>
    <row r="56" spans="1:6" x14ac:dyDescent="0.3">
      <c r="A56" s="125">
        <v>45983</v>
      </c>
      <c r="B56" t="s">
        <v>21</v>
      </c>
      <c r="C56" s="97"/>
      <c r="D56" s="97">
        <v>25000</v>
      </c>
      <c r="E56" t="s">
        <v>238</v>
      </c>
      <c r="F56" s="124" t="s">
        <v>109</v>
      </c>
    </row>
    <row r="57" spans="1:6" x14ac:dyDescent="0.3">
      <c r="A57" s="125">
        <v>45983</v>
      </c>
      <c r="B57" t="s">
        <v>21</v>
      </c>
      <c r="C57" s="11"/>
      <c r="D57" s="11">
        <v>10370</v>
      </c>
      <c r="E57" t="s">
        <v>231</v>
      </c>
      <c r="F57" s="124" t="s">
        <v>109</v>
      </c>
    </row>
    <row r="58" spans="1:6" x14ac:dyDescent="0.3">
      <c r="A58" s="125">
        <v>45983</v>
      </c>
      <c r="B58" t="s">
        <v>54</v>
      </c>
      <c r="C58" s="11">
        <v>3000</v>
      </c>
      <c r="D58" s="11"/>
      <c r="E58" t="s">
        <v>215</v>
      </c>
      <c r="F58" s="124" t="s">
        <v>109</v>
      </c>
    </row>
    <row r="59" spans="1:6" x14ac:dyDescent="0.3">
      <c r="A59" s="125">
        <v>45983</v>
      </c>
      <c r="B59" t="s">
        <v>21</v>
      </c>
      <c r="C59" s="11"/>
      <c r="D59" s="11">
        <v>3000</v>
      </c>
      <c r="E59" t="s">
        <v>215</v>
      </c>
      <c r="F59" s="124" t="s">
        <v>109</v>
      </c>
    </row>
    <row r="60" spans="1:6" x14ac:dyDescent="0.3">
      <c r="A60" s="125">
        <v>45983</v>
      </c>
      <c r="B60" t="s">
        <v>55</v>
      </c>
      <c r="C60" s="11">
        <v>3000</v>
      </c>
      <c r="D60" s="11"/>
      <c r="E60" t="s">
        <v>239</v>
      </c>
      <c r="F60" s="124" t="s">
        <v>109</v>
      </c>
    </row>
    <row r="61" spans="1:6" x14ac:dyDescent="0.3">
      <c r="A61" s="125">
        <v>45983</v>
      </c>
      <c r="B61" t="s">
        <v>21</v>
      </c>
      <c r="C61" s="11"/>
      <c r="D61" s="11">
        <v>3000</v>
      </c>
      <c r="E61" t="s">
        <v>239</v>
      </c>
      <c r="F61" s="124" t="s">
        <v>109</v>
      </c>
    </row>
    <row r="62" spans="1:6" x14ac:dyDescent="0.3">
      <c r="A62" s="125">
        <v>45983</v>
      </c>
      <c r="B62" t="s">
        <v>54</v>
      </c>
      <c r="C62" s="11">
        <v>2670</v>
      </c>
      <c r="D62" s="11"/>
      <c r="E62" t="s">
        <v>231</v>
      </c>
      <c r="F62" s="124" t="s">
        <v>109</v>
      </c>
    </row>
    <row r="63" spans="1:6" x14ac:dyDescent="0.3">
      <c r="A63" s="125">
        <v>45983</v>
      </c>
      <c r="B63" t="s">
        <v>185</v>
      </c>
      <c r="C63" s="11">
        <v>5000</v>
      </c>
      <c r="D63" s="11"/>
      <c r="E63" t="s">
        <v>204</v>
      </c>
      <c r="F63" s="124" t="s">
        <v>109</v>
      </c>
    </row>
    <row r="64" spans="1:6" x14ac:dyDescent="0.3">
      <c r="A64" s="125">
        <v>45983</v>
      </c>
      <c r="B64" t="s">
        <v>55</v>
      </c>
      <c r="C64" s="11">
        <v>150</v>
      </c>
      <c r="D64" s="11"/>
      <c r="E64" t="s">
        <v>240</v>
      </c>
      <c r="F64" s="124" t="s">
        <v>109</v>
      </c>
    </row>
    <row r="65" spans="1:6" x14ac:dyDescent="0.3">
      <c r="A65" s="125">
        <v>45983</v>
      </c>
      <c r="B65" t="s">
        <v>21</v>
      </c>
      <c r="C65" s="11"/>
      <c r="D65" s="11">
        <v>13000</v>
      </c>
      <c r="E65" t="s">
        <v>243</v>
      </c>
      <c r="F65" s="124" t="s">
        <v>109</v>
      </c>
    </row>
    <row r="66" spans="1:6" x14ac:dyDescent="0.3">
      <c r="A66" s="125">
        <v>45983</v>
      </c>
      <c r="B66" t="s">
        <v>194</v>
      </c>
      <c r="C66" s="11">
        <v>13000</v>
      </c>
      <c r="D66" s="11"/>
      <c r="E66" t="s">
        <v>127</v>
      </c>
      <c r="F66" s="124" t="s">
        <v>109</v>
      </c>
    </row>
    <row r="67" spans="1:6" x14ac:dyDescent="0.3">
      <c r="A67" s="125">
        <v>45984</v>
      </c>
      <c r="B67" t="s">
        <v>183</v>
      </c>
      <c r="C67" s="11"/>
      <c r="D67" s="11">
        <v>1000000</v>
      </c>
      <c r="E67" t="s">
        <v>227</v>
      </c>
      <c r="F67" s="124" t="s">
        <v>109</v>
      </c>
    </row>
    <row r="68" spans="1:6" x14ac:dyDescent="0.3">
      <c r="A68" s="125">
        <v>45984</v>
      </c>
      <c r="B68" t="s">
        <v>95</v>
      </c>
      <c r="C68" s="11">
        <v>200068</v>
      </c>
      <c r="D68" s="11"/>
      <c r="E68" t="s">
        <v>244</v>
      </c>
      <c r="F68" s="124" t="s">
        <v>109</v>
      </c>
    </row>
    <row r="69" spans="1:6" x14ac:dyDescent="0.3">
      <c r="A69" s="125">
        <v>45984</v>
      </c>
      <c r="B69" t="s">
        <v>55</v>
      </c>
      <c r="C69" s="11">
        <v>20000</v>
      </c>
      <c r="D69" s="11"/>
      <c r="E69" t="s">
        <v>230</v>
      </c>
      <c r="F69" s="124" t="s">
        <v>109</v>
      </c>
    </row>
    <row r="70" spans="1:6" x14ac:dyDescent="0.3">
      <c r="A70" s="125">
        <v>45984</v>
      </c>
      <c r="B70" t="s">
        <v>246</v>
      </c>
      <c r="C70" s="11">
        <v>1100</v>
      </c>
      <c r="D70" s="11"/>
      <c r="E70" t="s">
        <v>245</v>
      </c>
      <c r="F70" s="124" t="s">
        <v>109</v>
      </c>
    </row>
    <row r="71" spans="1:6" x14ac:dyDescent="0.3">
      <c r="A71" s="125">
        <v>45984</v>
      </c>
      <c r="B71" t="s">
        <v>114</v>
      </c>
      <c r="C71" s="11">
        <v>2635</v>
      </c>
      <c r="D71" s="11"/>
      <c r="E71" s="1">
        <v>45984</v>
      </c>
      <c r="F71" s="124" t="s">
        <v>109</v>
      </c>
    </row>
    <row r="72" spans="1:6" x14ac:dyDescent="0.3">
      <c r="A72" s="125">
        <v>45984</v>
      </c>
      <c r="B72" t="s">
        <v>55</v>
      </c>
      <c r="C72" s="11">
        <v>10000</v>
      </c>
      <c r="D72" s="11"/>
      <c r="E72" t="s">
        <v>247</v>
      </c>
      <c r="F72" s="124" t="s">
        <v>109</v>
      </c>
    </row>
    <row r="73" spans="1:6" x14ac:dyDescent="0.3">
      <c r="A73" s="125">
        <v>45985</v>
      </c>
      <c r="B73" t="s">
        <v>95</v>
      </c>
      <c r="C73" s="11">
        <v>67500</v>
      </c>
      <c r="D73" s="11"/>
      <c r="E73" t="s">
        <v>223</v>
      </c>
      <c r="F73" s="124" t="s">
        <v>109</v>
      </c>
    </row>
    <row r="74" spans="1:6" x14ac:dyDescent="0.3">
      <c r="A74" s="125">
        <v>45985</v>
      </c>
      <c r="B74" t="s">
        <v>114</v>
      </c>
      <c r="C74" s="11">
        <v>20000</v>
      </c>
      <c r="D74" s="11"/>
      <c r="E74" t="s">
        <v>248</v>
      </c>
      <c r="F74" s="124" t="s">
        <v>109</v>
      </c>
    </row>
    <row r="75" spans="1:6" x14ac:dyDescent="0.3">
      <c r="A75" s="125">
        <v>45985</v>
      </c>
      <c r="B75" t="s">
        <v>55</v>
      </c>
      <c r="C75" s="11">
        <v>6000</v>
      </c>
      <c r="D75" s="11"/>
      <c r="E75" t="s">
        <v>239</v>
      </c>
      <c r="F75" s="124" t="s">
        <v>109</v>
      </c>
    </row>
    <row r="76" spans="1:6" x14ac:dyDescent="0.3">
      <c r="A76" s="125">
        <v>45985</v>
      </c>
      <c r="B76" t="s">
        <v>54</v>
      </c>
      <c r="C76" s="11">
        <v>12700</v>
      </c>
      <c r="D76" s="11"/>
      <c r="E76" t="s">
        <v>224</v>
      </c>
      <c r="F76" s="124" t="s">
        <v>109</v>
      </c>
    </row>
    <row r="77" spans="1:6" x14ac:dyDescent="0.3">
      <c r="A77" s="125">
        <v>45985</v>
      </c>
      <c r="B77" t="s">
        <v>150</v>
      </c>
      <c r="C77" s="11">
        <v>40000</v>
      </c>
      <c r="D77" s="11"/>
      <c r="E77" t="s">
        <v>249</v>
      </c>
      <c r="F77" s="124" t="s">
        <v>109</v>
      </c>
    </row>
    <row r="78" spans="1:6" x14ac:dyDescent="0.3">
      <c r="A78" s="125">
        <v>45985</v>
      </c>
      <c r="B78" t="s">
        <v>114</v>
      </c>
      <c r="C78" s="97">
        <v>2220</v>
      </c>
      <c r="D78" s="97"/>
      <c r="E78" s="129">
        <v>45985</v>
      </c>
      <c r="F78" s="124" t="s">
        <v>109</v>
      </c>
    </row>
    <row r="79" spans="1:6" x14ac:dyDescent="0.3">
      <c r="A79" s="125">
        <v>45985</v>
      </c>
      <c r="B79" t="s">
        <v>185</v>
      </c>
      <c r="C79" s="11">
        <v>9200</v>
      </c>
      <c r="D79" s="11"/>
      <c r="E79" t="s">
        <v>204</v>
      </c>
      <c r="F79" s="124" t="s">
        <v>109</v>
      </c>
    </row>
    <row r="80" spans="1:6" x14ac:dyDescent="0.3">
      <c r="A80" s="125">
        <v>45985</v>
      </c>
      <c r="B80" t="s">
        <v>211</v>
      </c>
      <c r="C80" s="11"/>
      <c r="D80" s="11"/>
      <c r="E80" t="s">
        <v>250</v>
      </c>
      <c r="F80" s="124" t="s">
        <v>109</v>
      </c>
    </row>
    <row r="81" spans="1:6" x14ac:dyDescent="0.3">
      <c r="A81" s="125">
        <v>45985</v>
      </c>
      <c r="B81" t="s">
        <v>211</v>
      </c>
      <c r="C81" s="11"/>
      <c r="D81" s="11"/>
      <c r="E81" t="s">
        <v>251</v>
      </c>
      <c r="F81" s="124" t="s">
        <v>109</v>
      </c>
    </row>
    <row r="82" spans="1:6" x14ac:dyDescent="0.3">
      <c r="A82" s="125">
        <v>45985</v>
      </c>
      <c r="B82" t="s">
        <v>246</v>
      </c>
      <c r="C82" s="11">
        <v>2600</v>
      </c>
      <c r="D82" s="11"/>
      <c r="E82" t="s">
        <v>252</v>
      </c>
      <c r="F82" s="124" t="s">
        <v>109</v>
      </c>
    </row>
    <row r="83" spans="1:6" x14ac:dyDescent="0.3">
      <c r="A83" s="125">
        <v>45983</v>
      </c>
      <c r="B83" t="s">
        <v>184</v>
      </c>
      <c r="C83" s="11">
        <v>98000</v>
      </c>
      <c r="D83" s="11"/>
      <c r="E83" t="s">
        <v>255</v>
      </c>
      <c r="F83" s="124" t="s">
        <v>109</v>
      </c>
    </row>
    <row r="84" spans="1:6" x14ac:dyDescent="0.3">
      <c r="A84" s="125">
        <v>45983</v>
      </c>
      <c r="B84" t="s">
        <v>194</v>
      </c>
      <c r="C84" s="11">
        <v>47000</v>
      </c>
      <c r="D84" s="11"/>
      <c r="E84" t="s">
        <v>127</v>
      </c>
      <c r="F84" s="124" t="s">
        <v>109</v>
      </c>
    </row>
    <row r="85" spans="1:6" x14ac:dyDescent="0.3">
      <c r="A85" s="125">
        <v>45983</v>
      </c>
      <c r="B85" t="s">
        <v>21</v>
      </c>
      <c r="C85" s="11"/>
      <c r="D85" s="11">
        <f>98000+47000</f>
        <v>145000</v>
      </c>
      <c r="E85" t="s">
        <v>256</v>
      </c>
      <c r="F85" s="124" t="s">
        <v>109</v>
      </c>
    </row>
    <row r="86" spans="1:6" x14ac:dyDescent="0.3">
      <c r="A86" s="125">
        <v>45986</v>
      </c>
      <c r="B86" t="s">
        <v>236</v>
      </c>
      <c r="C86" s="11"/>
      <c r="D86" s="11">
        <v>121000</v>
      </c>
      <c r="F86" s="124" t="s">
        <v>109</v>
      </c>
    </row>
    <row r="87" spans="1:6" x14ac:dyDescent="0.3">
      <c r="A87" s="38">
        <v>45986</v>
      </c>
      <c r="B87" t="s">
        <v>25</v>
      </c>
      <c r="C87" s="11"/>
      <c r="D87" s="97">
        <v>1353061</v>
      </c>
      <c r="F87" s="124" t="s">
        <v>109</v>
      </c>
    </row>
    <row r="88" spans="1:6" x14ac:dyDescent="0.3">
      <c r="A88" s="125">
        <v>45986</v>
      </c>
      <c r="B88" t="s">
        <v>236</v>
      </c>
      <c r="C88" s="11">
        <v>1353061</v>
      </c>
      <c r="D88" s="11"/>
      <c r="E88" t="s">
        <v>259</v>
      </c>
      <c r="F88" s="124" t="s">
        <v>109</v>
      </c>
    </row>
    <row r="89" spans="1:6" x14ac:dyDescent="0.3">
      <c r="A89" s="38">
        <v>45986</v>
      </c>
      <c r="B89" t="s">
        <v>95</v>
      </c>
      <c r="C89" s="11">
        <v>35000</v>
      </c>
      <c r="D89" s="11"/>
      <c r="E89" t="s">
        <v>270</v>
      </c>
      <c r="F89" s="124" t="s">
        <v>109</v>
      </c>
    </row>
    <row r="90" spans="1:6" x14ac:dyDescent="0.3">
      <c r="A90" s="125">
        <v>45986</v>
      </c>
      <c r="B90" t="s">
        <v>95</v>
      </c>
      <c r="C90" s="11">
        <v>72800</v>
      </c>
      <c r="D90" s="11"/>
      <c r="E90" t="s">
        <v>269</v>
      </c>
      <c r="F90" s="124" t="s">
        <v>109</v>
      </c>
    </row>
    <row r="91" spans="1:6" x14ac:dyDescent="0.3">
      <c r="A91" s="38">
        <v>45986</v>
      </c>
      <c r="B91" t="s">
        <v>55</v>
      </c>
      <c r="C91" s="11">
        <v>440</v>
      </c>
      <c r="D91" s="11"/>
      <c r="F91" s="124" t="s">
        <v>109</v>
      </c>
    </row>
    <row r="92" spans="1:6" x14ac:dyDescent="0.3">
      <c r="A92" s="125">
        <v>45986</v>
      </c>
      <c r="B92" t="s">
        <v>55</v>
      </c>
      <c r="C92" s="11">
        <v>580</v>
      </c>
      <c r="D92" s="11"/>
      <c r="F92" s="124" t="s">
        <v>109</v>
      </c>
    </row>
    <row r="93" spans="1:6" x14ac:dyDescent="0.3">
      <c r="A93" s="38">
        <v>45986</v>
      </c>
      <c r="B93" t="s">
        <v>246</v>
      </c>
      <c r="C93" s="11">
        <v>1100</v>
      </c>
      <c r="D93" s="11"/>
      <c r="F93" s="124" t="s">
        <v>109</v>
      </c>
    </row>
    <row r="94" spans="1:6" x14ac:dyDescent="0.3">
      <c r="A94" s="125">
        <v>45986</v>
      </c>
      <c r="B94" t="s">
        <v>274</v>
      </c>
      <c r="C94" s="11">
        <v>400000</v>
      </c>
      <c r="D94" s="11"/>
      <c r="E94" t="s">
        <v>260</v>
      </c>
      <c r="F94" s="124" t="s">
        <v>109</v>
      </c>
    </row>
    <row r="95" spans="1:6" x14ac:dyDescent="0.3">
      <c r="A95" s="38">
        <v>45986</v>
      </c>
      <c r="B95" t="s">
        <v>55</v>
      </c>
      <c r="C95" s="11">
        <v>20000</v>
      </c>
      <c r="D95" s="11"/>
      <c r="E95" t="s">
        <v>230</v>
      </c>
      <c r="F95" s="124" t="s">
        <v>109</v>
      </c>
    </row>
    <row r="96" spans="1:6" x14ac:dyDescent="0.3">
      <c r="A96" s="125">
        <v>45986</v>
      </c>
      <c r="B96" t="s">
        <v>184</v>
      </c>
      <c r="C96" s="11">
        <v>231500</v>
      </c>
      <c r="D96" s="11"/>
      <c r="E96" t="s">
        <v>256</v>
      </c>
      <c r="F96" s="124" t="s">
        <v>109</v>
      </c>
    </row>
    <row r="97" spans="1:6" x14ac:dyDescent="0.3">
      <c r="A97" s="38">
        <v>45986</v>
      </c>
      <c r="B97" t="s">
        <v>236</v>
      </c>
      <c r="C97" s="11"/>
      <c r="D97" s="11">
        <v>99000</v>
      </c>
      <c r="E97" t="s">
        <v>222</v>
      </c>
      <c r="F97" s="124" t="s">
        <v>109</v>
      </c>
    </row>
    <row r="98" spans="1:6" x14ac:dyDescent="0.3">
      <c r="A98" s="125">
        <v>45986</v>
      </c>
      <c r="B98" t="s">
        <v>182</v>
      </c>
      <c r="C98" s="11"/>
      <c r="D98" s="11">
        <v>1100</v>
      </c>
      <c r="E98" t="s">
        <v>261</v>
      </c>
      <c r="F98" s="124" t="s">
        <v>109</v>
      </c>
    </row>
    <row r="99" spans="1:6" x14ac:dyDescent="0.3">
      <c r="A99" s="38">
        <v>45986</v>
      </c>
      <c r="B99" t="s">
        <v>182</v>
      </c>
      <c r="C99" s="11"/>
      <c r="D99" s="11">
        <v>580</v>
      </c>
      <c r="E99" t="s">
        <v>239</v>
      </c>
      <c r="F99" s="124" t="s">
        <v>109</v>
      </c>
    </row>
    <row r="100" spans="1:6" x14ac:dyDescent="0.3">
      <c r="A100" s="125">
        <v>45986</v>
      </c>
      <c r="B100" t="s">
        <v>182</v>
      </c>
      <c r="C100" s="11"/>
      <c r="D100" s="11">
        <v>60000</v>
      </c>
      <c r="E100" t="s">
        <v>262</v>
      </c>
      <c r="F100" s="124" t="s">
        <v>109</v>
      </c>
    </row>
    <row r="101" spans="1:6" x14ac:dyDescent="0.3">
      <c r="A101" s="38">
        <v>45986</v>
      </c>
      <c r="B101" t="s">
        <v>236</v>
      </c>
      <c r="C101" s="11"/>
      <c r="D101" s="11">
        <v>55000</v>
      </c>
      <c r="F101" s="124" t="s">
        <v>109</v>
      </c>
    </row>
    <row r="102" spans="1:6" x14ac:dyDescent="0.3">
      <c r="A102" s="125">
        <v>45986</v>
      </c>
      <c r="B102" t="s">
        <v>185</v>
      </c>
      <c r="C102" s="11">
        <v>14800</v>
      </c>
      <c r="D102" s="11"/>
      <c r="E102" t="s">
        <v>263</v>
      </c>
      <c r="F102" s="124" t="s">
        <v>109</v>
      </c>
    </row>
    <row r="103" spans="1:6" x14ac:dyDescent="0.3">
      <c r="A103" s="38">
        <v>45986</v>
      </c>
      <c r="B103" t="s">
        <v>185</v>
      </c>
      <c r="C103" s="11">
        <v>10200</v>
      </c>
      <c r="D103" s="11"/>
      <c r="E103" t="s">
        <v>204</v>
      </c>
      <c r="F103" s="124" t="s">
        <v>109</v>
      </c>
    </row>
    <row r="104" spans="1:6" x14ac:dyDescent="0.3">
      <c r="A104" s="125">
        <v>45986</v>
      </c>
      <c r="B104" t="s">
        <v>211</v>
      </c>
      <c r="C104" s="11">
        <v>3000</v>
      </c>
      <c r="D104" s="11"/>
      <c r="E104" t="s">
        <v>264</v>
      </c>
      <c r="F104" s="124" t="s">
        <v>109</v>
      </c>
    </row>
    <row r="105" spans="1:6" x14ac:dyDescent="0.3">
      <c r="A105" s="38">
        <v>45986</v>
      </c>
      <c r="B105" t="s">
        <v>211</v>
      </c>
      <c r="C105" s="97"/>
      <c r="D105" s="97"/>
      <c r="E105" t="s">
        <v>265</v>
      </c>
      <c r="F105" s="124" t="s">
        <v>109</v>
      </c>
    </row>
    <row r="106" spans="1:6" x14ac:dyDescent="0.3">
      <c r="A106" s="125">
        <v>45986</v>
      </c>
      <c r="B106" t="s">
        <v>54</v>
      </c>
      <c r="C106" s="11">
        <v>10200</v>
      </c>
      <c r="D106" s="11"/>
      <c r="E106" t="s">
        <v>231</v>
      </c>
      <c r="F106" s="124" t="s">
        <v>109</v>
      </c>
    </row>
    <row r="107" spans="1:6" x14ac:dyDescent="0.3">
      <c r="A107" s="125">
        <v>45986</v>
      </c>
      <c r="B107" t="s">
        <v>182</v>
      </c>
      <c r="C107" s="11"/>
      <c r="D107" s="11">
        <v>10200</v>
      </c>
      <c r="E107" t="s">
        <v>231</v>
      </c>
      <c r="F107" s="124" t="s">
        <v>109</v>
      </c>
    </row>
    <row r="108" spans="1:6" x14ac:dyDescent="0.3">
      <c r="A108" s="125">
        <v>45986</v>
      </c>
      <c r="B108" t="s">
        <v>114</v>
      </c>
      <c r="C108" s="11">
        <v>2365</v>
      </c>
      <c r="D108" s="11"/>
      <c r="E108" s="129">
        <v>45986</v>
      </c>
      <c r="F108" s="124" t="s">
        <v>109</v>
      </c>
    </row>
    <row r="109" spans="1:6" x14ac:dyDescent="0.3">
      <c r="A109" s="38">
        <v>45986</v>
      </c>
      <c r="B109" t="s">
        <v>9</v>
      </c>
      <c r="C109" s="97"/>
      <c r="D109" s="97">
        <v>300000</v>
      </c>
      <c r="E109" t="s">
        <v>266</v>
      </c>
      <c r="F109" s="124" t="s">
        <v>109</v>
      </c>
    </row>
    <row r="110" spans="1:6" x14ac:dyDescent="0.3">
      <c r="A110" s="125">
        <v>45986</v>
      </c>
      <c r="B110" t="s">
        <v>9</v>
      </c>
      <c r="C110" s="11"/>
      <c r="D110" s="11">
        <v>150000</v>
      </c>
      <c r="E110" t="s">
        <v>266</v>
      </c>
      <c r="F110" s="124" t="s">
        <v>109</v>
      </c>
    </row>
    <row r="111" spans="1:6" x14ac:dyDescent="0.3">
      <c r="A111" s="125">
        <v>45986</v>
      </c>
      <c r="B111" t="s">
        <v>236</v>
      </c>
      <c r="C111" s="11">
        <v>450000</v>
      </c>
      <c r="D111" s="11"/>
      <c r="E111" t="s">
        <v>267</v>
      </c>
      <c r="F111" s="124" t="s">
        <v>109</v>
      </c>
    </row>
    <row r="112" spans="1:6" x14ac:dyDescent="0.3">
      <c r="A112" s="38">
        <v>45986</v>
      </c>
      <c r="B112" t="s">
        <v>182</v>
      </c>
      <c r="C112" s="97"/>
      <c r="D112" s="97">
        <v>20000</v>
      </c>
      <c r="E112" t="s">
        <v>268</v>
      </c>
      <c r="F112" s="124" t="s">
        <v>109</v>
      </c>
    </row>
    <row r="113" spans="1:6" x14ac:dyDescent="0.3">
      <c r="A113" s="38">
        <v>45985</v>
      </c>
      <c r="B113" t="s">
        <v>9</v>
      </c>
      <c r="C113" s="97"/>
      <c r="D113" s="97">
        <v>300000</v>
      </c>
      <c r="E113" t="s">
        <v>271</v>
      </c>
      <c r="F113" s="124" t="s">
        <v>109</v>
      </c>
    </row>
    <row r="114" spans="1:6" x14ac:dyDescent="0.3">
      <c r="A114" s="38">
        <v>45985</v>
      </c>
      <c r="B114" t="s">
        <v>236</v>
      </c>
      <c r="C114" s="97">
        <v>300000</v>
      </c>
      <c r="D114" s="97"/>
      <c r="E114" t="s">
        <v>272</v>
      </c>
      <c r="F114" s="124" t="s">
        <v>109</v>
      </c>
    </row>
    <row r="115" spans="1:6" x14ac:dyDescent="0.3">
      <c r="A115" s="38">
        <v>45986</v>
      </c>
      <c r="B115" t="s">
        <v>182</v>
      </c>
      <c r="C115" s="97">
        <v>1500</v>
      </c>
      <c r="D115" s="97"/>
      <c r="F115" s="124" t="s">
        <v>109</v>
      </c>
    </row>
    <row r="116" spans="1:6" x14ac:dyDescent="0.3">
      <c r="A116" s="125">
        <v>45987</v>
      </c>
      <c r="B116" t="s">
        <v>236</v>
      </c>
      <c r="C116" s="11"/>
      <c r="D116" s="11">
        <v>430000</v>
      </c>
      <c r="E116" t="s">
        <v>266</v>
      </c>
      <c r="F116" s="124" t="s">
        <v>109</v>
      </c>
    </row>
    <row r="117" spans="1:6" x14ac:dyDescent="0.3">
      <c r="A117" s="125">
        <v>45987</v>
      </c>
      <c r="B117" t="s">
        <v>27</v>
      </c>
      <c r="C117" s="11"/>
      <c r="D117" s="11">
        <v>205980</v>
      </c>
      <c r="F117" s="124" t="s">
        <v>109</v>
      </c>
    </row>
    <row r="118" spans="1:6" x14ac:dyDescent="0.3">
      <c r="A118" s="125">
        <v>45987</v>
      </c>
      <c r="B118" t="s">
        <v>355</v>
      </c>
      <c r="C118" s="11"/>
      <c r="D118" s="11">
        <v>100000</v>
      </c>
      <c r="E118" t="s">
        <v>227</v>
      </c>
      <c r="F118" s="124" t="s">
        <v>109</v>
      </c>
    </row>
    <row r="119" spans="1:6" x14ac:dyDescent="0.3">
      <c r="A119" s="125">
        <v>45987</v>
      </c>
      <c r="B119" t="s">
        <v>95</v>
      </c>
      <c r="C119" s="11">
        <v>302123</v>
      </c>
      <c r="D119" s="11"/>
      <c r="E119" t="s">
        <v>275</v>
      </c>
      <c r="F119" s="124" t="s">
        <v>109</v>
      </c>
    </row>
    <row r="120" spans="1:6" x14ac:dyDescent="0.3">
      <c r="A120" s="125">
        <v>45987</v>
      </c>
      <c r="B120" t="s">
        <v>182</v>
      </c>
      <c r="C120" s="11"/>
      <c r="D120" s="11">
        <v>2000</v>
      </c>
      <c r="E120" t="s">
        <v>276</v>
      </c>
      <c r="F120" s="124" t="s">
        <v>109</v>
      </c>
    </row>
    <row r="121" spans="1:6" x14ac:dyDescent="0.3">
      <c r="A121" s="125">
        <v>45987</v>
      </c>
      <c r="B121" t="s">
        <v>54</v>
      </c>
      <c r="C121" s="11">
        <v>2000</v>
      </c>
      <c r="D121" s="11"/>
      <c r="E121" t="s">
        <v>276</v>
      </c>
      <c r="F121" s="124" t="s">
        <v>109</v>
      </c>
    </row>
    <row r="122" spans="1:6" x14ac:dyDescent="0.3">
      <c r="A122" s="125">
        <v>45987</v>
      </c>
      <c r="B122" t="s">
        <v>54</v>
      </c>
      <c r="C122" s="11">
        <v>1500</v>
      </c>
      <c r="D122" s="11"/>
      <c r="E122" t="s">
        <v>277</v>
      </c>
      <c r="F122" s="124" t="s">
        <v>109</v>
      </c>
    </row>
    <row r="123" spans="1:6" x14ac:dyDescent="0.3">
      <c r="A123" s="125">
        <v>45987</v>
      </c>
      <c r="B123" t="s">
        <v>21</v>
      </c>
      <c r="C123" s="11"/>
      <c r="D123" s="11">
        <v>1500</v>
      </c>
      <c r="E123" t="s">
        <v>277</v>
      </c>
      <c r="F123" s="124" t="s">
        <v>109</v>
      </c>
    </row>
    <row r="124" spans="1:6" x14ac:dyDescent="0.3">
      <c r="A124" s="125">
        <v>45987</v>
      </c>
      <c r="B124" t="s">
        <v>211</v>
      </c>
      <c r="C124" s="11"/>
      <c r="D124" s="11"/>
      <c r="E124" t="s">
        <v>278</v>
      </c>
      <c r="F124" s="124" t="s">
        <v>109</v>
      </c>
    </row>
    <row r="125" spans="1:6" x14ac:dyDescent="0.3">
      <c r="A125" s="125">
        <v>45987</v>
      </c>
      <c r="B125" t="s">
        <v>185</v>
      </c>
      <c r="C125" s="11">
        <v>5800</v>
      </c>
      <c r="D125" s="11"/>
      <c r="E125" t="s">
        <v>204</v>
      </c>
      <c r="F125" s="124" t="s">
        <v>109</v>
      </c>
    </row>
    <row r="126" spans="1:6" x14ac:dyDescent="0.3">
      <c r="A126" s="125">
        <v>45987</v>
      </c>
      <c r="B126" t="s">
        <v>178</v>
      </c>
      <c r="C126" s="11">
        <v>100000</v>
      </c>
      <c r="D126" s="11"/>
      <c r="E126" t="s">
        <v>279</v>
      </c>
      <c r="F126" s="124" t="s">
        <v>109</v>
      </c>
    </row>
    <row r="127" spans="1:6" x14ac:dyDescent="0.3">
      <c r="A127" s="125">
        <v>45987</v>
      </c>
      <c r="B127" t="s">
        <v>211</v>
      </c>
      <c r="C127" s="11"/>
      <c r="D127" s="11"/>
      <c r="E127" t="s">
        <v>188</v>
      </c>
      <c r="F127" s="124" t="s">
        <v>109</v>
      </c>
    </row>
    <row r="128" spans="1:6" x14ac:dyDescent="0.3">
      <c r="A128" s="125">
        <v>45987</v>
      </c>
      <c r="B128" t="s">
        <v>55</v>
      </c>
      <c r="C128" s="11">
        <v>1000</v>
      </c>
      <c r="D128" s="11"/>
      <c r="F128" s="124" t="s">
        <v>109</v>
      </c>
    </row>
    <row r="129" spans="1:6" x14ac:dyDescent="0.3">
      <c r="A129" s="125">
        <v>45987</v>
      </c>
      <c r="B129" t="s">
        <v>211</v>
      </c>
      <c r="C129" s="11">
        <v>7000</v>
      </c>
      <c r="D129" s="11"/>
      <c r="E129" t="s">
        <v>280</v>
      </c>
      <c r="F129" s="124" t="s">
        <v>109</v>
      </c>
    </row>
    <row r="130" spans="1:6" x14ac:dyDescent="0.3">
      <c r="A130" s="125">
        <v>45987</v>
      </c>
      <c r="B130" t="s">
        <v>55</v>
      </c>
      <c r="C130" s="11">
        <v>1950</v>
      </c>
      <c r="D130" s="11"/>
      <c r="E130" t="s">
        <v>281</v>
      </c>
      <c r="F130" s="124" t="s">
        <v>109</v>
      </c>
    </row>
    <row r="131" spans="1:6" x14ac:dyDescent="0.3">
      <c r="A131" s="125">
        <v>45987</v>
      </c>
      <c r="B131" t="s">
        <v>246</v>
      </c>
      <c r="C131" s="11">
        <v>420</v>
      </c>
      <c r="D131" s="11"/>
      <c r="E131" t="s">
        <v>245</v>
      </c>
      <c r="F131" s="124" t="s">
        <v>109</v>
      </c>
    </row>
    <row r="132" spans="1:6" x14ac:dyDescent="0.3">
      <c r="A132" s="125">
        <v>45987</v>
      </c>
      <c r="B132" t="s">
        <v>21</v>
      </c>
      <c r="C132" s="11"/>
      <c r="D132" s="11">
        <v>50000</v>
      </c>
      <c r="F132" s="124" t="s">
        <v>109</v>
      </c>
    </row>
    <row r="133" spans="1:6" x14ac:dyDescent="0.3">
      <c r="A133" s="125">
        <v>45987</v>
      </c>
      <c r="B133" t="s">
        <v>21</v>
      </c>
      <c r="C133" s="11"/>
      <c r="D133" s="11">
        <v>240130</v>
      </c>
      <c r="E133" t="s">
        <v>116</v>
      </c>
      <c r="F133" s="124" t="s">
        <v>109</v>
      </c>
    </row>
    <row r="134" spans="1:6" x14ac:dyDescent="0.3">
      <c r="A134" s="125">
        <v>45987</v>
      </c>
      <c r="B134" t="s">
        <v>116</v>
      </c>
      <c r="C134" s="11">
        <v>240125</v>
      </c>
      <c r="D134" s="11"/>
      <c r="E134" t="s">
        <v>282</v>
      </c>
      <c r="F134" s="124" t="s">
        <v>109</v>
      </c>
    </row>
    <row r="135" spans="1:6" x14ac:dyDescent="0.3">
      <c r="A135" s="125">
        <v>45987</v>
      </c>
      <c r="B135" t="s">
        <v>95</v>
      </c>
      <c r="C135" s="11">
        <v>45700</v>
      </c>
      <c r="D135" s="11"/>
      <c r="E135" t="s">
        <v>283</v>
      </c>
      <c r="F135" s="124" t="s">
        <v>109</v>
      </c>
    </row>
    <row r="136" spans="1:6" x14ac:dyDescent="0.3">
      <c r="A136" s="125">
        <v>45987</v>
      </c>
      <c r="B136" t="s">
        <v>182</v>
      </c>
      <c r="C136" s="11">
        <v>620</v>
      </c>
      <c r="D136" s="11"/>
      <c r="F136" s="124" t="s">
        <v>109</v>
      </c>
    </row>
    <row r="137" spans="1:6" x14ac:dyDescent="0.3">
      <c r="A137" s="125">
        <v>45988</v>
      </c>
      <c r="B137" t="s">
        <v>285</v>
      </c>
      <c r="C137" s="11">
        <v>15000</v>
      </c>
      <c r="D137" s="11"/>
      <c r="E137" t="s">
        <v>286</v>
      </c>
      <c r="F137" s="124" t="s">
        <v>109</v>
      </c>
    </row>
    <row r="138" spans="1:6" x14ac:dyDescent="0.3">
      <c r="A138" s="125">
        <v>45988</v>
      </c>
      <c r="B138" t="s">
        <v>285</v>
      </c>
      <c r="C138" s="11">
        <v>10000</v>
      </c>
      <c r="D138" s="11"/>
      <c r="E138" t="s">
        <v>287</v>
      </c>
      <c r="F138" s="124" t="s">
        <v>109</v>
      </c>
    </row>
    <row r="139" spans="1:6" x14ac:dyDescent="0.3">
      <c r="A139" s="125">
        <v>45988</v>
      </c>
      <c r="B139" t="s">
        <v>246</v>
      </c>
      <c r="C139" s="11">
        <v>3600</v>
      </c>
      <c r="D139" s="11"/>
      <c r="E139" t="s">
        <v>288</v>
      </c>
      <c r="F139" s="124" t="s">
        <v>109</v>
      </c>
    </row>
    <row r="140" spans="1:6" x14ac:dyDescent="0.3">
      <c r="A140" s="125">
        <v>45988</v>
      </c>
      <c r="B140" t="s">
        <v>54</v>
      </c>
      <c r="C140" s="11">
        <v>1500</v>
      </c>
      <c r="D140" s="11"/>
      <c r="E140" t="s">
        <v>224</v>
      </c>
      <c r="F140" s="124" t="s">
        <v>109</v>
      </c>
    </row>
    <row r="141" spans="1:6" x14ac:dyDescent="0.3">
      <c r="A141" s="125">
        <v>45988</v>
      </c>
      <c r="B141" t="s">
        <v>185</v>
      </c>
      <c r="C141" s="11">
        <v>1300</v>
      </c>
      <c r="D141" s="11"/>
      <c r="E141" t="s">
        <v>204</v>
      </c>
      <c r="F141" s="124" t="s">
        <v>109</v>
      </c>
    </row>
    <row r="142" spans="1:6" x14ac:dyDescent="0.3">
      <c r="A142" s="125">
        <v>45988</v>
      </c>
      <c r="B142" t="s">
        <v>219</v>
      </c>
      <c r="C142" s="11">
        <v>5000</v>
      </c>
      <c r="D142" s="11"/>
      <c r="E142" t="s">
        <v>289</v>
      </c>
      <c r="F142" s="124" t="s">
        <v>109</v>
      </c>
    </row>
    <row r="143" spans="1:6" x14ac:dyDescent="0.3">
      <c r="A143" s="125">
        <v>45988</v>
      </c>
      <c r="B143" t="s">
        <v>211</v>
      </c>
      <c r="C143" s="11"/>
      <c r="D143" s="11"/>
      <c r="E143" t="s">
        <v>290</v>
      </c>
      <c r="F143" s="124" t="s">
        <v>109</v>
      </c>
    </row>
    <row r="144" spans="1:6" x14ac:dyDescent="0.3">
      <c r="A144" s="125">
        <v>45988</v>
      </c>
      <c r="B144" t="s">
        <v>95</v>
      </c>
      <c r="C144" s="97">
        <v>106000</v>
      </c>
      <c r="D144" s="97"/>
      <c r="E144" t="s">
        <v>291</v>
      </c>
      <c r="F144" s="124" t="s">
        <v>109</v>
      </c>
    </row>
    <row r="145" spans="1:6" x14ac:dyDescent="0.3">
      <c r="A145" s="125">
        <v>45988</v>
      </c>
      <c r="B145" t="s">
        <v>182</v>
      </c>
      <c r="C145" s="11"/>
      <c r="D145" s="11">
        <v>3600</v>
      </c>
      <c r="E145" t="s">
        <v>288</v>
      </c>
      <c r="F145" s="124" t="s">
        <v>109</v>
      </c>
    </row>
    <row r="146" spans="1:6" x14ac:dyDescent="0.3">
      <c r="A146" s="125">
        <v>45988</v>
      </c>
      <c r="B146" t="s">
        <v>182</v>
      </c>
      <c r="C146" s="11"/>
      <c r="D146" s="11">
        <v>1600</v>
      </c>
      <c r="E146" t="s">
        <v>292</v>
      </c>
      <c r="F146" s="124" t="s">
        <v>109</v>
      </c>
    </row>
    <row r="147" spans="1:6" x14ac:dyDescent="0.3">
      <c r="A147" s="125">
        <v>45988</v>
      </c>
      <c r="B147" t="s">
        <v>205</v>
      </c>
      <c r="C147" s="11">
        <v>175000</v>
      </c>
      <c r="D147" s="11"/>
      <c r="F147" s="124" t="s">
        <v>109</v>
      </c>
    </row>
    <row r="148" spans="1:6" x14ac:dyDescent="0.3">
      <c r="A148" s="125">
        <v>45988</v>
      </c>
      <c r="B148" t="s">
        <v>55</v>
      </c>
      <c r="C148" s="97">
        <v>15000</v>
      </c>
      <c r="D148" s="97"/>
      <c r="E148" t="s">
        <v>293</v>
      </c>
      <c r="F148" s="124" t="s">
        <v>109</v>
      </c>
    </row>
    <row r="149" spans="1:6" x14ac:dyDescent="0.3">
      <c r="A149" s="125">
        <v>45988</v>
      </c>
      <c r="B149" t="s">
        <v>294</v>
      </c>
      <c r="C149" s="11"/>
      <c r="D149" s="11">
        <v>90000</v>
      </c>
      <c r="E149" t="s">
        <v>295</v>
      </c>
      <c r="F149" s="124" t="s">
        <v>109</v>
      </c>
    </row>
    <row r="150" spans="1:6" x14ac:dyDescent="0.3">
      <c r="A150" s="125">
        <v>45988</v>
      </c>
      <c r="B150" t="s">
        <v>296</v>
      </c>
      <c r="C150" s="11"/>
      <c r="D150" s="11">
        <v>100000</v>
      </c>
      <c r="E150" t="s">
        <v>227</v>
      </c>
      <c r="F150" s="124" t="s">
        <v>109</v>
      </c>
    </row>
    <row r="151" spans="1:6" x14ac:dyDescent="0.3">
      <c r="A151" s="125">
        <v>45988</v>
      </c>
      <c r="B151" t="s">
        <v>21</v>
      </c>
      <c r="C151" s="11"/>
      <c r="D151" s="11">
        <v>4500</v>
      </c>
      <c r="E151" t="s">
        <v>297</v>
      </c>
      <c r="F151" s="124" t="s">
        <v>109</v>
      </c>
    </row>
    <row r="152" spans="1:6" x14ac:dyDescent="0.3">
      <c r="A152" s="125">
        <v>45988</v>
      </c>
      <c r="B152" t="s">
        <v>54</v>
      </c>
      <c r="C152" s="11">
        <v>4500</v>
      </c>
      <c r="D152" s="11"/>
      <c r="E152" t="s">
        <v>297</v>
      </c>
      <c r="F152" s="124" t="s">
        <v>109</v>
      </c>
    </row>
    <row r="153" spans="1:6" x14ac:dyDescent="0.3">
      <c r="A153" s="125">
        <v>45988</v>
      </c>
      <c r="B153" t="s">
        <v>54</v>
      </c>
      <c r="C153" s="11">
        <v>5352</v>
      </c>
      <c r="D153" s="11"/>
      <c r="E153" t="s">
        <v>231</v>
      </c>
      <c r="F153" s="124" t="s">
        <v>109</v>
      </c>
    </row>
    <row r="154" spans="1:6" x14ac:dyDescent="0.3">
      <c r="A154" s="125">
        <v>45988</v>
      </c>
      <c r="B154" t="s">
        <v>182</v>
      </c>
      <c r="C154" s="11"/>
      <c r="D154" s="11">
        <v>5352</v>
      </c>
      <c r="E154" t="s">
        <v>231</v>
      </c>
      <c r="F154" s="124" t="s">
        <v>109</v>
      </c>
    </row>
    <row r="155" spans="1:6" x14ac:dyDescent="0.3">
      <c r="A155" s="125">
        <v>45988</v>
      </c>
      <c r="B155" t="s">
        <v>21</v>
      </c>
      <c r="C155" s="11"/>
      <c r="D155" s="11">
        <v>85000</v>
      </c>
      <c r="E155" t="s">
        <v>301</v>
      </c>
      <c r="F155" s="124" t="s">
        <v>109</v>
      </c>
    </row>
    <row r="156" spans="1:6" x14ac:dyDescent="0.3">
      <c r="A156" s="38">
        <v>45988</v>
      </c>
      <c r="B156" t="s">
        <v>302</v>
      </c>
      <c r="C156" s="97">
        <v>85000</v>
      </c>
      <c r="D156" s="97"/>
      <c r="E156" t="s">
        <v>303</v>
      </c>
      <c r="F156" s="124" t="s">
        <v>109</v>
      </c>
    </row>
    <row r="157" spans="1:6" x14ac:dyDescent="0.3">
      <c r="A157" s="125">
        <v>45989</v>
      </c>
      <c r="B157" t="s">
        <v>182</v>
      </c>
      <c r="C157" s="11"/>
      <c r="D157" s="11">
        <v>5350</v>
      </c>
      <c r="E157" t="s">
        <v>231</v>
      </c>
      <c r="F157" s="124" t="s">
        <v>109</v>
      </c>
    </row>
    <row r="158" spans="1:6" x14ac:dyDescent="0.3">
      <c r="A158" s="125">
        <v>45989</v>
      </c>
      <c r="B158" t="s">
        <v>54</v>
      </c>
      <c r="C158" s="11">
        <v>5350</v>
      </c>
      <c r="D158" s="11"/>
      <c r="E158" t="s">
        <v>231</v>
      </c>
      <c r="F158" s="124" t="s">
        <v>109</v>
      </c>
    </row>
    <row r="159" spans="1:6" x14ac:dyDescent="0.3">
      <c r="A159" s="125">
        <v>45989</v>
      </c>
      <c r="B159" t="s">
        <v>211</v>
      </c>
      <c r="C159" s="11">
        <v>9000</v>
      </c>
      <c r="D159" s="11"/>
      <c r="E159" t="s">
        <v>304</v>
      </c>
      <c r="F159" s="124" t="s">
        <v>109</v>
      </c>
    </row>
    <row r="160" spans="1:6" x14ac:dyDescent="0.3">
      <c r="A160" s="125">
        <v>45989</v>
      </c>
      <c r="B160" t="s">
        <v>182</v>
      </c>
      <c r="C160" s="11"/>
      <c r="D160" s="11">
        <v>5000</v>
      </c>
      <c r="E160" t="s">
        <v>305</v>
      </c>
      <c r="F160" s="124" t="s">
        <v>109</v>
      </c>
    </row>
    <row r="161" spans="1:12" x14ac:dyDescent="0.3">
      <c r="A161" s="125">
        <v>45989</v>
      </c>
      <c r="B161" t="s">
        <v>21</v>
      </c>
      <c r="C161" s="11"/>
      <c r="D161" s="11">
        <v>50000</v>
      </c>
      <c r="E161" t="s">
        <v>306</v>
      </c>
      <c r="F161" s="124" t="s">
        <v>109</v>
      </c>
    </row>
    <row r="162" spans="1:12" x14ac:dyDescent="0.3">
      <c r="A162" s="125">
        <v>45989</v>
      </c>
      <c r="B162" t="s">
        <v>236</v>
      </c>
      <c r="C162" s="97"/>
      <c r="D162" s="97">
        <v>100000</v>
      </c>
      <c r="F162" s="124" t="s">
        <v>109</v>
      </c>
    </row>
    <row r="163" spans="1:12" x14ac:dyDescent="0.3">
      <c r="A163" s="125">
        <v>45989</v>
      </c>
      <c r="B163" t="s">
        <v>9</v>
      </c>
      <c r="C163" s="11"/>
      <c r="D163" s="11">
        <v>300000</v>
      </c>
      <c r="E163" t="s">
        <v>227</v>
      </c>
      <c r="F163" s="124" t="s">
        <v>109</v>
      </c>
      <c r="J163" s="3" t="s">
        <v>6</v>
      </c>
      <c r="K163" t="s">
        <v>119</v>
      </c>
      <c r="L163" t="s">
        <v>120</v>
      </c>
    </row>
    <row r="164" spans="1:12" x14ac:dyDescent="0.3">
      <c r="A164" s="125">
        <v>45989</v>
      </c>
      <c r="B164" t="s">
        <v>9</v>
      </c>
      <c r="C164" s="11"/>
      <c r="D164" s="11">
        <v>200000</v>
      </c>
      <c r="E164" t="s">
        <v>227</v>
      </c>
      <c r="F164" s="124" t="s">
        <v>109</v>
      </c>
      <c r="J164" s="4" t="s">
        <v>219</v>
      </c>
      <c r="K164" s="14"/>
      <c r="L164" s="14">
        <v>541500</v>
      </c>
    </row>
    <row r="165" spans="1:12" x14ac:dyDescent="0.3">
      <c r="A165" s="125">
        <v>45989</v>
      </c>
      <c r="B165" t="s">
        <v>95</v>
      </c>
      <c r="C165" s="11">
        <v>46100</v>
      </c>
      <c r="D165" s="11"/>
      <c r="E165" t="s">
        <v>309</v>
      </c>
      <c r="F165" s="124" t="s">
        <v>109</v>
      </c>
      <c r="J165" s="4" t="s">
        <v>9</v>
      </c>
      <c r="K165" s="14">
        <v>1900000</v>
      </c>
      <c r="L165" s="14"/>
    </row>
    <row r="166" spans="1:12" x14ac:dyDescent="0.3">
      <c r="A166" s="125">
        <v>45989</v>
      </c>
      <c r="B166" t="s">
        <v>236</v>
      </c>
      <c r="C166" s="11"/>
      <c r="D166" s="11">
        <v>100000</v>
      </c>
      <c r="F166" s="124" t="s">
        <v>109</v>
      </c>
      <c r="J166" s="4" t="s">
        <v>21</v>
      </c>
      <c r="K166" s="14">
        <v>1339058</v>
      </c>
      <c r="L166" s="14"/>
    </row>
    <row r="167" spans="1:12" x14ac:dyDescent="0.3">
      <c r="A167" s="125">
        <v>45989</v>
      </c>
      <c r="B167" t="s">
        <v>236</v>
      </c>
      <c r="C167" s="11"/>
      <c r="D167" s="11">
        <v>47500</v>
      </c>
      <c r="F167" s="124" t="s">
        <v>109</v>
      </c>
      <c r="J167" s="4" t="s">
        <v>118</v>
      </c>
      <c r="K167" s="14"/>
      <c r="L167" s="14">
        <v>24000</v>
      </c>
    </row>
    <row r="168" spans="1:12" x14ac:dyDescent="0.3">
      <c r="A168" s="125">
        <v>45989</v>
      </c>
      <c r="B168" t="s">
        <v>21</v>
      </c>
      <c r="C168" s="11"/>
      <c r="D168" s="11">
        <v>25000</v>
      </c>
      <c r="F168" s="124" t="s">
        <v>109</v>
      </c>
      <c r="J168" s="4" t="s">
        <v>95</v>
      </c>
      <c r="K168" s="14"/>
      <c r="L168" s="14">
        <v>4185913</v>
      </c>
    </row>
    <row r="169" spans="1:12" x14ac:dyDescent="0.3">
      <c r="A169" s="125">
        <v>45989</v>
      </c>
      <c r="B169" t="s">
        <v>55</v>
      </c>
      <c r="C169" s="11">
        <v>25000</v>
      </c>
      <c r="D169" s="11"/>
      <c r="E169" t="s">
        <v>230</v>
      </c>
      <c r="F169" s="124" t="s">
        <v>109</v>
      </c>
      <c r="J169" s="4" t="s">
        <v>246</v>
      </c>
      <c r="K169" s="14"/>
      <c r="L169" s="14">
        <v>38648</v>
      </c>
    </row>
    <row r="170" spans="1:12" x14ac:dyDescent="0.3">
      <c r="A170" s="125">
        <v>45989</v>
      </c>
      <c r="B170" t="s">
        <v>182</v>
      </c>
      <c r="C170" s="11">
        <v>5000</v>
      </c>
      <c r="D170" s="11"/>
      <c r="E170" t="s">
        <v>307</v>
      </c>
      <c r="F170" s="124" t="s">
        <v>109</v>
      </c>
      <c r="J170" s="4" t="s">
        <v>55</v>
      </c>
      <c r="K170" s="14"/>
      <c r="L170" s="14">
        <v>405764</v>
      </c>
    </row>
    <row r="171" spans="1:12" x14ac:dyDescent="0.3">
      <c r="A171" s="125">
        <v>45988</v>
      </c>
      <c r="B171" t="s">
        <v>182</v>
      </c>
      <c r="C171" s="11">
        <v>1000</v>
      </c>
      <c r="D171" s="11"/>
      <c r="F171" s="124" t="s">
        <v>109</v>
      </c>
      <c r="J171" s="4" t="s">
        <v>114</v>
      </c>
      <c r="K171" s="14"/>
      <c r="L171" s="14">
        <v>163990</v>
      </c>
    </row>
    <row r="172" spans="1:12" x14ac:dyDescent="0.3">
      <c r="A172" s="125">
        <v>45989</v>
      </c>
      <c r="B172" t="s">
        <v>246</v>
      </c>
      <c r="C172" s="11">
        <v>500</v>
      </c>
      <c r="D172" s="11"/>
      <c r="E172" t="s">
        <v>308</v>
      </c>
      <c r="F172" s="124" t="s">
        <v>109</v>
      </c>
      <c r="J172" s="4" t="s">
        <v>211</v>
      </c>
      <c r="K172" s="14"/>
      <c r="L172" s="14">
        <v>1123850</v>
      </c>
    </row>
    <row r="173" spans="1:12" x14ac:dyDescent="0.3">
      <c r="A173" s="125">
        <v>45990</v>
      </c>
      <c r="B173" t="s">
        <v>182</v>
      </c>
      <c r="C173" s="11"/>
      <c r="D173" s="11">
        <v>10310</v>
      </c>
      <c r="E173" t="s">
        <v>114</v>
      </c>
      <c r="F173" s="124" t="s">
        <v>109</v>
      </c>
      <c r="J173" s="4" t="s">
        <v>54</v>
      </c>
      <c r="K173" s="14">
        <v>12700</v>
      </c>
      <c r="L173" s="14">
        <v>201080</v>
      </c>
    </row>
    <row r="174" spans="1:12" x14ac:dyDescent="0.3">
      <c r="A174" s="125">
        <v>45990</v>
      </c>
      <c r="B174" t="s">
        <v>114</v>
      </c>
      <c r="C174" s="11">
        <v>10310</v>
      </c>
      <c r="D174" s="11"/>
      <c r="E174" t="s">
        <v>310</v>
      </c>
      <c r="F174" s="124" t="s">
        <v>109</v>
      </c>
      <c r="J174" s="4" t="s">
        <v>185</v>
      </c>
      <c r="K174" s="14"/>
      <c r="L174" s="14">
        <v>177878</v>
      </c>
    </row>
    <row r="175" spans="1:12" x14ac:dyDescent="0.3">
      <c r="A175" s="125">
        <v>45990</v>
      </c>
      <c r="B175" t="s">
        <v>54</v>
      </c>
      <c r="C175" s="11">
        <v>16100</v>
      </c>
      <c r="D175" s="11"/>
      <c r="E175" t="s">
        <v>231</v>
      </c>
      <c r="F175" s="124" t="s">
        <v>109</v>
      </c>
      <c r="J175" s="4" t="s">
        <v>396</v>
      </c>
      <c r="K175" s="14"/>
      <c r="L175" s="14">
        <v>2000</v>
      </c>
    </row>
    <row r="176" spans="1:12" x14ac:dyDescent="0.3">
      <c r="A176" s="125">
        <v>45990</v>
      </c>
      <c r="B176" t="s">
        <v>54</v>
      </c>
      <c r="C176" s="11">
        <v>3000</v>
      </c>
      <c r="D176" s="11"/>
      <c r="E176" t="s">
        <v>231</v>
      </c>
      <c r="F176" s="124" t="s">
        <v>109</v>
      </c>
      <c r="J176" s="4" t="s">
        <v>182</v>
      </c>
      <c r="K176" s="14">
        <v>128092</v>
      </c>
      <c r="L176" s="14">
        <v>19470</v>
      </c>
    </row>
    <row r="177" spans="1:12" x14ac:dyDescent="0.3">
      <c r="A177" s="125">
        <v>45990</v>
      </c>
      <c r="B177" t="s">
        <v>21</v>
      </c>
      <c r="C177" s="11"/>
      <c r="D177" s="11">
        <v>13500</v>
      </c>
      <c r="E177" t="s">
        <v>231</v>
      </c>
      <c r="F177" s="124" t="s">
        <v>109</v>
      </c>
      <c r="J177" s="4" t="s">
        <v>226</v>
      </c>
      <c r="K177" s="14">
        <v>700000</v>
      </c>
      <c r="L177" s="14"/>
    </row>
    <row r="178" spans="1:12" x14ac:dyDescent="0.3">
      <c r="A178" s="125">
        <v>45990</v>
      </c>
      <c r="B178" t="s">
        <v>21</v>
      </c>
      <c r="C178" s="11"/>
      <c r="D178" s="11">
        <v>19000</v>
      </c>
      <c r="E178" t="s">
        <v>289</v>
      </c>
      <c r="F178" s="124" t="s">
        <v>109</v>
      </c>
      <c r="J178" s="4" t="s">
        <v>104</v>
      </c>
      <c r="K178" s="14"/>
      <c r="L178" s="14"/>
    </row>
    <row r="179" spans="1:12" x14ac:dyDescent="0.3">
      <c r="A179" s="125">
        <v>45990</v>
      </c>
      <c r="B179" t="s">
        <v>219</v>
      </c>
      <c r="C179" s="97">
        <v>20000</v>
      </c>
      <c r="D179" s="97"/>
      <c r="E179" t="s">
        <v>289</v>
      </c>
      <c r="F179" s="124" t="s">
        <v>109</v>
      </c>
      <c r="J179" s="4" t="s">
        <v>25</v>
      </c>
      <c r="K179" s="14">
        <v>1853061</v>
      </c>
      <c r="L179" s="14"/>
    </row>
    <row r="180" spans="1:12" x14ac:dyDescent="0.3">
      <c r="A180" s="125">
        <v>45990</v>
      </c>
      <c r="B180" t="s">
        <v>21</v>
      </c>
      <c r="C180" s="11"/>
      <c r="D180" s="11">
        <v>46000</v>
      </c>
      <c r="E180" t="s">
        <v>222</v>
      </c>
      <c r="F180" s="124" t="s">
        <v>109</v>
      </c>
      <c r="J180" s="4" t="s">
        <v>27</v>
      </c>
      <c r="K180" s="14">
        <v>605980</v>
      </c>
      <c r="L180" s="14"/>
    </row>
    <row r="181" spans="1:12" x14ac:dyDescent="0.3">
      <c r="A181" s="125">
        <v>45990</v>
      </c>
      <c r="B181" t="s">
        <v>184</v>
      </c>
      <c r="C181" s="11">
        <v>46000</v>
      </c>
      <c r="D181" s="11"/>
      <c r="E181" t="s">
        <v>311</v>
      </c>
      <c r="F181" s="124" t="s">
        <v>109</v>
      </c>
      <c r="J181" s="4" t="s">
        <v>116</v>
      </c>
      <c r="K181" s="14"/>
      <c r="L181" s="14">
        <v>240125</v>
      </c>
    </row>
    <row r="182" spans="1:12" x14ac:dyDescent="0.3">
      <c r="A182" s="125">
        <v>45990</v>
      </c>
      <c r="B182" t="s">
        <v>236</v>
      </c>
      <c r="C182" s="11"/>
      <c r="D182" s="11">
        <v>260000</v>
      </c>
      <c r="F182" s="124" t="s">
        <v>109</v>
      </c>
      <c r="J182" s="4" t="s">
        <v>35</v>
      </c>
      <c r="K182" s="14">
        <v>10040</v>
      </c>
      <c r="L182" s="14"/>
    </row>
    <row r="183" spans="1:12" x14ac:dyDescent="0.3">
      <c r="A183" s="125">
        <v>45990</v>
      </c>
      <c r="B183" t="s">
        <v>95</v>
      </c>
      <c r="C183" s="11">
        <v>200000</v>
      </c>
      <c r="D183" s="11"/>
      <c r="E183" t="s">
        <v>312</v>
      </c>
      <c r="F183" s="124" t="s">
        <v>109</v>
      </c>
      <c r="J183" s="4" t="s">
        <v>386</v>
      </c>
      <c r="K183" s="14">
        <v>200000</v>
      </c>
      <c r="L183" s="14"/>
    </row>
    <row r="184" spans="1:12" x14ac:dyDescent="0.3">
      <c r="A184" s="125">
        <v>45990</v>
      </c>
      <c r="B184" t="s">
        <v>236</v>
      </c>
      <c r="C184" s="11">
        <v>50000</v>
      </c>
      <c r="D184" s="11"/>
      <c r="E184" t="s">
        <v>167</v>
      </c>
      <c r="F184" s="124" t="s">
        <v>109</v>
      </c>
      <c r="J184" s="4" t="s">
        <v>150</v>
      </c>
      <c r="K184" s="14"/>
      <c r="L184" s="14">
        <v>90000</v>
      </c>
    </row>
    <row r="185" spans="1:12" x14ac:dyDescent="0.3">
      <c r="A185" s="125">
        <v>45990</v>
      </c>
      <c r="B185" t="s">
        <v>167</v>
      </c>
      <c r="C185" s="11"/>
      <c r="D185" s="11">
        <v>50000</v>
      </c>
      <c r="F185" s="124" t="s">
        <v>109</v>
      </c>
      <c r="J185" s="4" t="s">
        <v>153</v>
      </c>
      <c r="K185" s="14">
        <v>1705000</v>
      </c>
      <c r="L185" s="14"/>
    </row>
    <row r="186" spans="1:12" x14ac:dyDescent="0.3">
      <c r="A186" s="125">
        <v>45990</v>
      </c>
      <c r="B186" t="s">
        <v>296</v>
      </c>
      <c r="C186" s="11"/>
      <c r="D186" s="11">
        <v>200000</v>
      </c>
      <c r="F186" s="124" t="s">
        <v>109</v>
      </c>
      <c r="J186" s="4" t="s">
        <v>167</v>
      </c>
      <c r="K186" s="14">
        <v>925217</v>
      </c>
      <c r="L186" s="14"/>
    </row>
    <row r="187" spans="1:12" x14ac:dyDescent="0.3">
      <c r="A187" s="125">
        <v>45990</v>
      </c>
      <c r="B187" t="s">
        <v>95</v>
      </c>
      <c r="C187" s="11">
        <v>200338</v>
      </c>
      <c r="D187" s="11"/>
      <c r="E187" t="s">
        <v>313</v>
      </c>
      <c r="F187" s="124" t="s">
        <v>109</v>
      </c>
      <c r="J187" s="4" t="s">
        <v>205</v>
      </c>
      <c r="K187" s="14"/>
      <c r="L187" s="14">
        <v>728572</v>
      </c>
    </row>
    <row r="188" spans="1:12" x14ac:dyDescent="0.3">
      <c r="A188" s="125">
        <v>45990</v>
      </c>
      <c r="B188" t="s">
        <v>21</v>
      </c>
      <c r="C188" s="11"/>
      <c r="D188" s="11">
        <v>10000</v>
      </c>
      <c r="E188" t="s">
        <v>314</v>
      </c>
      <c r="F188" s="124" t="s">
        <v>109</v>
      </c>
      <c r="J188" s="4" t="s">
        <v>178</v>
      </c>
      <c r="K188" s="14"/>
      <c r="L188" s="14">
        <v>201000</v>
      </c>
    </row>
    <row r="189" spans="1:12" x14ac:dyDescent="0.3">
      <c r="A189" s="125">
        <v>45990</v>
      </c>
      <c r="B189" t="s">
        <v>219</v>
      </c>
      <c r="C189" s="11">
        <v>10000</v>
      </c>
      <c r="D189" s="11"/>
      <c r="E189" t="s">
        <v>220</v>
      </c>
      <c r="F189" s="124" t="s">
        <v>109</v>
      </c>
      <c r="J189" s="4" t="s">
        <v>236</v>
      </c>
      <c r="K189" s="14">
        <v>4261717</v>
      </c>
      <c r="L189" s="14">
        <v>5526426</v>
      </c>
    </row>
    <row r="190" spans="1:12" x14ac:dyDescent="0.3">
      <c r="A190" s="125">
        <v>45990</v>
      </c>
      <c r="B190" t="s">
        <v>211</v>
      </c>
      <c r="C190" s="11">
        <v>1000</v>
      </c>
      <c r="D190" s="11"/>
      <c r="E190" t="s">
        <v>315</v>
      </c>
      <c r="F190" s="124" t="s">
        <v>109</v>
      </c>
      <c r="J190" s="4" t="s">
        <v>183</v>
      </c>
      <c r="K190" s="14">
        <v>2000000</v>
      </c>
      <c r="L190" s="14"/>
    </row>
    <row r="191" spans="1:12" x14ac:dyDescent="0.3">
      <c r="A191" s="125">
        <v>45990</v>
      </c>
      <c r="B191" t="s">
        <v>182</v>
      </c>
      <c r="C191" s="11"/>
      <c r="D191" s="11">
        <v>1000</v>
      </c>
      <c r="E191" t="s">
        <v>316</v>
      </c>
      <c r="F191" s="124" t="s">
        <v>109</v>
      </c>
      <c r="J191" s="4" t="s">
        <v>184</v>
      </c>
      <c r="K191" s="14"/>
      <c r="L191" s="14">
        <v>1223450</v>
      </c>
    </row>
    <row r="192" spans="1:12" x14ac:dyDescent="0.3">
      <c r="A192" s="125">
        <v>45990</v>
      </c>
      <c r="B192" t="s">
        <v>182</v>
      </c>
      <c r="C192" s="11"/>
      <c r="D192" s="11">
        <v>1000</v>
      </c>
      <c r="E192" t="s">
        <v>317</v>
      </c>
      <c r="F192" s="124" t="s">
        <v>109</v>
      </c>
      <c r="J192" s="4" t="s">
        <v>235</v>
      </c>
      <c r="K192" s="14">
        <v>1500000</v>
      </c>
      <c r="L192" s="14"/>
    </row>
    <row r="193" spans="1:12" x14ac:dyDescent="0.3">
      <c r="A193" s="125">
        <v>45990</v>
      </c>
      <c r="B193" t="s">
        <v>21</v>
      </c>
      <c r="C193" s="11"/>
      <c r="D193" s="11">
        <v>11150</v>
      </c>
      <c r="E193" t="s">
        <v>318</v>
      </c>
      <c r="F193" s="124" t="s">
        <v>109</v>
      </c>
      <c r="J193" s="4" t="s">
        <v>179</v>
      </c>
      <c r="K193" s="14">
        <v>120205</v>
      </c>
      <c r="L193" s="14"/>
    </row>
    <row r="194" spans="1:12" x14ac:dyDescent="0.3">
      <c r="A194" s="125">
        <v>45990</v>
      </c>
      <c r="B194" t="s">
        <v>55</v>
      </c>
      <c r="C194" s="11">
        <v>11150</v>
      </c>
      <c r="D194" s="11"/>
      <c r="E194" t="s">
        <v>318</v>
      </c>
      <c r="F194" s="124" t="s">
        <v>109</v>
      </c>
      <c r="J194" s="4" t="s">
        <v>192</v>
      </c>
      <c r="K194" s="14"/>
      <c r="L194" s="14">
        <v>4000</v>
      </c>
    </row>
    <row r="195" spans="1:12" x14ac:dyDescent="0.3">
      <c r="A195" s="125">
        <v>45990</v>
      </c>
      <c r="B195" t="s">
        <v>21</v>
      </c>
      <c r="C195" s="11"/>
      <c r="D195" s="11">
        <v>52000</v>
      </c>
      <c r="E195" t="s">
        <v>319</v>
      </c>
      <c r="F195" s="124" t="s">
        <v>109</v>
      </c>
      <c r="J195" s="4" t="s">
        <v>194</v>
      </c>
      <c r="K195" s="14"/>
      <c r="L195" s="14">
        <v>94375</v>
      </c>
    </row>
    <row r="196" spans="1:12" x14ac:dyDescent="0.3">
      <c r="A196" s="38">
        <v>45990</v>
      </c>
      <c r="C196" s="97"/>
      <c r="D196" s="97"/>
      <c r="F196" s="124"/>
      <c r="J196" s="4" t="s">
        <v>202</v>
      </c>
      <c r="K196" s="14">
        <v>-1257831</v>
      </c>
      <c r="L196" s="14"/>
    </row>
    <row r="197" spans="1:12" x14ac:dyDescent="0.3">
      <c r="A197" s="125">
        <v>45991</v>
      </c>
      <c r="B197" t="s">
        <v>21</v>
      </c>
      <c r="C197" s="97"/>
      <c r="D197" s="97">
        <v>10000</v>
      </c>
      <c r="E197" t="s">
        <v>188</v>
      </c>
      <c r="F197" s="124" t="s">
        <v>109</v>
      </c>
      <c r="J197" s="4" t="s">
        <v>51</v>
      </c>
      <c r="K197" s="14"/>
      <c r="L197" s="14">
        <v>1803475</v>
      </c>
    </row>
    <row r="198" spans="1:12" x14ac:dyDescent="0.3">
      <c r="A198" s="125">
        <v>45991</v>
      </c>
      <c r="B198" t="s">
        <v>211</v>
      </c>
      <c r="C198" s="97"/>
      <c r="D198" s="97"/>
      <c r="E198" t="s">
        <v>188</v>
      </c>
      <c r="F198" s="124" t="s">
        <v>109</v>
      </c>
      <c r="J198" s="4" t="s">
        <v>149</v>
      </c>
      <c r="K198" s="14">
        <v>130000</v>
      </c>
      <c r="L198" s="14"/>
    </row>
    <row r="199" spans="1:12" x14ac:dyDescent="0.3">
      <c r="A199" s="38">
        <v>45991</v>
      </c>
      <c r="B199" t="s">
        <v>185</v>
      </c>
      <c r="C199" s="11">
        <v>3000</v>
      </c>
      <c r="D199" s="11"/>
      <c r="E199" t="s">
        <v>320</v>
      </c>
      <c r="F199" s="124" t="s">
        <v>109</v>
      </c>
      <c r="J199" s="4" t="s">
        <v>274</v>
      </c>
      <c r="K199" s="14"/>
      <c r="L199" s="14">
        <v>624000</v>
      </c>
    </row>
    <row r="200" spans="1:12" x14ac:dyDescent="0.3">
      <c r="A200" s="38">
        <v>45991</v>
      </c>
      <c r="B200" t="s">
        <v>185</v>
      </c>
      <c r="C200" s="11">
        <v>5000</v>
      </c>
      <c r="D200" s="11"/>
      <c r="E200" t="s">
        <v>321</v>
      </c>
      <c r="F200" s="124" t="s">
        <v>109</v>
      </c>
      <c r="J200" s="4" t="s">
        <v>285</v>
      </c>
      <c r="K200" s="14">
        <v>16200</v>
      </c>
      <c r="L200" s="14">
        <v>73000</v>
      </c>
    </row>
    <row r="201" spans="1:12" x14ac:dyDescent="0.3">
      <c r="A201" s="38">
        <v>45991</v>
      </c>
      <c r="B201" t="s">
        <v>185</v>
      </c>
      <c r="C201" s="11">
        <v>3520</v>
      </c>
      <c r="D201" s="11"/>
      <c r="E201" t="s">
        <v>322</v>
      </c>
      <c r="F201" s="124" t="s">
        <v>109</v>
      </c>
      <c r="J201" s="4" t="s">
        <v>296</v>
      </c>
      <c r="K201" s="14">
        <v>790500</v>
      </c>
      <c r="L201" s="14"/>
    </row>
    <row r="202" spans="1:12" x14ac:dyDescent="0.3">
      <c r="A202" s="38">
        <v>45991</v>
      </c>
      <c r="B202" t="s">
        <v>185</v>
      </c>
      <c r="C202" s="11">
        <v>1000</v>
      </c>
      <c r="D202" s="11"/>
      <c r="E202" t="s">
        <v>323</v>
      </c>
      <c r="F202" s="124" t="s">
        <v>109</v>
      </c>
      <c r="J202" s="4" t="s">
        <v>302</v>
      </c>
      <c r="K202" s="14"/>
      <c r="L202" s="14">
        <v>85000</v>
      </c>
    </row>
    <row r="203" spans="1:12" x14ac:dyDescent="0.3">
      <c r="A203" s="38">
        <v>45992</v>
      </c>
      <c r="B203" t="s">
        <v>185</v>
      </c>
      <c r="C203" s="11">
        <v>3000</v>
      </c>
      <c r="D203" s="11"/>
      <c r="E203" t="s">
        <v>208</v>
      </c>
      <c r="F203" s="124" t="s">
        <v>109</v>
      </c>
      <c r="J203" s="4" t="s">
        <v>331</v>
      </c>
      <c r="K203" s="14">
        <v>1468325</v>
      </c>
      <c r="L203" s="14"/>
    </row>
    <row r="204" spans="1:12" x14ac:dyDescent="0.3">
      <c r="A204" s="38">
        <v>45992</v>
      </c>
      <c r="B204" t="s">
        <v>185</v>
      </c>
      <c r="C204" s="11">
        <v>500</v>
      </c>
      <c r="D204" s="11"/>
      <c r="E204" t="s">
        <v>324</v>
      </c>
      <c r="F204" s="124" t="s">
        <v>109</v>
      </c>
      <c r="J204" s="4" t="s">
        <v>355</v>
      </c>
      <c r="K204" s="14">
        <v>124560</v>
      </c>
      <c r="L204" s="14"/>
    </row>
    <row r="205" spans="1:12" x14ac:dyDescent="0.3">
      <c r="A205" s="38">
        <v>45992</v>
      </c>
      <c r="B205" t="s">
        <v>114</v>
      </c>
      <c r="C205" s="97">
        <v>20000</v>
      </c>
      <c r="D205" s="97"/>
      <c r="E205" t="s">
        <v>248</v>
      </c>
      <c r="F205" s="124" t="s">
        <v>109</v>
      </c>
      <c r="J205" s="4" t="s">
        <v>340</v>
      </c>
      <c r="K205" s="14"/>
      <c r="L205" s="14">
        <v>1167550</v>
      </c>
    </row>
    <row r="206" spans="1:12" x14ac:dyDescent="0.3">
      <c r="A206" s="38">
        <v>45992</v>
      </c>
      <c r="B206" t="s">
        <v>296</v>
      </c>
      <c r="C206" s="11"/>
      <c r="D206" s="11">
        <v>30000</v>
      </c>
      <c r="F206" s="124" t="s">
        <v>109</v>
      </c>
      <c r="J206" s="4" t="s">
        <v>298</v>
      </c>
      <c r="K206" s="14">
        <v>424323</v>
      </c>
      <c r="L206" s="14"/>
    </row>
    <row r="207" spans="1:12" x14ac:dyDescent="0.3">
      <c r="A207" s="38">
        <v>45992</v>
      </c>
      <c r="B207" t="s">
        <v>21</v>
      </c>
      <c r="C207" s="11"/>
      <c r="D207" s="11">
        <v>7750</v>
      </c>
      <c r="E207" t="s">
        <v>239</v>
      </c>
      <c r="F207" s="124" t="s">
        <v>109</v>
      </c>
      <c r="J207" s="4" t="s">
        <v>370</v>
      </c>
      <c r="K207" s="14"/>
      <c r="L207" s="14">
        <v>432000</v>
      </c>
    </row>
    <row r="208" spans="1:12" x14ac:dyDescent="0.3">
      <c r="A208" s="38">
        <v>45992</v>
      </c>
      <c r="B208" t="s">
        <v>184</v>
      </c>
      <c r="C208" s="11">
        <v>52000</v>
      </c>
      <c r="D208" s="11"/>
      <c r="E208" t="s">
        <v>325</v>
      </c>
      <c r="F208" s="124" t="s">
        <v>109</v>
      </c>
      <c r="J208" s="4" t="s">
        <v>452</v>
      </c>
      <c r="K208" s="14">
        <v>250000</v>
      </c>
      <c r="L208" s="14"/>
    </row>
    <row r="209" spans="1:12" x14ac:dyDescent="0.3">
      <c r="A209" s="38">
        <v>45992</v>
      </c>
      <c r="B209" t="s">
        <v>21</v>
      </c>
      <c r="C209" s="11"/>
      <c r="D209" s="11">
        <v>52000</v>
      </c>
      <c r="E209" t="s">
        <v>222</v>
      </c>
      <c r="F209" s="124" t="s">
        <v>109</v>
      </c>
      <c r="J209" s="4" t="s">
        <v>28</v>
      </c>
      <c r="K209" s="14">
        <v>19207147</v>
      </c>
      <c r="L209" s="14">
        <v>19177066</v>
      </c>
    </row>
    <row r="210" spans="1:12" x14ac:dyDescent="0.3">
      <c r="A210" s="38">
        <v>45992</v>
      </c>
      <c r="B210" t="s">
        <v>55</v>
      </c>
      <c r="C210" s="11">
        <v>7750</v>
      </c>
      <c r="D210" s="11"/>
      <c r="E210" t="s">
        <v>239</v>
      </c>
      <c r="F210" s="124" t="s">
        <v>109</v>
      </c>
    </row>
    <row r="211" spans="1:12" x14ac:dyDescent="0.3">
      <c r="A211" s="38">
        <v>45992</v>
      </c>
      <c r="B211" t="s">
        <v>55</v>
      </c>
      <c r="C211" s="11">
        <v>1900</v>
      </c>
      <c r="D211" s="11"/>
      <c r="E211" t="s">
        <v>239</v>
      </c>
      <c r="F211" s="124" t="s">
        <v>109</v>
      </c>
    </row>
    <row r="212" spans="1:12" x14ac:dyDescent="0.3">
      <c r="A212" s="38">
        <v>45992</v>
      </c>
      <c r="B212" t="s">
        <v>21</v>
      </c>
      <c r="C212" s="11"/>
      <c r="D212" s="11">
        <v>1900</v>
      </c>
      <c r="E212" t="s">
        <v>239</v>
      </c>
      <c r="F212" s="124" t="s">
        <v>109</v>
      </c>
    </row>
    <row r="213" spans="1:12" x14ac:dyDescent="0.3">
      <c r="A213" s="38">
        <v>45992</v>
      </c>
      <c r="B213" t="s">
        <v>182</v>
      </c>
      <c r="C213" s="11">
        <v>900</v>
      </c>
      <c r="D213" s="11"/>
      <c r="E213" t="s">
        <v>210</v>
      </c>
      <c r="F213" s="124" t="s">
        <v>109</v>
      </c>
    </row>
    <row r="214" spans="1:12" x14ac:dyDescent="0.3">
      <c r="A214" s="38">
        <v>45992</v>
      </c>
      <c r="B214" t="s">
        <v>183</v>
      </c>
      <c r="C214" s="11"/>
      <c r="D214" s="11">
        <v>1000000</v>
      </c>
      <c r="E214" t="s">
        <v>227</v>
      </c>
      <c r="F214" s="124" t="s">
        <v>109</v>
      </c>
    </row>
    <row r="215" spans="1:12" x14ac:dyDescent="0.3">
      <c r="A215" s="125">
        <v>45992</v>
      </c>
      <c r="B215" t="s">
        <v>95</v>
      </c>
      <c r="C215" s="11">
        <v>300204</v>
      </c>
      <c r="D215" s="11"/>
      <c r="E215" t="s">
        <v>326</v>
      </c>
      <c r="F215" s="124" t="s">
        <v>109</v>
      </c>
    </row>
    <row r="216" spans="1:12" x14ac:dyDescent="0.3">
      <c r="A216" s="38">
        <v>45992</v>
      </c>
      <c r="B216" t="s">
        <v>54</v>
      </c>
      <c r="C216" s="97">
        <v>3000</v>
      </c>
      <c r="D216" s="97"/>
      <c r="E216" t="s">
        <v>231</v>
      </c>
      <c r="F216" s="124" t="s">
        <v>109</v>
      </c>
    </row>
    <row r="217" spans="1:12" x14ac:dyDescent="0.3">
      <c r="A217" s="38">
        <v>45992</v>
      </c>
      <c r="B217" t="s">
        <v>211</v>
      </c>
      <c r="C217" s="97"/>
      <c r="D217" s="97"/>
      <c r="E217" t="s">
        <v>188</v>
      </c>
      <c r="F217" s="124" t="s">
        <v>109</v>
      </c>
    </row>
    <row r="218" spans="1:12" x14ac:dyDescent="0.3">
      <c r="A218" s="125">
        <v>45992</v>
      </c>
      <c r="B218" t="s">
        <v>296</v>
      </c>
      <c r="C218" s="11"/>
      <c r="D218" s="11">
        <v>7000</v>
      </c>
      <c r="E218" t="s">
        <v>310</v>
      </c>
      <c r="F218" s="124" t="s">
        <v>109</v>
      </c>
    </row>
    <row r="219" spans="1:12" x14ac:dyDescent="0.3">
      <c r="A219" s="38">
        <v>45986</v>
      </c>
      <c r="B219" t="s">
        <v>235</v>
      </c>
      <c r="C219" s="97"/>
      <c r="D219" s="97">
        <v>1000000</v>
      </c>
      <c r="E219" t="s">
        <v>328</v>
      </c>
      <c r="F219" s="124" t="s">
        <v>109</v>
      </c>
    </row>
    <row r="220" spans="1:12" x14ac:dyDescent="0.3">
      <c r="A220" s="125">
        <v>45986</v>
      </c>
      <c r="B220" t="s">
        <v>236</v>
      </c>
      <c r="C220" s="11">
        <v>1000000</v>
      </c>
      <c r="D220" s="11"/>
      <c r="E220" t="s">
        <v>329</v>
      </c>
      <c r="F220" s="124" t="s">
        <v>109</v>
      </c>
    </row>
    <row r="221" spans="1:12" x14ac:dyDescent="0.3">
      <c r="A221" s="140">
        <v>45986</v>
      </c>
      <c r="B221" t="s">
        <v>182</v>
      </c>
      <c r="C221" s="11"/>
      <c r="D221" s="11">
        <v>100000</v>
      </c>
      <c r="E221" t="s">
        <v>474</v>
      </c>
      <c r="F221" s="124" t="s">
        <v>109</v>
      </c>
    </row>
    <row r="222" spans="1:12" x14ac:dyDescent="0.3">
      <c r="A222" s="140">
        <v>45986</v>
      </c>
      <c r="B222" t="s">
        <v>236</v>
      </c>
      <c r="C222" s="11">
        <v>100000</v>
      </c>
      <c r="D222" s="11"/>
      <c r="E222" t="s">
        <v>475</v>
      </c>
      <c r="F222" s="124" t="s">
        <v>109</v>
      </c>
    </row>
    <row r="223" spans="1:12" x14ac:dyDescent="0.3">
      <c r="A223" s="125">
        <v>45986</v>
      </c>
      <c r="B223" t="s">
        <v>35</v>
      </c>
      <c r="C223" s="11"/>
      <c r="D223" s="11">
        <v>10040</v>
      </c>
      <c r="E223" t="s">
        <v>310</v>
      </c>
      <c r="F223" s="124" t="s">
        <v>109</v>
      </c>
    </row>
    <row r="224" spans="1:12" x14ac:dyDescent="0.3">
      <c r="A224" s="125">
        <v>45986</v>
      </c>
      <c r="B224" t="s">
        <v>236</v>
      </c>
      <c r="C224" s="11">
        <v>10040</v>
      </c>
      <c r="D224" s="11"/>
      <c r="E224" t="s">
        <v>330</v>
      </c>
      <c r="F224" s="124" t="s">
        <v>109</v>
      </c>
    </row>
    <row r="225" spans="1:6" x14ac:dyDescent="0.3">
      <c r="A225" s="125">
        <v>45990</v>
      </c>
      <c r="B225" t="s">
        <v>153</v>
      </c>
      <c r="C225" s="11"/>
      <c r="D225" s="11">
        <v>300000</v>
      </c>
      <c r="E225" t="s">
        <v>262</v>
      </c>
      <c r="F225" s="124" t="s">
        <v>109</v>
      </c>
    </row>
    <row r="226" spans="1:6" x14ac:dyDescent="0.3">
      <c r="A226" s="125">
        <v>45990</v>
      </c>
      <c r="B226" t="s">
        <v>294</v>
      </c>
      <c r="C226" s="11"/>
      <c r="D226" s="11">
        <v>90000</v>
      </c>
      <c r="E226" t="s">
        <v>328</v>
      </c>
      <c r="F226" s="124" t="s">
        <v>109</v>
      </c>
    </row>
    <row r="227" spans="1:6" x14ac:dyDescent="0.3">
      <c r="A227" s="125">
        <v>45990</v>
      </c>
      <c r="B227" t="s">
        <v>236</v>
      </c>
      <c r="C227" s="11">
        <v>390000</v>
      </c>
      <c r="D227" s="11"/>
      <c r="E227" t="s">
        <v>153</v>
      </c>
      <c r="F227" s="124" t="s">
        <v>109</v>
      </c>
    </row>
    <row r="228" spans="1:6" x14ac:dyDescent="0.3">
      <c r="A228" s="125">
        <v>45984</v>
      </c>
      <c r="B228" t="s">
        <v>331</v>
      </c>
      <c r="C228" s="11"/>
      <c r="D228" s="11">
        <v>200000</v>
      </c>
      <c r="F228" s="124" t="s">
        <v>109</v>
      </c>
    </row>
    <row r="229" spans="1:6" x14ac:dyDescent="0.3">
      <c r="A229" s="125">
        <v>45986</v>
      </c>
      <c r="B229" t="s">
        <v>331</v>
      </c>
      <c r="C229" s="11"/>
      <c r="D229" s="11">
        <v>100000</v>
      </c>
      <c r="F229" s="124" t="s">
        <v>109</v>
      </c>
    </row>
    <row r="230" spans="1:6" x14ac:dyDescent="0.3">
      <c r="A230" s="125">
        <v>45985</v>
      </c>
      <c r="B230" t="s">
        <v>331</v>
      </c>
      <c r="C230" s="11"/>
      <c r="D230" s="11">
        <v>50000</v>
      </c>
      <c r="F230" s="124" t="s">
        <v>109</v>
      </c>
    </row>
    <row r="231" spans="1:6" x14ac:dyDescent="0.3">
      <c r="A231" s="125">
        <v>45986</v>
      </c>
      <c r="B231" t="s">
        <v>331</v>
      </c>
      <c r="C231" s="11"/>
      <c r="D231" s="11">
        <v>48325</v>
      </c>
      <c r="E231" t="s">
        <v>310</v>
      </c>
      <c r="F231" s="124" t="s">
        <v>109</v>
      </c>
    </row>
    <row r="232" spans="1:6" x14ac:dyDescent="0.3">
      <c r="A232" s="125">
        <v>45986</v>
      </c>
      <c r="B232" t="s">
        <v>236</v>
      </c>
      <c r="C232" s="11">
        <v>398325</v>
      </c>
      <c r="D232" s="11"/>
      <c r="E232" t="s">
        <v>331</v>
      </c>
      <c r="F232" s="124" t="s">
        <v>109</v>
      </c>
    </row>
    <row r="233" spans="1:6" x14ac:dyDescent="0.3">
      <c r="A233" s="125">
        <v>45993</v>
      </c>
      <c r="B233" t="s">
        <v>54</v>
      </c>
      <c r="C233" s="11">
        <v>3000</v>
      </c>
      <c r="D233" s="11"/>
      <c r="E233" t="s">
        <v>231</v>
      </c>
      <c r="F233" s="124" t="s">
        <v>109</v>
      </c>
    </row>
    <row r="234" spans="1:6" x14ac:dyDescent="0.3">
      <c r="A234" s="38">
        <v>45993</v>
      </c>
      <c r="B234" t="s">
        <v>54</v>
      </c>
      <c r="C234" s="97">
        <v>1000</v>
      </c>
      <c r="D234" s="97"/>
      <c r="E234" t="s">
        <v>277</v>
      </c>
      <c r="F234" s="124" t="s">
        <v>109</v>
      </c>
    </row>
    <row r="235" spans="1:6" x14ac:dyDescent="0.3">
      <c r="A235" s="125">
        <v>45993</v>
      </c>
      <c r="B235" t="s">
        <v>184</v>
      </c>
      <c r="C235" s="11">
        <v>242450</v>
      </c>
      <c r="D235" s="11"/>
      <c r="E235" t="s">
        <v>64</v>
      </c>
      <c r="F235" s="124" t="s">
        <v>109</v>
      </c>
    </row>
    <row r="236" spans="1:6" x14ac:dyDescent="0.3">
      <c r="A236" s="38">
        <v>45993</v>
      </c>
      <c r="B236" t="s">
        <v>95</v>
      </c>
      <c r="C236" s="11">
        <v>200200</v>
      </c>
      <c r="D236" s="11"/>
      <c r="E236" t="s">
        <v>332</v>
      </c>
      <c r="F236" s="124" t="s">
        <v>109</v>
      </c>
    </row>
    <row r="237" spans="1:6" x14ac:dyDescent="0.3">
      <c r="A237" s="125">
        <v>45993</v>
      </c>
      <c r="B237" t="s">
        <v>95</v>
      </c>
      <c r="C237" s="11">
        <v>74400</v>
      </c>
      <c r="D237" s="11"/>
      <c r="E237" t="s">
        <v>223</v>
      </c>
      <c r="F237" s="124" t="s">
        <v>109</v>
      </c>
    </row>
    <row r="238" spans="1:6" x14ac:dyDescent="0.3">
      <c r="A238" s="38">
        <v>45993</v>
      </c>
      <c r="B238" t="s">
        <v>211</v>
      </c>
      <c r="C238" s="11"/>
      <c r="D238" s="11"/>
      <c r="E238" t="s">
        <v>333</v>
      </c>
      <c r="F238" s="124" t="s">
        <v>109</v>
      </c>
    </row>
    <row r="239" spans="1:6" x14ac:dyDescent="0.3">
      <c r="A239" s="125">
        <v>45993</v>
      </c>
      <c r="B239" t="s">
        <v>211</v>
      </c>
      <c r="C239" s="11"/>
      <c r="D239" s="11"/>
      <c r="E239" t="s">
        <v>334</v>
      </c>
      <c r="F239" s="124" t="s">
        <v>109</v>
      </c>
    </row>
    <row r="240" spans="1:6" x14ac:dyDescent="0.3">
      <c r="A240" s="38">
        <v>45993</v>
      </c>
      <c r="B240" t="s">
        <v>211</v>
      </c>
      <c r="C240" s="11">
        <v>6000</v>
      </c>
      <c r="D240" s="11"/>
      <c r="E240" t="s">
        <v>304</v>
      </c>
      <c r="F240" s="124" t="s">
        <v>109</v>
      </c>
    </row>
    <row r="241" spans="1:6" x14ac:dyDescent="0.3">
      <c r="A241" s="125">
        <v>45993</v>
      </c>
      <c r="B241" t="s">
        <v>211</v>
      </c>
      <c r="C241" s="11">
        <v>45000</v>
      </c>
      <c r="D241" s="11"/>
      <c r="E241" t="s">
        <v>337</v>
      </c>
      <c r="F241" s="124" t="s">
        <v>109</v>
      </c>
    </row>
    <row r="242" spans="1:6" x14ac:dyDescent="0.3">
      <c r="A242" s="38">
        <v>45994</v>
      </c>
      <c r="B242" t="s">
        <v>182</v>
      </c>
      <c r="C242" s="11">
        <v>800</v>
      </c>
      <c r="D242" s="11"/>
      <c r="F242" s="124" t="s">
        <v>109</v>
      </c>
    </row>
    <row r="243" spans="1:6" x14ac:dyDescent="0.3">
      <c r="A243" s="125">
        <v>45994</v>
      </c>
      <c r="B243" t="s">
        <v>54</v>
      </c>
      <c r="C243" s="11">
        <v>2000</v>
      </c>
      <c r="D243" s="11"/>
      <c r="E243" t="s">
        <v>231</v>
      </c>
      <c r="F243" s="124" t="s">
        <v>109</v>
      </c>
    </row>
    <row r="244" spans="1:6" x14ac:dyDescent="0.3">
      <c r="A244" s="38">
        <v>45994</v>
      </c>
      <c r="B244" t="s">
        <v>54</v>
      </c>
      <c r="C244" s="11">
        <v>11000</v>
      </c>
      <c r="D244" s="11"/>
      <c r="E244" t="s">
        <v>231</v>
      </c>
      <c r="F244" s="124" t="s">
        <v>109</v>
      </c>
    </row>
    <row r="245" spans="1:6" x14ac:dyDescent="0.3">
      <c r="A245" s="125">
        <v>45994</v>
      </c>
      <c r="B245" t="s">
        <v>219</v>
      </c>
      <c r="C245" s="11">
        <v>50000</v>
      </c>
      <c r="D245" s="11"/>
      <c r="E245" t="s">
        <v>338</v>
      </c>
      <c r="F245" s="124" t="s">
        <v>109</v>
      </c>
    </row>
    <row r="246" spans="1:6" x14ac:dyDescent="0.3">
      <c r="A246" s="38">
        <v>45994</v>
      </c>
      <c r="B246" t="s">
        <v>219</v>
      </c>
      <c r="C246" s="11">
        <v>45000</v>
      </c>
      <c r="D246" s="11"/>
      <c r="E246" t="s">
        <v>337</v>
      </c>
      <c r="F246" s="124" t="s">
        <v>109</v>
      </c>
    </row>
    <row r="247" spans="1:6" x14ac:dyDescent="0.3">
      <c r="A247" s="125">
        <v>45994</v>
      </c>
      <c r="B247" t="s">
        <v>226</v>
      </c>
      <c r="C247" s="11"/>
      <c r="D247" s="11">
        <v>300000</v>
      </c>
      <c r="F247" s="124" t="s">
        <v>109</v>
      </c>
    </row>
    <row r="248" spans="1:6" x14ac:dyDescent="0.3">
      <c r="A248" s="38">
        <v>45994</v>
      </c>
      <c r="B248" t="s">
        <v>95</v>
      </c>
      <c r="C248" s="11">
        <v>250768</v>
      </c>
      <c r="D248" s="11"/>
      <c r="E248" t="s">
        <v>339</v>
      </c>
      <c r="F248" s="124" t="s">
        <v>109</v>
      </c>
    </row>
    <row r="249" spans="1:6" x14ac:dyDescent="0.3">
      <c r="A249" s="125">
        <v>45994</v>
      </c>
      <c r="B249" t="s">
        <v>55</v>
      </c>
      <c r="C249" s="11">
        <v>5000</v>
      </c>
      <c r="D249" s="11"/>
      <c r="E249" t="s">
        <v>230</v>
      </c>
      <c r="F249" s="124" t="s">
        <v>109</v>
      </c>
    </row>
    <row r="250" spans="1:6" x14ac:dyDescent="0.3">
      <c r="A250" s="38">
        <v>45994</v>
      </c>
      <c r="B250" t="s">
        <v>340</v>
      </c>
      <c r="C250" s="11">
        <v>50000</v>
      </c>
      <c r="D250" s="11"/>
      <c r="E250" t="s">
        <v>341</v>
      </c>
      <c r="F250" s="124" t="s">
        <v>109</v>
      </c>
    </row>
    <row r="251" spans="1:6" x14ac:dyDescent="0.3">
      <c r="A251" s="125">
        <v>45994</v>
      </c>
      <c r="B251" t="s">
        <v>185</v>
      </c>
      <c r="C251" s="11">
        <v>1900</v>
      </c>
      <c r="D251" s="11"/>
      <c r="E251" t="s">
        <v>342</v>
      </c>
      <c r="F251" s="124" t="s">
        <v>109</v>
      </c>
    </row>
    <row r="252" spans="1:6" x14ac:dyDescent="0.3">
      <c r="A252" s="38">
        <v>45994</v>
      </c>
      <c r="B252" t="s">
        <v>191</v>
      </c>
      <c r="C252" s="11"/>
      <c r="D252" s="11">
        <v>45000</v>
      </c>
      <c r="E252" t="s">
        <v>344</v>
      </c>
      <c r="F252" s="124" t="s">
        <v>109</v>
      </c>
    </row>
    <row r="253" spans="1:6" x14ac:dyDescent="0.3">
      <c r="A253" s="125">
        <v>45995</v>
      </c>
      <c r="B253" t="s">
        <v>185</v>
      </c>
      <c r="C253" s="11">
        <v>2000</v>
      </c>
      <c r="D253" s="11"/>
      <c r="E253" t="s">
        <v>215</v>
      </c>
      <c r="F253" s="124" t="s">
        <v>109</v>
      </c>
    </row>
    <row r="254" spans="1:6" x14ac:dyDescent="0.3">
      <c r="A254" s="38">
        <v>45995</v>
      </c>
      <c r="B254" t="s">
        <v>54</v>
      </c>
      <c r="C254" s="11">
        <v>3000</v>
      </c>
      <c r="D254" s="11"/>
      <c r="E254" t="s">
        <v>231</v>
      </c>
      <c r="F254" s="124" t="s">
        <v>109</v>
      </c>
    </row>
    <row r="255" spans="1:6" x14ac:dyDescent="0.3">
      <c r="A255" s="125">
        <v>45995</v>
      </c>
      <c r="B255" t="s">
        <v>55</v>
      </c>
      <c r="C255" s="11">
        <v>14100</v>
      </c>
      <c r="D255" s="11"/>
      <c r="E255" t="s">
        <v>230</v>
      </c>
      <c r="F255" s="124" t="s">
        <v>109</v>
      </c>
    </row>
    <row r="256" spans="1:6" x14ac:dyDescent="0.3">
      <c r="A256" s="38">
        <v>45995</v>
      </c>
      <c r="B256" t="s">
        <v>95</v>
      </c>
      <c r="C256" s="11">
        <v>118000</v>
      </c>
      <c r="D256" s="11"/>
      <c r="E256" t="s">
        <v>345</v>
      </c>
      <c r="F256" s="124" t="s">
        <v>109</v>
      </c>
    </row>
    <row r="257" spans="1:6" x14ac:dyDescent="0.3">
      <c r="A257" s="125">
        <v>45995</v>
      </c>
      <c r="B257" t="s">
        <v>95</v>
      </c>
      <c r="C257" s="11">
        <v>300188</v>
      </c>
      <c r="D257" s="11"/>
      <c r="E257" t="s">
        <v>346</v>
      </c>
      <c r="F257" s="124" t="s">
        <v>109</v>
      </c>
    </row>
    <row r="258" spans="1:6" x14ac:dyDescent="0.3">
      <c r="A258" s="38">
        <v>45995</v>
      </c>
      <c r="B258" t="s">
        <v>236</v>
      </c>
      <c r="C258" s="11"/>
      <c r="D258" s="11">
        <v>300000</v>
      </c>
      <c r="E258" t="s">
        <v>347</v>
      </c>
      <c r="F258" s="124" t="s">
        <v>109</v>
      </c>
    </row>
    <row r="259" spans="1:6" x14ac:dyDescent="0.3">
      <c r="A259" s="125">
        <v>45995</v>
      </c>
      <c r="B259" t="s">
        <v>184</v>
      </c>
      <c r="C259" s="11">
        <v>56000</v>
      </c>
      <c r="D259" s="11"/>
      <c r="E259" t="s">
        <v>303</v>
      </c>
      <c r="F259" s="124" t="s">
        <v>109</v>
      </c>
    </row>
    <row r="260" spans="1:6" x14ac:dyDescent="0.3">
      <c r="A260" s="38">
        <v>45995</v>
      </c>
      <c r="B260" t="s">
        <v>236</v>
      </c>
      <c r="C260" s="11"/>
      <c r="D260" s="11">
        <v>110000</v>
      </c>
      <c r="E260" t="s">
        <v>348</v>
      </c>
      <c r="F260" s="124" t="s">
        <v>109</v>
      </c>
    </row>
    <row r="261" spans="1:6" x14ac:dyDescent="0.3">
      <c r="A261" s="125">
        <v>45995</v>
      </c>
      <c r="B261" t="s">
        <v>236</v>
      </c>
      <c r="C261" s="11"/>
      <c r="D261" s="11">
        <v>125000</v>
      </c>
      <c r="E261" t="s">
        <v>349</v>
      </c>
      <c r="F261" s="124" t="s">
        <v>109</v>
      </c>
    </row>
    <row r="262" spans="1:6" x14ac:dyDescent="0.3">
      <c r="A262" s="38">
        <v>45995</v>
      </c>
      <c r="B262" t="s">
        <v>219</v>
      </c>
      <c r="C262" s="11">
        <v>5000</v>
      </c>
      <c r="D262" s="11"/>
      <c r="E262" t="s">
        <v>350</v>
      </c>
      <c r="F262" s="124" t="s">
        <v>109</v>
      </c>
    </row>
    <row r="263" spans="1:6" x14ac:dyDescent="0.3">
      <c r="A263" s="125">
        <v>45995</v>
      </c>
      <c r="B263" t="s">
        <v>219</v>
      </c>
      <c r="C263" s="11">
        <v>1000</v>
      </c>
      <c r="D263" s="11"/>
      <c r="E263" t="s">
        <v>351</v>
      </c>
      <c r="F263" s="124" t="s">
        <v>109</v>
      </c>
    </row>
    <row r="264" spans="1:6" x14ac:dyDescent="0.3">
      <c r="A264" s="38">
        <v>45995</v>
      </c>
      <c r="B264" t="s">
        <v>55</v>
      </c>
      <c r="C264" s="97">
        <v>57500</v>
      </c>
      <c r="D264" s="97"/>
      <c r="E264" t="s">
        <v>352</v>
      </c>
      <c r="F264" s="124" t="s">
        <v>109</v>
      </c>
    </row>
    <row r="265" spans="1:6" x14ac:dyDescent="0.3">
      <c r="A265" s="38">
        <v>45995</v>
      </c>
      <c r="B265" t="s">
        <v>55</v>
      </c>
      <c r="C265" s="97">
        <v>3000</v>
      </c>
      <c r="D265" s="97"/>
      <c r="E265" t="s">
        <v>352</v>
      </c>
      <c r="F265" s="124" t="s">
        <v>109</v>
      </c>
    </row>
    <row r="266" spans="1:6" x14ac:dyDescent="0.3">
      <c r="A266" s="38">
        <v>45995</v>
      </c>
      <c r="B266" t="s">
        <v>298</v>
      </c>
      <c r="C266" s="97"/>
      <c r="D266" s="97">
        <v>424323</v>
      </c>
      <c r="E266" t="s">
        <v>282</v>
      </c>
      <c r="F266" s="124" t="s">
        <v>109</v>
      </c>
    </row>
    <row r="267" spans="1:6" x14ac:dyDescent="0.3">
      <c r="A267" s="38">
        <v>45995</v>
      </c>
      <c r="B267" t="s">
        <v>274</v>
      </c>
      <c r="C267" s="97">
        <v>224000</v>
      </c>
      <c r="D267" s="97"/>
      <c r="E267" t="s">
        <v>282</v>
      </c>
      <c r="F267" s="124" t="s">
        <v>109</v>
      </c>
    </row>
    <row r="268" spans="1:6" x14ac:dyDescent="0.3">
      <c r="A268" s="38">
        <v>45995</v>
      </c>
      <c r="B268" t="s">
        <v>340</v>
      </c>
      <c r="C268" s="97">
        <v>170000</v>
      </c>
      <c r="D268" s="97"/>
      <c r="F268" s="124" t="s">
        <v>109</v>
      </c>
    </row>
    <row r="269" spans="1:6" x14ac:dyDescent="0.3">
      <c r="A269" s="38">
        <v>45995</v>
      </c>
      <c r="B269" t="s">
        <v>211</v>
      </c>
      <c r="C269" s="97">
        <v>2200</v>
      </c>
      <c r="D269" s="97"/>
      <c r="E269" t="s">
        <v>280</v>
      </c>
      <c r="F269" s="124" t="s">
        <v>109</v>
      </c>
    </row>
    <row r="270" spans="1:6" x14ac:dyDescent="0.3">
      <c r="A270" s="38">
        <v>45995</v>
      </c>
      <c r="B270" t="s">
        <v>182</v>
      </c>
      <c r="C270" s="97">
        <v>550</v>
      </c>
      <c r="D270" s="97"/>
      <c r="E270" t="s">
        <v>353</v>
      </c>
      <c r="F270" s="124" t="s">
        <v>109</v>
      </c>
    </row>
    <row r="271" spans="1:6" x14ac:dyDescent="0.3">
      <c r="A271" s="38">
        <v>45995</v>
      </c>
      <c r="B271" t="s">
        <v>182</v>
      </c>
      <c r="C271" s="97">
        <v>800</v>
      </c>
      <c r="D271" s="97"/>
      <c r="F271" s="124" t="s">
        <v>109</v>
      </c>
    </row>
    <row r="272" spans="1:6" x14ac:dyDescent="0.3">
      <c r="A272" s="38">
        <v>45995</v>
      </c>
      <c r="B272" t="s">
        <v>21</v>
      </c>
      <c r="C272" s="97"/>
      <c r="D272" s="97">
        <v>2400</v>
      </c>
      <c r="E272" t="s">
        <v>281</v>
      </c>
      <c r="F272" s="124" t="s">
        <v>109</v>
      </c>
    </row>
    <row r="273" spans="1:6" x14ac:dyDescent="0.3">
      <c r="A273" s="38">
        <v>45995</v>
      </c>
      <c r="B273" t="s">
        <v>55</v>
      </c>
      <c r="C273" s="97">
        <v>2400</v>
      </c>
      <c r="D273" s="97"/>
      <c r="E273" t="s">
        <v>281</v>
      </c>
      <c r="F273" s="124" t="s">
        <v>109</v>
      </c>
    </row>
    <row r="274" spans="1:6" x14ac:dyDescent="0.3">
      <c r="A274" s="38">
        <v>45995</v>
      </c>
      <c r="B274" t="s">
        <v>55</v>
      </c>
      <c r="C274" s="97">
        <v>5500</v>
      </c>
      <c r="D274" s="97"/>
      <c r="E274" t="s">
        <v>352</v>
      </c>
      <c r="F274" s="124" t="s">
        <v>109</v>
      </c>
    </row>
    <row r="275" spans="1:6" x14ac:dyDescent="0.3">
      <c r="A275" s="38">
        <v>45996</v>
      </c>
      <c r="B275" t="s">
        <v>185</v>
      </c>
      <c r="C275" s="97">
        <v>7000</v>
      </c>
      <c r="D275" s="97"/>
      <c r="E275" t="s">
        <v>208</v>
      </c>
      <c r="F275" s="124" t="s">
        <v>109</v>
      </c>
    </row>
    <row r="276" spans="1:6" x14ac:dyDescent="0.3">
      <c r="A276" s="125">
        <v>45996</v>
      </c>
      <c r="B276" t="s">
        <v>246</v>
      </c>
      <c r="C276" s="11">
        <v>3000</v>
      </c>
      <c r="D276" s="11"/>
      <c r="E276" t="s">
        <v>356</v>
      </c>
      <c r="F276" s="124" t="s">
        <v>109</v>
      </c>
    </row>
    <row r="277" spans="1:6" x14ac:dyDescent="0.3">
      <c r="A277" s="38">
        <v>45996</v>
      </c>
      <c r="B277" t="s">
        <v>211</v>
      </c>
      <c r="C277" s="11">
        <v>2050</v>
      </c>
      <c r="D277" s="11"/>
      <c r="E277" t="s">
        <v>304</v>
      </c>
      <c r="F277" s="124" t="s">
        <v>109</v>
      </c>
    </row>
    <row r="278" spans="1:6" x14ac:dyDescent="0.3">
      <c r="A278" s="125">
        <v>45996</v>
      </c>
      <c r="B278" t="s">
        <v>219</v>
      </c>
      <c r="C278" s="11">
        <v>20000</v>
      </c>
      <c r="D278" s="11"/>
      <c r="E278" t="s">
        <v>357</v>
      </c>
      <c r="F278" s="124" t="s">
        <v>109</v>
      </c>
    </row>
    <row r="279" spans="1:6" x14ac:dyDescent="0.3">
      <c r="A279" s="38">
        <v>45996</v>
      </c>
      <c r="B279" t="s">
        <v>340</v>
      </c>
      <c r="C279" s="11">
        <v>40450</v>
      </c>
      <c r="D279" s="11"/>
      <c r="E279" t="s">
        <v>345</v>
      </c>
      <c r="F279" s="124" t="s">
        <v>109</v>
      </c>
    </row>
    <row r="280" spans="1:6" x14ac:dyDescent="0.3">
      <c r="A280" s="125">
        <v>45996</v>
      </c>
      <c r="B280" t="s">
        <v>114</v>
      </c>
      <c r="C280" s="11">
        <v>9000</v>
      </c>
      <c r="D280" s="11"/>
      <c r="E280" t="s">
        <v>358</v>
      </c>
      <c r="F280" s="124" t="s">
        <v>109</v>
      </c>
    </row>
    <row r="281" spans="1:6" x14ac:dyDescent="0.3">
      <c r="A281" s="38">
        <v>45996</v>
      </c>
      <c r="B281" t="s">
        <v>219</v>
      </c>
      <c r="C281" s="11">
        <v>10000</v>
      </c>
      <c r="D281" s="11"/>
      <c r="E281" t="s">
        <v>359</v>
      </c>
      <c r="F281" s="124" t="s">
        <v>109</v>
      </c>
    </row>
    <row r="282" spans="1:6" x14ac:dyDescent="0.3">
      <c r="A282" s="125">
        <v>45996</v>
      </c>
      <c r="B282" t="s">
        <v>114</v>
      </c>
      <c r="C282" s="11">
        <v>670</v>
      </c>
      <c r="D282" s="11"/>
      <c r="F282" s="124" t="s">
        <v>109</v>
      </c>
    </row>
    <row r="283" spans="1:6" x14ac:dyDescent="0.3">
      <c r="A283" s="38">
        <v>45996</v>
      </c>
      <c r="B283" t="s">
        <v>211</v>
      </c>
      <c r="C283" s="11"/>
      <c r="D283" s="11"/>
      <c r="E283" t="s">
        <v>360</v>
      </c>
      <c r="F283" s="124" t="s">
        <v>109</v>
      </c>
    </row>
    <row r="284" spans="1:6" x14ac:dyDescent="0.3">
      <c r="A284" s="125">
        <v>45996</v>
      </c>
      <c r="B284" t="s">
        <v>331</v>
      </c>
      <c r="C284" s="11"/>
      <c r="D284" s="11">
        <v>155000</v>
      </c>
      <c r="F284" s="124" t="s">
        <v>109</v>
      </c>
    </row>
    <row r="285" spans="1:6" x14ac:dyDescent="0.3">
      <c r="A285" s="38">
        <v>45996</v>
      </c>
      <c r="B285" t="s">
        <v>21</v>
      </c>
      <c r="C285" s="11"/>
      <c r="D285" s="11">
        <v>7900</v>
      </c>
      <c r="E285" t="s">
        <v>342</v>
      </c>
      <c r="F285" s="124" t="s">
        <v>109</v>
      </c>
    </row>
    <row r="286" spans="1:6" x14ac:dyDescent="0.3">
      <c r="A286" s="125">
        <v>45996</v>
      </c>
      <c r="B286" t="s">
        <v>55</v>
      </c>
      <c r="C286" s="11">
        <v>7900</v>
      </c>
      <c r="D286" s="11"/>
      <c r="E286" t="s">
        <v>342</v>
      </c>
      <c r="F286" s="124" t="s">
        <v>109</v>
      </c>
    </row>
    <row r="287" spans="1:6" x14ac:dyDescent="0.3">
      <c r="A287" s="38">
        <v>45997</v>
      </c>
      <c r="B287" t="s">
        <v>182</v>
      </c>
      <c r="C287" s="11">
        <v>1500</v>
      </c>
      <c r="D287" s="11"/>
      <c r="F287" s="124" t="s">
        <v>109</v>
      </c>
    </row>
    <row r="288" spans="1:6" x14ac:dyDescent="0.3">
      <c r="A288" s="125">
        <v>45997</v>
      </c>
      <c r="B288" t="s">
        <v>182</v>
      </c>
      <c r="C288" s="11">
        <v>200</v>
      </c>
      <c r="D288" s="11"/>
      <c r="E288" t="s">
        <v>361</v>
      </c>
      <c r="F288" s="124" t="s">
        <v>109</v>
      </c>
    </row>
    <row r="289" spans="1:6" x14ac:dyDescent="0.3">
      <c r="A289" s="38">
        <v>45997</v>
      </c>
      <c r="B289" t="s">
        <v>55</v>
      </c>
      <c r="C289" s="97">
        <v>3400</v>
      </c>
      <c r="D289" s="97"/>
      <c r="E289" t="s">
        <v>362</v>
      </c>
      <c r="F289" s="124" t="s">
        <v>109</v>
      </c>
    </row>
    <row r="290" spans="1:6" x14ac:dyDescent="0.3">
      <c r="A290" s="125">
        <v>45997</v>
      </c>
      <c r="B290" t="s">
        <v>55</v>
      </c>
      <c r="C290" s="11">
        <v>1000</v>
      </c>
      <c r="D290" s="11"/>
      <c r="F290" s="124" t="s">
        <v>109</v>
      </c>
    </row>
    <row r="291" spans="1:6" x14ac:dyDescent="0.3">
      <c r="A291" s="38">
        <v>45997</v>
      </c>
      <c r="B291" t="s">
        <v>340</v>
      </c>
      <c r="C291" s="97">
        <v>128500</v>
      </c>
      <c r="D291" s="97"/>
      <c r="F291" s="124" t="s">
        <v>109</v>
      </c>
    </row>
    <row r="292" spans="1:6" x14ac:dyDescent="0.3">
      <c r="A292" s="125">
        <v>45997</v>
      </c>
      <c r="B292" t="s">
        <v>95</v>
      </c>
      <c r="C292" s="11">
        <v>200510</v>
      </c>
      <c r="D292" s="11"/>
      <c r="E292" t="s">
        <v>363</v>
      </c>
      <c r="F292" s="124" t="s">
        <v>109</v>
      </c>
    </row>
    <row r="293" spans="1:6" x14ac:dyDescent="0.3">
      <c r="A293" s="38">
        <v>45997</v>
      </c>
      <c r="B293" t="s">
        <v>211</v>
      </c>
      <c r="C293" s="11">
        <v>9000</v>
      </c>
      <c r="D293" s="11"/>
      <c r="E293" t="s">
        <v>364</v>
      </c>
      <c r="F293" s="124" t="s">
        <v>109</v>
      </c>
    </row>
    <row r="294" spans="1:6" x14ac:dyDescent="0.3">
      <c r="A294" s="125">
        <v>45997</v>
      </c>
      <c r="B294" t="s">
        <v>54</v>
      </c>
      <c r="C294" s="11">
        <v>12500</v>
      </c>
      <c r="D294" s="11"/>
      <c r="E294" t="s">
        <v>231</v>
      </c>
      <c r="F294" s="124" t="s">
        <v>109</v>
      </c>
    </row>
    <row r="295" spans="1:6" x14ac:dyDescent="0.3">
      <c r="A295" s="38">
        <v>45997</v>
      </c>
      <c r="B295" t="s">
        <v>205</v>
      </c>
      <c r="C295" s="11">
        <v>150000</v>
      </c>
      <c r="D295" s="11"/>
      <c r="F295" s="124" t="s">
        <v>109</v>
      </c>
    </row>
    <row r="296" spans="1:6" x14ac:dyDescent="0.3">
      <c r="A296" s="125">
        <v>45997</v>
      </c>
      <c r="B296" t="s">
        <v>365</v>
      </c>
      <c r="C296" s="97">
        <v>50000</v>
      </c>
      <c r="D296" s="97"/>
      <c r="F296" s="124" t="s">
        <v>109</v>
      </c>
    </row>
    <row r="297" spans="1:6" x14ac:dyDescent="0.3">
      <c r="A297" s="38">
        <v>45998</v>
      </c>
      <c r="B297" t="s">
        <v>114</v>
      </c>
      <c r="C297" s="11">
        <v>17110</v>
      </c>
      <c r="D297" s="11"/>
      <c r="E297" t="s">
        <v>282</v>
      </c>
      <c r="F297" s="124" t="s">
        <v>109</v>
      </c>
    </row>
    <row r="298" spans="1:6" x14ac:dyDescent="0.3">
      <c r="A298" s="125">
        <v>45998</v>
      </c>
      <c r="B298" t="s">
        <v>219</v>
      </c>
      <c r="C298" s="11">
        <v>80000</v>
      </c>
      <c r="D298" s="11"/>
      <c r="E298" t="s">
        <v>188</v>
      </c>
      <c r="F298" s="124" t="s">
        <v>109</v>
      </c>
    </row>
    <row r="299" spans="1:6" x14ac:dyDescent="0.3">
      <c r="A299" s="38">
        <v>45997</v>
      </c>
      <c r="B299" t="s">
        <v>219</v>
      </c>
      <c r="C299" s="11">
        <v>20000</v>
      </c>
      <c r="D299" s="11"/>
      <c r="E299" t="s">
        <v>188</v>
      </c>
      <c r="F299" s="124" t="s">
        <v>109</v>
      </c>
    </row>
    <row r="300" spans="1:6" x14ac:dyDescent="0.3">
      <c r="A300" s="125">
        <v>45998</v>
      </c>
      <c r="B300" t="s">
        <v>219</v>
      </c>
      <c r="C300" s="11">
        <v>20000</v>
      </c>
      <c r="D300" s="11"/>
      <c r="E300" t="s">
        <v>289</v>
      </c>
      <c r="F300" s="124" t="s">
        <v>109</v>
      </c>
    </row>
    <row r="301" spans="1:6" x14ac:dyDescent="0.3">
      <c r="A301" s="38">
        <v>45997</v>
      </c>
      <c r="B301" t="s">
        <v>236</v>
      </c>
      <c r="C301" s="11"/>
      <c r="D301" s="11">
        <v>20000</v>
      </c>
      <c r="E301" t="s">
        <v>188</v>
      </c>
      <c r="F301" s="124" t="s">
        <v>109</v>
      </c>
    </row>
    <row r="302" spans="1:6" x14ac:dyDescent="0.3">
      <c r="A302" s="125">
        <v>45997</v>
      </c>
      <c r="B302" t="s">
        <v>236</v>
      </c>
      <c r="C302" s="11"/>
      <c r="D302" s="11">
        <v>80000</v>
      </c>
      <c r="E302" t="s">
        <v>188</v>
      </c>
      <c r="F302" s="124" t="s">
        <v>109</v>
      </c>
    </row>
    <row r="303" spans="1:6" x14ac:dyDescent="0.3">
      <c r="A303" s="38">
        <v>45997</v>
      </c>
      <c r="B303" t="s">
        <v>236</v>
      </c>
      <c r="C303" s="11"/>
      <c r="D303" s="11">
        <v>46000</v>
      </c>
      <c r="E303" t="s">
        <v>64</v>
      </c>
      <c r="F303" s="124" t="s">
        <v>109</v>
      </c>
    </row>
    <row r="304" spans="1:6" x14ac:dyDescent="0.3">
      <c r="A304" s="125">
        <v>45997</v>
      </c>
      <c r="B304" t="s">
        <v>184</v>
      </c>
      <c r="C304" s="11">
        <v>46000</v>
      </c>
      <c r="D304" s="11"/>
      <c r="E304" t="s">
        <v>366</v>
      </c>
      <c r="F304" s="124" t="s">
        <v>109</v>
      </c>
    </row>
    <row r="305" spans="1:6" x14ac:dyDescent="0.3">
      <c r="A305" s="38">
        <v>45997</v>
      </c>
      <c r="B305" t="s">
        <v>355</v>
      </c>
      <c r="C305" s="11"/>
      <c r="D305" s="11">
        <v>24560</v>
      </c>
      <c r="F305" s="124" t="s">
        <v>109</v>
      </c>
    </row>
    <row r="306" spans="1:6" x14ac:dyDescent="0.3">
      <c r="A306" s="125">
        <v>45997</v>
      </c>
      <c r="B306" t="s">
        <v>27</v>
      </c>
      <c r="C306" s="11"/>
      <c r="D306" s="11">
        <v>150000</v>
      </c>
      <c r="F306" s="124" t="s">
        <v>109</v>
      </c>
    </row>
    <row r="307" spans="1:6" x14ac:dyDescent="0.3">
      <c r="A307" s="38">
        <v>45997</v>
      </c>
      <c r="B307" t="s">
        <v>27</v>
      </c>
      <c r="C307" s="11"/>
      <c r="D307" s="11">
        <v>150000</v>
      </c>
      <c r="E307" t="s">
        <v>367</v>
      </c>
      <c r="F307" s="124" t="s">
        <v>109</v>
      </c>
    </row>
    <row r="308" spans="1:6" x14ac:dyDescent="0.3">
      <c r="A308" s="125">
        <v>45997</v>
      </c>
      <c r="B308" t="s">
        <v>153</v>
      </c>
      <c r="C308" s="11"/>
      <c r="D308" s="11">
        <v>200000</v>
      </c>
      <c r="F308" s="124" t="s">
        <v>109</v>
      </c>
    </row>
    <row r="309" spans="1:6" x14ac:dyDescent="0.3">
      <c r="A309" s="38">
        <v>45997</v>
      </c>
      <c r="B309" t="s">
        <v>236</v>
      </c>
      <c r="C309" s="11"/>
      <c r="D309" s="11">
        <v>9000</v>
      </c>
      <c r="F309" s="124" t="s">
        <v>109</v>
      </c>
    </row>
    <row r="310" spans="1:6" x14ac:dyDescent="0.3">
      <c r="A310" s="125">
        <v>45997</v>
      </c>
      <c r="B310" t="s">
        <v>236</v>
      </c>
      <c r="C310" s="11"/>
      <c r="D310" s="11">
        <v>100000</v>
      </c>
      <c r="F310" s="124" t="s">
        <v>109</v>
      </c>
    </row>
    <row r="311" spans="1:6" x14ac:dyDescent="0.3">
      <c r="A311" s="38">
        <v>45997</v>
      </c>
      <c r="B311" t="s">
        <v>236</v>
      </c>
      <c r="C311" s="11"/>
      <c r="D311" s="11">
        <v>30000</v>
      </c>
      <c r="E311" t="s">
        <v>55</v>
      </c>
      <c r="F311" s="124" t="s">
        <v>109</v>
      </c>
    </row>
    <row r="312" spans="1:6" x14ac:dyDescent="0.3">
      <c r="A312" s="125">
        <v>45997</v>
      </c>
      <c r="B312" t="s">
        <v>55</v>
      </c>
      <c r="C312" s="11">
        <v>30000</v>
      </c>
      <c r="D312" s="11"/>
      <c r="E312" t="s">
        <v>368</v>
      </c>
      <c r="F312" s="124" t="s">
        <v>109</v>
      </c>
    </row>
    <row r="313" spans="1:6" x14ac:dyDescent="0.3">
      <c r="A313" s="38">
        <v>45997</v>
      </c>
      <c r="B313" t="s">
        <v>114</v>
      </c>
      <c r="C313" s="11">
        <v>2000</v>
      </c>
      <c r="D313" s="11"/>
      <c r="E313" t="s">
        <v>358</v>
      </c>
      <c r="F313" s="124" t="s">
        <v>109</v>
      </c>
    </row>
    <row r="314" spans="1:6" x14ac:dyDescent="0.3">
      <c r="A314" s="125">
        <v>45997</v>
      </c>
      <c r="B314" t="s">
        <v>246</v>
      </c>
      <c r="C314" s="11">
        <v>500</v>
      </c>
      <c r="D314" s="11"/>
      <c r="E314" t="s">
        <v>369</v>
      </c>
      <c r="F314" s="124" t="s">
        <v>109</v>
      </c>
    </row>
    <row r="315" spans="1:6" x14ac:dyDescent="0.3">
      <c r="A315" s="38">
        <v>45997</v>
      </c>
      <c r="B315" t="s">
        <v>370</v>
      </c>
      <c r="C315" s="97">
        <v>100000</v>
      </c>
      <c r="D315" s="97"/>
      <c r="E315" t="s">
        <v>262</v>
      </c>
      <c r="F315" s="124" t="s">
        <v>109</v>
      </c>
    </row>
    <row r="316" spans="1:6" x14ac:dyDescent="0.3">
      <c r="A316" s="38">
        <v>45997</v>
      </c>
      <c r="B316" t="s">
        <v>54</v>
      </c>
      <c r="C316" s="97">
        <v>4000</v>
      </c>
      <c r="D316" s="97"/>
      <c r="E316" t="s">
        <v>231</v>
      </c>
      <c r="F316" s="124" t="s">
        <v>109</v>
      </c>
    </row>
    <row r="317" spans="1:6" x14ac:dyDescent="0.3">
      <c r="A317" s="38">
        <v>45999</v>
      </c>
      <c r="B317" t="s">
        <v>331</v>
      </c>
      <c r="C317" s="97"/>
      <c r="D317" s="97">
        <v>150000</v>
      </c>
      <c r="F317" s="124" t="s">
        <v>109</v>
      </c>
    </row>
    <row r="318" spans="1:6" x14ac:dyDescent="0.3">
      <c r="A318" s="125">
        <v>45999</v>
      </c>
      <c r="B318" t="s">
        <v>236</v>
      </c>
      <c r="C318" s="11"/>
      <c r="D318" s="11">
        <v>126500</v>
      </c>
      <c r="E318" t="s">
        <v>262</v>
      </c>
      <c r="F318" s="124" t="s">
        <v>109</v>
      </c>
    </row>
    <row r="319" spans="1:6" x14ac:dyDescent="0.3">
      <c r="A319" s="38">
        <v>45999</v>
      </c>
      <c r="B319" t="s">
        <v>370</v>
      </c>
      <c r="C319" s="11">
        <v>120000</v>
      </c>
      <c r="D319" s="11"/>
      <c r="E319" t="s">
        <v>262</v>
      </c>
      <c r="F319" s="124" t="s">
        <v>109</v>
      </c>
    </row>
    <row r="320" spans="1:6" x14ac:dyDescent="0.3">
      <c r="A320" s="125">
        <v>45999</v>
      </c>
      <c r="B320" t="s">
        <v>185</v>
      </c>
      <c r="C320" s="11">
        <v>7200</v>
      </c>
      <c r="D320" s="11"/>
      <c r="E320" t="s">
        <v>377</v>
      </c>
      <c r="F320" s="124" t="s">
        <v>109</v>
      </c>
    </row>
    <row r="321" spans="1:6" x14ac:dyDescent="0.3">
      <c r="A321" s="38">
        <v>45999</v>
      </c>
      <c r="B321" t="s">
        <v>211</v>
      </c>
      <c r="C321" s="11">
        <v>17600</v>
      </c>
      <c r="D321" s="11"/>
      <c r="E321" t="s">
        <v>378</v>
      </c>
      <c r="F321" s="124" t="s">
        <v>109</v>
      </c>
    </row>
    <row r="322" spans="1:6" x14ac:dyDescent="0.3">
      <c r="A322" s="125">
        <v>45999</v>
      </c>
      <c r="B322" t="s">
        <v>219</v>
      </c>
      <c r="C322" s="11">
        <v>120000</v>
      </c>
      <c r="D322" s="11"/>
      <c r="E322" t="s">
        <v>379</v>
      </c>
      <c r="F322" s="124" t="s">
        <v>109</v>
      </c>
    </row>
    <row r="323" spans="1:6" x14ac:dyDescent="0.3">
      <c r="A323" s="38">
        <v>45999</v>
      </c>
      <c r="B323" t="s">
        <v>380</v>
      </c>
      <c r="C323" s="11">
        <v>10000</v>
      </c>
      <c r="D323" s="11"/>
      <c r="E323" t="s">
        <v>381</v>
      </c>
      <c r="F323" s="124" t="s">
        <v>109</v>
      </c>
    </row>
    <row r="324" spans="1:6" x14ac:dyDescent="0.3">
      <c r="A324" s="125">
        <v>45999</v>
      </c>
      <c r="B324" t="s">
        <v>211</v>
      </c>
      <c r="C324" s="11">
        <v>50000</v>
      </c>
      <c r="D324" s="11"/>
      <c r="E324" t="s">
        <v>220</v>
      </c>
      <c r="F324" s="124" t="s">
        <v>109</v>
      </c>
    </row>
    <row r="325" spans="1:6" x14ac:dyDescent="0.3">
      <c r="A325" s="38">
        <v>45999</v>
      </c>
      <c r="B325" t="s">
        <v>54</v>
      </c>
      <c r="C325" s="11">
        <v>5310</v>
      </c>
      <c r="D325" s="11"/>
      <c r="E325" t="s">
        <v>231</v>
      </c>
      <c r="F325" s="124" t="s">
        <v>109</v>
      </c>
    </row>
    <row r="326" spans="1:6" x14ac:dyDescent="0.3">
      <c r="A326" s="125">
        <v>45999</v>
      </c>
      <c r="B326" t="s">
        <v>54</v>
      </c>
      <c r="C326" s="11">
        <v>500</v>
      </c>
      <c r="D326" s="11"/>
      <c r="E326" t="s">
        <v>277</v>
      </c>
      <c r="F326" s="124" t="s">
        <v>109</v>
      </c>
    </row>
    <row r="327" spans="1:6" x14ac:dyDescent="0.3">
      <c r="A327" s="38">
        <v>45999</v>
      </c>
      <c r="B327" t="s">
        <v>236</v>
      </c>
      <c r="C327" s="11"/>
      <c r="D327" s="11">
        <v>50000</v>
      </c>
      <c r="E327" t="s">
        <v>220</v>
      </c>
      <c r="F327" s="124" t="s">
        <v>109</v>
      </c>
    </row>
    <row r="328" spans="1:6" x14ac:dyDescent="0.3">
      <c r="A328" s="125">
        <v>45999</v>
      </c>
      <c r="B328" t="s">
        <v>114</v>
      </c>
      <c r="C328" s="11">
        <v>400</v>
      </c>
      <c r="D328" s="11"/>
      <c r="E328" t="s">
        <v>382</v>
      </c>
      <c r="F328" s="124" t="s">
        <v>109</v>
      </c>
    </row>
    <row r="329" spans="1:6" x14ac:dyDescent="0.3">
      <c r="A329" s="38">
        <v>45999</v>
      </c>
      <c r="B329" t="s">
        <v>386</v>
      </c>
      <c r="C329" s="11"/>
      <c r="D329" s="11">
        <v>100000</v>
      </c>
      <c r="E329" t="s">
        <v>110</v>
      </c>
      <c r="F329" s="124" t="s">
        <v>109</v>
      </c>
    </row>
    <row r="330" spans="1:6" x14ac:dyDescent="0.3">
      <c r="A330" s="125">
        <v>46000</v>
      </c>
      <c r="B330" t="s">
        <v>370</v>
      </c>
      <c r="C330" s="11">
        <v>70000</v>
      </c>
      <c r="D330" s="11"/>
      <c r="E330" t="s">
        <v>262</v>
      </c>
      <c r="F330" s="124" t="s">
        <v>109</v>
      </c>
    </row>
    <row r="331" spans="1:6" x14ac:dyDescent="0.3">
      <c r="A331" s="125">
        <v>46000</v>
      </c>
      <c r="B331" t="s">
        <v>185</v>
      </c>
      <c r="C331" s="11">
        <v>13600</v>
      </c>
      <c r="D331" s="11"/>
      <c r="E331" t="s">
        <v>377</v>
      </c>
      <c r="F331" s="124" t="s">
        <v>109</v>
      </c>
    </row>
    <row r="332" spans="1:6" x14ac:dyDescent="0.3">
      <c r="A332" s="125">
        <v>46000</v>
      </c>
      <c r="B332" t="s">
        <v>54</v>
      </c>
      <c r="C332" s="97">
        <v>10500</v>
      </c>
      <c r="D332" s="97"/>
      <c r="E332" t="s">
        <v>231</v>
      </c>
      <c r="F332" s="124" t="s">
        <v>109</v>
      </c>
    </row>
    <row r="333" spans="1:6" x14ac:dyDescent="0.3">
      <c r="A333" s="125">
        <v>46000</v>
      </c>
      <c r="B333" t="s">
        <v>114</v>
      </c>
      <c r="C333" s="11">
        <v>20000</v>
      </c>
      <c r="D333" s="11"/>
      <c r="E333" t="s">
        <v>248</v>
      </c>
      <c r="F333" s="124" t="s">
        <v>109</v>
      </c>
    </row>
    <row r="334" spans="1:6" x14ac:dyDescent="0.3">
      <c r="A334" s="125">
        <v>46000</v>
      </c>
      <c r="B334" t="s">
        <v>331</v>
      </c>
      <c r="C334" s="11"/>
      <c r="D334" s="11">
        <v>250000</v>
      </c>
      <c r="F334" s="124" t="s">
        <v>109</v>
      </c>
    </row>
    <row r="335" spans="1:6" x14ac:dyDescent="0.3">
      <c r="A335" s="125">
        <v>46000</v>
      </c>
      <c r="B335" t="s">
        <v>95</v>
      </c>
      <c r="C335" s="11">
        <v>200050</v>
      </c>
      <c r="D335" s="11"/>
      <c r="E335" t="s">
        <v>388</v>
      </c>
      <c r="F335" s="124" t="s">
        <v>109</v>
      </c>
    </row>
    <row r="336" spans="1:6" x14ac:dyDescent="0.3">
      <c r="A336" s="125">
        <v>46000</v>
      </c>
      <c r="B336" t="s">
        <v>153</v>
      </c>
      <c r="C336" s="11"/>
      <c r="D336" s="11">
        <v>200000</v>
      </c>
      <c r="E336" t="s">
        <v>389</v>
      </c>
      <c r="F336" s="124" t="s">
        <v>109</v>
      </c>
    </row>
    <row r="337" spans="1:6" x14ac:dyDescent="0.3">
      <c r="A337" s="125">
        <v>46000</v>
      </c>
      <c r="B337" t="s">
        <v>153</v>
      </c>
      <c r="C337" s="11"/>
      <c r="D337" s="11">
        <v>100000</v>
      </c>
      <c r="E337" t="s">
        <v>262</v>
      </c>
      <c r="F337" s="124" t="s">
        <v>109</v>
      </c>
    </row>
    <row r="338" spans="1:6" x14ac:dyDescent="0.3">
      <c r="A338" s="125">
        <v>46000</v>
      </c>
      <c r="C338" s="11"/>
      <c r="D338" s="11"/>
      <c r="F338" s="124" t="s">
        <v>109</v>
      </c>
    </row>
    <row r="339" spans="1:6" x14ac:dyDescent="0.3">
      <c r="A339" s="125">
        <v>46000</v>
      </c>
      <c r="B339" t="s">
        <v>153</v>
      </c>
      <c r="C339" s="11"/>
      <c r="D339" s="11">
        <v>100000</v>
      </c>
      <c r="E339" t="s">
        <v>390</v>
      </c>
      <c r="F339" s="124" t="s">
        <v>109</v>
      </c>
    </row>
    <row r="340" spans="1:6" x14ac:dyDescent="0.3">
      <c r="A340" s="125">
        <v>46000</v>
      </c>
      <c r="B340" t="s">
        <v>55</v>
      </c>
      <c r="C340" s="97">
        <v>1300</v>
      </c>
      <c r="D340" s="97"/>
      <c r="E340" t="s">
        <v>391</v>
      </c>
      <c r="F340" s="124" t="s">
        <v>109</v>
      </c>
    </row>
    <row r="341" spans="1:6" x14ac:dyDescent="0.3">
      <c r="A341" s="125">
        <v>46000</v>
      </c>
      <c r="B341" t="s">
        <v>178</v>
      </c>
      <c r="C341" s="11">
        <v>100000</v>
      </c>
      <c r="D341" s="11"/>
      <c r="E341" t="s">
        <v>249</v>
      </c>
      <c r="F341" s="124" t="s">
        <v>109</v>
      </c>
    </row>
    <row r="342" spans="1:6" x14ac:dyDescent="0.3">
      <c r="A342" s="125">
        <v>46000</v>
      </c>
      <c r="B342" t="s">
        <v>340</v>
      </c>
      <c r="C342" s="11">
        <v>100000</v>
      </c>
      <c r="D342" s="11"/>
      <c r="E342" t="s">
        <v>392</v>
      </c>
      <c r="F342" s="124" t="s">
        <v>109</v>
      </c>
    </row>
    <row r="343" spans="1:6" x14ac:dyDescent="0.3">
      <c r="A343" s="125">
        <v>46000</v>
      </c>
      <c r="B343" t="s">
        <v>55</v>
      </c>
      <c r="C343" s="11">
        <v>600</v>
      </c>
      <c r="D343" s="11"/>
      <c r="E343" t="s">
        <v>393</v>
      </c>
      <c r="F343" s="124" t="s">
        <v>109</v>
      </c>
    </row>
    <row r="344" spans="1:6" x14ac:dyDescent="0.3">
      <c r="A344" s="125">
        <v>46000</v>
      </c>
      <c r="B344" t="s">
        <v>219</v>
      </c>
      <c r="C344" s="11">
        <v>45000</v>
      </c>
      <c r="D344" s="11"/>
      <c r="E344" t="s">
        <v>220</v>
      </c>
      <c r="F344" s="124" t="s">
        <v>109</v>
      </c>
    </row>
    <row r="345" spans="1:6" x14ac:dyDescent="0.3">
      <c r="A345" s="125">
        <v>46000</v>
      </c>
      <c r="B345" t="s">
        <v>219</v>
      </c>
      <c r="C345" s="11">
        <v>5000</v>
      </c>
      <c r="D345" s="11"/>
      <c r="E345" t="s">
        <v>220</v>
      </c>
      <c r="F345" s="124" t="s">
        <v>110</v>
      </c>
    </row>
    <row r="346" spans="1:6" x14ac:dyDescent="0.3">
      <c r="A346" s="125">
        <v>46000</v>
      </c>
      <c r="B346" t="s">
        <v>246</v>
      </c>
      <c r="C346" s="11">
        <v>1800</v>
      </c>
      <c r="D346" s="11"/>
      <c r="E346" t="s">
        <v>394</v>
      </c>
      <c r="F346" s="124" t="s">
        <v>109</v>
      </c>
    </row>
    <row r="347" spans="1:6" x14ac:dyDescent="0.3">
      <c r="A347" s="125">
        <v>46000</v>
      </c>
      <c r="B347" t="s">
        <v>219</v>
      </c>
      <c r="C347" s="11">
        <v>5000</v>
      </c>
      <c r="D347" s="11"/>
      <c r="E347" t="s">
        <v>395</v>
      </c>
      <c r="F347" s="124" t="s">
        <v>109</v>
      </c>
    </row>
    <row r="348" spans="1:6" x14ac:dyDescent="0.3">
      <c r="A348" s="125">
        <v>46000</v>
      </c>
      <c r="B348" t="s">
        <v>396</v>
      </c>
      <c r="C348" s="11">
        <v>2000</v>
      </c>
      <c r="D348" s="11"/>
      <c r="E348" t="s">
        <v>250</v>
      </c>
      <c r="F348" s="124" t="s">
        <v>109</v>
      </c>
    </row>
    <row r="349" spans="1:6" x14ac:dyDescent="0.3">
      <c r="A349" s="125">
        <v>46000</v>
      </c>
      <c r="B349" t="s">
        <v>184</v>
      </c>
      <c r="C349" s="11">
        <v>32000</v>
      </c>
      <c r="D349" s="11"/>
      <c r="E349" t="s">
        <v>398</v>
      </c>
      <c r="F349" s="124" t="s">
        <v>109</v>
      </c>
    </row>
    <row r="350" spans="1:6" x14ac:dyDescent="0.3">
      <c r="A350" s="125">
        <v>46000</v>
      </c>
      <c r="B350" t="s">
        <v>236</v>
      </c>
      <c r="C350" s="11"/>
      <c r="D350" s="11">
        <v>32000</v>
      </c>
      <c r="E350" t="s">
        <v>222</v>
      </c>
      <c r="F350" s="124" t="s">
        <v>109</v>
      </c>
    </row>
    <row r="351" spans="1:6" x14ac:dyDescent="0.3">
      <c r="A351" s="125">
        <v>46000</v>
      </c>
      <c r="B351" t="s">
        <v>21</v>
      </c>
      <c r="C351" s="11"/>
      <c r="D351" s="11">
        <v>6000</v>
      </c>
      <c r="E351" t="s">
        <v>399</v>
      </c>
      <c r="F351" s="124" t="s">
        <v>109</v>
      </c>
    </row>
    <row r="352" spans="1:6" x14ac:dyDescent="0.3">
      <c r="A352" s="125">
        <v>46000</v>
      </c>
      <c r="B352" t="s">
        <v>219</v>
      </c>
      <c r="C352" s="11">
        <v>6000</v>
      </c>
      <c r="D352" s="11"/>
      <c r="E352" t="s">
        <v>399</v>
      </c>
      <c r="F352" s="124" t="s">
        <v>109</v>
      </c>
    </row>
    <row r="353" spans="1:6" x14ac:dyDescent="0.3">
      <c r="A353" s="125">
        <v>46000</v>
      </c>
      <c r="B353" t="s">
        <v>380</v>
      </c>
      <c r="C353" s="11"/>
      <c r="D353" s="11">
        <v>16200</v>
      </c>
      <c r="E353" t="s">
        <v>390</v>
      </c>
      <c r="F353" s="88" t="s">
        <v>109</v>
      </c>
    </row>
    <row r="354" spans="1:6" x14ac:dyDescent="0.3">
      <c r="A354" s="125">
        <v>46001</v>
      </c>
      <c r="B354" t="s">
        <v>370</v>
      </c>
      <c r="C354" s="11">
        <v>102000</v>
      </c>
      <c r="D354" s="11"/>
      <c r="F354" s="124" t="s">
        <v>109</v>
      </c>
    </row>
    <row r="355" spans="1:6" x14ac:dyDescent="0.3">
      <c r="A355" s="125">
        <v>46001</v>
      </c>
      <c r="B355" t="s">
        <v>185</v>
      </c>
      <c r="C355" s="11">
        <v>13600</v>
      </c>
      <c r="D355" s="11"/>
      <c r="E355" t="s">
        <v>377</v>
      </c>
      <c r="F355" s="124" t="s">
        <v>109</v>
      </c>
    </row>
    <row r="356" spans="1:6" x14ac:dyDescent="0.3">
      <c r="A356" s="125">
        <v>46001</v>
      </c>
      <c r="B356" t="s">
        <v>185</v>
      </c>
      <c r="C356" s="11">
        <v>5000</v>
      </c>
      <c r="D356" s="11"/>
      <c r="E356" t="s">
        <v>400</v>
      </c>
      <c r="F356" s="124" t="s">
        <v>109</v>
      </c>
    </row>
    <row r="357" spans="1:6" x14ac:dyDescent="0.3">
      <c r="A357" s="125">
        <v>46001</v>
      </c>
      <c r="B357" t="s">
        <v>185</v>
      </c>
      <c r="C357" s="11">
        <v>250</v>
      </c>
      <c r="D357" s="11"/>
      <c r="F357" s="124"/>
    </row>
    <row r="358" spans="1:6" x14ac:dyDescent="0.3">
      <c r="A358" s="125">
        <v>46001</v>
      </c>
      <c r="B358" t="s">
        <v>331</v>
      </c>
      <c r="C358" s="11"/>
      <c r="D358" s="11">
        <v>150000</v>
      </c>
      <c r="E358" t="s">
        <v>331</v>
      </c>
      <c r="F358" s="124" t="s">
        <v>109</v>
      </c>
    </row>
    <row r="359" spans="1:6" x14ac:dyDescent="0.3">
      <c r="A359" s="125">
        <v>46001</v>
      </c>
      <c r="B359" t="s">
        <v>340</v>
      </c>
      <c r="C359" s="11">
        <v>125000</v>
      </c>
      <c r="D359" s="11"/>
      <c r="E359" t="s">
        <v>401</v>
      </c>
      <c r="F359" s="124" t="s">
        <v>109</v>
      </c>
    </row>
    <row r="360" spans="1:6" x14ac:dyDescent="0.3">
      <c r="A360" s="125">
        <v>46001</v>
      </c>
      <c r="B360" t="s">
        <v>236</v>
      </c>
      <c r="C360" s="11"/>
      <c r="D360" s="11">
        <v>24500</v>
      </c>
      <c r="E360" t="s">
        <v>402</v>
      </c>
      <c r="F360" s="124" t="s">
        <v>109</v>
      </c>
    </row>
    <row r="361" spans="1:6" x14ac:dyDescent="0.3">
      <c r="A361" s="125">
        <v>46001</v>
      </c>
      <c r="B361" t="s">
        <v>153</v>
      </c>
      <c r="C361" s="11"/>
      <c r="D361" s="11">
        <v>150000</v>
      </c>
      <c r="E361" t="s">
        <v>262</v>
      </c>
      <c r="F361" s="124" t="s">
        <v>109</v>
      </c>
    </row>
    <row r="362" spans="1:6" x14ac:dyDescent="0.3">
      <c r="A362" s="125">
        <v>46001</v>
      </c>
      <c r="B362" t="s">
        <v>219</v>
      </c>
      <c r="C362" s="11">
        <v>5000</v>
      </c>
      <c r="D362" s="11"/>
      <c r="E362" t="s">
        <v>404</v>
      </c>
      <c r="F362" s="124" t="s">
        <v>109</v>
      </c>
    </row>
    <row r="363" spans="1:6" x14ac:dyDescent="0.3">
      <c r="A363" s="125">
        <v>46002</v>
      </c>
      <c r="B363" t="s">
        <v>219</v>
      </c>
      <c r="C363" s="11">
        <v>5000</v>
      </c>
      <c r="D363" s="11"/>
      <c r="E363" t="s">
        <v>359</v>
      </c>
      <c r="F363" s="124" t="s">
        <v>109</v>
      </c>
    </row>
    <row r="364" spans="1:6" x14ac:dyDescent="0.3">
      <c r="A364" s="125">
        <v>46002</v>
      </c>
      <c r="B364" t="s">
        <v>219</v>
      </c>
      <c r="C364" s="11">
        <v>2000</v>
      </c>
      <c r="D364" s="11"/>
      <c r="E364" t="s">
        <v>405</v>
      </c>
      <c r="F364" s="124" t="s">
        <v>109</v>
      </c>
    </row>
    <row r="365" spans="1:6" x14ac:dyDescent="0.3">
      <c r="A365" s="125">
        <v>46002</v>
      </c>
      <c r="B365" t="s">
        <v>185</v>
      </c>
      <c r="C365" s="11">
        <v>12200</v>
      </c>
      <c r="D365" s="11"/>
      <c r="E365" t="s">
        <v>377</v>
      </c>
      <c r="F365" s="124" t="s">
        <v>109</v>
      </c>
    </row>
    <row r="366" spans="1:6" x14ac:dyDescent="0.3">
      <c r="A366" s="125">
        <v>46002</v>
      </c>
      <c r="B366" t="s">
        <v>236</v>
      </c>
      <c r="C366" s="11"/>
      <c r="D366" s="11">
        <v>20500</v>
      </c>
      <c r="F366" s="124" t="s">
        <v>109</v>
      </c>
    </row>
    <row r="367" spans="1:6" x14ac:dyDescent="0.3">
      <c r="A367" s="125">
        <v>46002</v>
      </c>
      <c r="B367" t="s">
        <v>236</v>
      </c>
      <c r="C367" s="11"/>
      <c r="D367" s="11">
        <v>134750</v>
      </c>
      <c r="E367" t="s">
        <v>222</v>
      </c>
      <c r="F367" s="124" t="s">
        <v>109</v>
      </c>
    </row>
    <row r="368" spans="1:6" x14ac:dyDescent="0.3">
      <c r="A368" s="125">
        <v>46002</v>
      </c>
      <c r="B368" t="s">
        <v>236</v>
      </c>
      <c r="C368" s="11"/>
      <c r="D368" s="11">
        <v>2560</v>
      </c>
      <c r="E368" t="s">
        <v>406</v>
      </c>
      <c r="F368" s="124" t="s">
        <v>109</v>
      </c>
    </row>
    <row r="369" spans="1:6" x14ac:dyDescent="0.3">
      <c r="A369" s="125">
        <v>46002</v>
      </c>
      <c r="B369" t="s">
        <v>236</v>
      </c>
      <c r="C369" s="11"/>
      <c r="D369" s="11">
        <v>9000</v>
      </c>
      <c r="E369" t="s">
        <v>407</v>
      </c>
      <c r="F369" s="124" t="s">
        <v>109</v>
      </c>
    </row>
    <row r="370" spans="1:6" x14ac:dyDescent="0.3">
      <c r="A370" s="125">
        <v>46002</v>
      </c>
      <c r="B370" t="s">
        <v>236</v>
      </c>
      <c r="C370" s="11"/>
      <c r="D370" s="11">
        <v>150000</v>
      </c>
      <c r="F370" s="124" t="s">
        <v>109</v>
      </c>
    </row>
    <row r="371" spans="1:6" x14ac:dyDescent="0.3">
      <c r="A371" s="125">
        <v>46002</v>
      </c>
      <c r="B371" t="s">
        <v>205</v>
      </c>
      <c r="C371" s="11">
        <v>150500</v>
      </c>
      <c r="D371" s="11"/>
      <c r="F371" s="124" t="s">
        <v>109</v>
      </c>
    </row>
    <row r="372" spans="1:6" x14ac:dyDescent="0.3">
      <c r="A372" s="125">
        <v>46002</v>
      </c>
      <c r="B372" t="s">
        <v>184</v>
      </c>
      <c r="C372" s="11">
        <v>134750</v>
      </c>
      <c r="D372" s="11"/>
      <c r="E372" t="s">
        <v>408</v>
      </c>
      <c r="F372" s="124" t="s">
        <v>109</v>
      </c>
    </row>
    <row r="373" spans="1:6" x14ac:dyDescent="0.3">
      <c r="A373" s="125">
        <v>46002</v>
      </c>
      <c r="B373" t="s">
        <v>54</v>
      </c>
      <c r="C373" s="11">
        <v>7180</v>
      </c>
      <c r="D373" s="11"/>
      <c r="E373" t="s">
        <v>409</v>
      </c>
      <c r="F373" s="124" t="s">
        <v>109</v>
      </c>
    </row>
    <row r="374" spans="1:6" x14ac:dyDescent="0.3">
      <c r="A374" s="125">
        <v>46002</v>
      </c>
      <c r="B374" t="s">
        <v>185</v>
      </c>
      <c r="C374" s="11">
        <v>4500</v>
      </c>
      <c r="D374" s="11"/>
      <c r="E374" t="s">
        <v>410</v>
      </c>
      <c r="F374" s="124" t="s">
        <v>109</v>
      </c>
    </row>
    <row r="375" spans="1:6" x14ac:dyDescent="0.3">
      <c r="A375" s="125">
        <v>46002</v>
      </c>
      <c r="B375" t="s">
        <v>380</v>
      </c>
      <c r="C375" s="11">
        <v>25000</v>
      </c>
      <c r="D375" s="11"/>
      <c r="E375" t="s">
        <v>411</v>
      </c>
      <c r="F375" s="124" t="s">
        <v>109</v>
      </c>
    </row>
    <row r="376" spans="1:6" x14ac:dyDescent="0.3">
      <c r="A376" s="125">
        <v>46002</v>
      </c>
      <c r="B376" t="s">
        <v>380</v>
      </c>
      <c r="C376" s="11">
        <v>1000</v>
      </c>
      <c r="D376" s="11"/>
      <c r="E376" t="s">
        <v>411</v>
      </c>
      <c r="F376" s="124" t="s">
        <v>109</v>
      </c>
    </row>
    <row r="377" spans="1:6" x14ac:dyDescent="0.3">
      <c r="A377" s="125">
        <v>46002</v>
      </c>
      <c r="B377" t="s">
        <v>236</v>
      </c>
      <c r="C377" s="11">
        <v>150000</v>
      </c>
      <c r="D377" s="11"/>
      <c r="E377" t="s">
        <v>412</v>
      </c>
      <c r="F377" s="124" t="s">
        <v>109</v>
      </c>
    </row>
    <row r="378" spans="1:6" x14ac:dyDescent="0.3">
      <c r="A378" s="125">
        <v>46002</v>
      </c>
      <c r="B378" t="s">
        <v>55</v>
      </c>
      <c r="C378" s="97">
        <v>2560</v>
      </c>
      <c r="D378" s="97"/>
      <c r="F378" s="124" t="s">
        <v>109</v>
      </c>
    </row>
    <row r="379" spans="1:6" x14ac:dyDescent="0.3">
      <c r="A379" s="125">
        <v>46002</v>
      </c>
      <c r="B379" t="s">
        <v>55</v>
      </c>
      <c r="C379" s="11">
        <v>9000</v>
      </c>
      <c r="D379" s="11"/>
      <c r="F379" s="124" t="s">
        <v>109</v>
      </c>
    </row>
    <row r="380" spans="1:6" x14ac:dyDescent="0.3">
      <c r="A380" s="125">
        <v>46002</v>
      </c>
      <c r="B380" t="s">
        <v>54</v>
      </c>
      <c r="C380" s="11">
        <v>1000</v>
      </c>
      <c r="D380" s="11"/>
      <c r="E380" t="s">
        <v>231</v>
      </c>
      <c r="F380" s="124" t="s">
        <v>109</v>
      </c>
    </row>
    <row r="381" spans="1:6" x14ac:dyDescent="0.3">
      <c r="A381" s="125">
        <v>46002</v>
      </c>
      <c r="B381" t="s">
        <v>55</v>
      </c>
      <c r="C381" s="11">
        <v>6594</v>
      </c>
      <c r="D381" s="11"/>
      <c r="E381" t="s">
        <v>413</v>
      </c>
      <c r="F381" s="124" t="s">
        <v>109</v>
      </c>
    </row>
    <row r="382" spans="1:6" x14ac:dyDescent="0.3">
      <c r="A382" s="125">
        <v>46002</v>
      </c>
      <c r="B382" t="s">
        <v>55</v>
      </c>
      <c r="C382" s="11">
        <v>4790</v>
      </c>
      <c r="D382" s="11"/>
      <c r="E382" t="s">
        <v>210</v>
      </c>
      <c r="F382" s="124" t="s">
        <v>109</v>
      </c>
    </row>
    <row r="383" spans="1:6" x14ac:dyDescent="0.3">
      <c r="A383" s="125">
        <v>46002</v>
      </c>
      <c r="B383" t="s">
        <v>219</v>
      </c>
      <c r="C383" s="11">
        <v>5000</v>
      </c>
      <c r="D383" s="11"/>
      <c r="E383" t="s">
        <v>351</v>
      </c>
      <c r="F383" s="124" t="s">
        <v>109</v>
      </c>
    </row>
    <row r="384" spans="1:6" x14ac:dyDescent="0.3">
      <c r="A384" s="125">
        <v>46002</v>
      </c>
      <c r="B384" t="s">
        <v>236</v>
      </c>
      <c r="C384" s="11"/>
      <c r="D384" s="11">
        <v>69000</v>
      </c>
      <c r="E384" t="s">
        <v>340</v>
      </c>
      <c r="F384" s="124" t="s">
        <v>109</v>
      </c>
    </row>
    <row r="385" spans="1:6" x14ac:dyDescent="0.3">
      <c r="A385" s="38">
        <v>46002</v>
      </c>
      <c r="B385" t="s">
        <v>340</v>
      </c>
      <c r="C385" s="97">
        <v>90000</v>
      </c>
      <c r="D385" s="97"/>
      <c r="E385" t="s">
        <v>401</v>
      </c>
      <c r="F385" s="124" t="s">
        <v>109</v>
      </c>
    </row>
    <row r="386" spans="1:6" x14ac:dyDescent="0.3">
      <c r="A386" s="38">
        <v>46002</v>
      </c>
      <c r="B386" t="s">
        <v>415</v>
      </c>
      <c r="C386" s="97">
        <v>1400</v>
      </c>
      <c r="D386" s="97"/>
      <c r="F386" s="124"/>
    </row>
    <row r="387" spans="1:6" x14ac:dyDescent="0.3">
      <c r="A387" s="38"/>
      <c r="C387" s="11"/>
      <c r="D387" s="11"/>
      <c r="F387" s="124"/>
    </row>
    <row r="388" spans="1:6" x14ac:dyDescent="0.3">
      <c r="A388" s="125">
        <v>46003</v>
      </c>
      <c r="B388" t="s">
        <v>415</v>
      </c>
      <c r="C388" s="11"/>
      <c r="D388" s="11">
        <v>1000</v>
      </c>
      <c r="F388" s="124" t="s">
        <v>109</v>
      </c>
    </row>
    <row r="389" spans="1:6" x14ac:dyDescent="0.3">
      <c r="A389" s="125">
        <v>46003</v>
      </c>
      <c r="B389" t="s">
        <v>246</v>
      </c>
      <c r="C389" s="11">
        <v>15000</v>
      </c>
      <c r="D389" s="11"/>
      <c r="E389" t="s">
        <v>417</v>
      </c>
      <c r="F389" s="124" t="s">
        <v>109</v>
      </c>
    </row>
    <row r="390" spans="1:6" x14ac:dyDescent="0.3">
      <c r="A390" s="38">
        <v>46003</v>
      </c>
      <c r="B390" t="s">
        <v>340</v>
      </c>
      <c r="C390" s="11">
        <v>190000</v>
      </c>
      <c r="D390" s="11"/>
      <c r="F390" s="124" t="s">
        <v>109</v>
      </c>
    </row>
    <row r="391" spans="1:6" x14ac:dyDescent="0.3">
      <c r="A391" s="125">
        <v>46003</v>
      </c>
      <c r="B391" t="s">
        <v>54</v>
      </c>
      <c r="C391" s="11"/>
      <c r="D391" s="11">
        <v>12700</v>
      </c>
      <c r="E391" t="s">
        <v>224</v>
      </c>
      <c r="F391" s="124" t="s">
        <v>109</v>
      </c>
    </row>
    <row r="392" spans="1:6" x14ac:dyDescent="0.3">
      <c r="A392" s="125">
        <v>46003</v>
      </c>
      <c r="B392" t="s">
        <v>236</v>
      </c>
      <c r="C392" s="11"/>
      <c r="D392" s="11">
        <v>120000</v>
      </c>
      <c r="F392" s="124" t="s">
        <v>109</v>
      </c>
    </row>
    <row r="393" spans="1:6" x14ac:dyDescent="0.3">
      <c r="A393" s="38">
        <v>46003</v>
      </c>
      <c r="B393" t="s">
        <v>184</v>
      </c>
      <c r="C393" s="11">
        <v>55250</v>
      </c>
      <c r="D393" s="11"/>
      <c r="E393" t="s">
        <v>335</v>
      </c>
      <c r="F393" s="124" t="s">
        <v>109</v>
      </c>
    </row>
    <row r="394" spans="1:6" x14ac:dyDescent="0.3">
      <c r="A394" s="125">
        <v>46003</v>
      </c>
      <c r="B394" t="s">
        <v>236</v>
      </c>
      <c r="C394" s="11"/>
      <c r="D394" s="11">
        <v>55250</v>
      </c>
      <c r="E394" t="s">
        <v>222</v>
      </c>
      <c r="F394" s="124" t="s">
        <v>109</v>
      </c>
    </row>
    <row r="395" spans="1:6" x14ac:dyDescent="0.3">
      <c r="A395" s="125">
        <v>46003</v>
      </c>
      <c r="B395" t="s">
        <v>184</v>
      </c>
      <c r="C395" s="11">
        <v>11250</v>
      </c>
      <c r="D395" s="11"/>
      <c r="E395" t="s">
        <v>418</v>
      </c>
      <c r="F395" s="124" t="s">
        <v>109</v>
      </c>
    </row>
    <row r="396" spans="1:6" x14ac:dyDescent="0.3">
      <c r="A396" s="38">
        <v>46003</v>
      </c>
      <c r="B396" t="s">
        <v>236</v>
      </c>
      <c r="C396" s="11"/>
      <c r="D396" s="11">
        <v>11250</v>
      </c>
      <c r="E396" t="s">
        <v>418</v>
      </c>
      <c r="F396" s="124" t="s">
        <v>109</v>
      </c>
    </row>
    <row r="397" spans="1:6" x14ac:dyDescent="0.3">
      <c r="A397" s="125">
        <v>46003</v>
      </c>
      <c r="B397" t="s">
        <v>296</v>
      </c>
      <c r="C397" s="11"/>
      <c r="D397" s="11">
        <v>100000</v>
      </c>
      <c r="F397" s="124" t="s">
        <v>109</v>
      </c>
    </row>
    <row r="398" spans="1:6" x14ac:dyDescent="0.3">
      <c r="A398" s="125">
        <v>46003</v>
      </c>
      <c r="B398" t="s">
        <v>9</v>
      </c>
      <c r="C398" s="11"/>
      <c r="D398" s="11">
        <v>100000</v>
      </c>
      <c r="F398" s="124" t="s">
        <v>109</v>
      </c>
    </row>
    <row r="399" spans="1:6" x14ac:dyDescent="0.3">
      <c r="A399" s="125">
        <v>46003</v>
      </c>
      <c r="B399" t="s">
        <v>211</v>
      </c>
      <c r="C399" s="11">
        <v>80000</v>
      </c>
      <c r="D399" s="11"/>
      <c r="E399" t="s">
        <v>379</v>
      </c>
      <c r="F399" s="124" t="s">
        <v>109</v>
      </c>
    </row>
    <row r="400" spans="1:6" x14ac:dyDescent="0.3">
      <c r="A400" s="125">
        <v>46003</v>
      </c>
      <c r="B400" t="s">
        <v>211</v>
      </c>
      <c r="C400" s="11">
        <v>50000</v>
      </c>
      <c r="D400" s="11"/>
      <c r="E400" t="s">
        <v>419</v>
      </c>
      <c r="F400" s="124" t="s">
        <v>109</v>
      </c>
    </row>
    <row r="401" spans="1:6" x14ac:dyDescent="0.3">
      <c r="A401" s="125">
        <v>46004</v>
      </c>
      <c r="B401" t="s">
        <v>27</v>
      </c>
      <c r="C401" s="11"/>
      <c r="D401" s="11">
        <v>61500</v>
      </c>
      <c r="E401" t="s">
        <v>392</v>
      </c>
      <c r="F401" s="124" t="s">
        <v>109</v>
      </c>
    </row>
    <row r="402" spans="1:6" x14ac:dyDescent="0.3">
      <c r="A402" s="38">
        <v>46004</v>
      </c>
      <c r="B402" t="s">
        <v>27</v>
      </c>
      <c r="C402" s="97"/>
      <c r="D402" s="97">
        <v>38500</v>
      </c>
      <c r="E402" t="s">
        <v>262</v>
      </c>
      <c r="F402" s="124" t="s">
        <v>109</v>
      </c>
    </row>
    <row r="403" spans="1:6" x14ac:dyDescent="0.3">
      <c r="A403" s="125">
        <v>46004</v>
      </c>
      <c r="B403" t="s">
        <v>219</v>
      </c>
      <c r="C403" s="11">
        <v>20000</v>
      </c>
      <c r="D403" s="11"/>
      <c r="E403" t="s">
        <v>395</v>
      </c>
      <c r="F403" s="124" t="s">
        <v>109</v>
      </c>
    </row>
    <row r="404" spans="1:6" x14ac:dyDescent="0.3">
      <c r="A404" s="125">
        <v>46004</v>
      </c>
      <c r="B404" t="s">
        <v>236</v>
      </c>
      <c r="C404" s="11"/>
      <c r="D404" s="11">
        <v>20000</v>
      </c>
      <c r="E404" t="s">
        <v>395</v>
      </c>
      <c r="F404" s="124" t="s">
        <v>109</v>
      </c>
    </row>
    <row r="405" spans="1:6" x14ac:dyDescent="0.3">
      <c r="A405" s="38">
        <v>46004</v>
      </c>
      <c r="B405" t="s">
        <v>236</v>
      </c>
      <c r="C405" s="97">
        <v>100000</v>
      </c>
      <c r="D405" s="97"/>
      <c r="E405" t="s">
        <v>420</v>
      </c>
      <c r="F405" s="124" t="s">
        <v>109</v>
      </c>
    </row>
    <row r="406" spans="1:6" x14ac:dyDescent="0.3">
      <c r="A406" s="125">
        <v>46003</v>
      </c>
      <c r="B406" t="s">
        <v>219</v>
      </c>
      <c r="C406" s="11">
        <v>1000</v>
      </c>
      <c r="D406" s="11"/>
      <c r="E406" t="s">
        <v>423</v>
      </c>
      <c r="F406" s="124" t="s">
        <v>109</v>
      </c>
    </row>
    <row r="407" spans="1:6" x14ac:dyDescent="0.3">
      <c r="A407" s="125">
        <v>46003</v>
      </c>
      <c r="B407" t="s">
        <v>219</v>
      </c>
      <c r="C407" s="11">
        <v>500</v>
      </c>
      <c r="D407" s="11"/>
      <c r="E407" t="s">
        <v>424</v>
      </c>
      <c r="F407" s="124" t="s">
        <v>109</v>
      </c>
    </row>
    <row r="408" spans="1:6" x14ac:dyDescent="0.3">
      <c r="A408" s="125">
        <v>46004</v>
      </c>
      <c r="B408" t="s">
        <v>386</v>
      </c>
      <c r="C408" s="11"/>
      <c r="D408" s="11">
        <v>100000</v>
      </c>
      <c r="E408" t="s">
        <v>425</v>
      </c>
      <c r="F408" s="124" t="s">
        <v>109</v>
      </c>
    </row>
    <row r="409" spans="1:6" x14ac:dyDescent="0.3">
      <c r="A409" s="125">
        <v>46005</v>
      </c>
      <c r="B409" t="s">
        <v>55</v>
      </c>
      <c r="C409" s="11">
        <v>15000</v>
      </c>
      <c r="D409" s="11"/>
      <c r="E409" t="s">
        <v>230</v>
      </c>
      <c r="F409" s="124" t="s">
        <v>109</v>
      </c>
    </row>
    <row r="410" spans="1:6" x14ac:dyDescent="0.3">
      <c r="A410" s="125">
        <v>46005</v>
      </c>
      <c r="B410" t="s">
        <v>246</v>
      </c>
      <c r="C410" s="11">
        <v>2970</v>
      </c>
      <c r="D410" s="11"/>
      <c r="E410" t="s">
        <v>426</v>
      </c>
      <c r="F410" s="124" t="s">
        <v>109</v>
      </c>
    </row>
    <row r="411" spans="1:6" x14ac:dyDescent="0.3">
      <c r="A411" s="125">
        <v>46005</v>
      </c>
      <c r="B411" t="s">
        <v>55</v>
      </c>
      <c r="C411" s="97">
        <v>300</v>
      </c>
      <c r="D411" s="97"/>
      <c r="E411" t="s">
        <v>427</v>
      </c>
      <c r="F411" s="124" t="s">
        <v>109</v>
      </c>
    </row>
    <row r="412" spans="1:6" x14ac:dyDescent="0.3">
      <c r="A412" s="125">
        <v>46005</v>
      </c>
      <c r="B412" t="s">
        <v>54</v>
      </c>
      <c r="C412" s="11">
        <v>3000</v>
      </c>
      <c r="D412" s="11"/>
      <c r="E412" t="s">
        <v>215</v>
      </c>
      <c r="F412" s="124" t="s">
        <v>109</v>
      </c>
    </row>
    <row r="413" spans="1:6" x14ac:dyDescent="0.3">
      <c r="A413" s="125">
        <v>46005</v>
      </c>
      <c r="B413" t="s">
        <v>54</v>
      </c>
      <c r="C413" s="11">
        <v>6000</v>
      </c>
      <c r="D413" s="11"/>
      <c r="E413" t="s">
        <v>215</v>
      </c>
      <c r="F413" s="124" t="s">
        <v>109</v>
      </c>
    </row>
    <row r="414" spans="1:6" x14ac:dyDescent="0.3">
      <c r="A414" s="125">
        <v>46005</v>
      </c>
      <c r="B414" t="s">
        <v>54</v>
      </c>
      <c r="C414" s="11">
        <v>800</v>
      </c>
      <c r="D414" s="11"/>
      <c r="E414" t="s">
        <v>215</v>
      </c>
      <c r="F414" s="124" t="s">
        <v>109</v>
      </c>
    </row>
    <row r="415" spans="1:6" x14ac:dyDescent="0.3">
      <c r="A415" s="125">
        <v>46005</v>
      </c>
      <c r="B415" t="s">
        <v>54</v>
      </c>
      <c r="C415" s="11">
        <v>7740</v>
      </c>
      <c r="D415" s="11"/>
      <c r="E415" t="s">
        <v>215</v>
      </c>
      <c r="F415" s="124" t="s">
        <v>109</v>
      </c>
    </row>
    <row r="416" spans="1:6" x14ac:dyDescent="0.3">
      <c r="A416" s="125">
        <v>46005</v>
      </c>
      <c r="B416" t="s">
        <v>370</v>
      </c>
      <c r="C416" s="11">
        <v>40000</v>
      </c>
      <c r="D416" s="11"/>
      <c r="E416" t="s">
        <v>428</v>
      </c>
      <c r="F416" s="124" t="s">
        <v>109</v>
      </c>
    </row>
    <row r="417" spans="1:6" x14ac:dyDescent="0.3">
      <c r="A417" s="125">
        <v>46005</v>
      </c>
      <c r="B417" t="s">
        <v>185</v>
      </c>
      <c r="C417" s="11">
        <f>3466+842</f>
        <v>4308</v>
      </c>
      <c r="D417" s="11"/>
      <c r="E417" t="s">
        <v>429</v>
      </c>
      <c r="F417" s="124" t="s">
        <v>109</v>
      </c>
    </row>
    <row r="418" spans="1:6" x14ac:dyDescent="0.3">
      <c r="A418" s="125">
        <v>46003</v>
      </c>
      <c r="B418" t="s">
        <v>246</v>
      </c>
      <c r="C418" s="11">
        <v>1578</v>
      </c>
      <c r="D418" s="11"/>
      <c r="E418" t="s">
        <v>426</v>
      </c>
      <c r="F418" s="124" t="s">
        <v>109</v>
      </c>
    </row>
    <row r="419" spans="1:6" x14ac:dyDescent="0.3">
      <c r="A419" s="125">
        <v>46006</v>
      </c>
      <c r="B419" t="s">
        <v>380</v>
      </c>
      <c r="C419" s="11">
        <v>10000</v>
      </c>
      <c r="D419" s="11"/>
      <c r="E419" t="s">
        <v>431</v>
      </c>
      <c r="F419" s="124" t="s">
        <v>109</v>
      </c>
    </row>
    <row r="420" spans="1:6" x14ac:dyDescent="0.3">
      <c r="A420" s="125">
        <v>46006</v>
      </c>
      <c r="B420" t="s">
        <v>219</v>
      </c>
      <c r="C420" s="11">
        <v>5000</v>
      </c>
      <c r="D420" s="11"/>
      <c r="E420" t="s">
        <v>289</v>
      </c>
      <c r="F420" s="124" t="s">
        <v>109</v>
      </c>
    </row>
    <row r="421" spans="1:6" x14ac:dyDescent="0.3">
      <c r="A421" s="125">
        <v>46006</v>
      </c>
      <c r="B421" t="s">
        <v>185</v>
      </c>
      <c r="C421" s="11">
        <v>8600</v>
      </c>
      <c r="D421" s="11"/>
      <c r="E421" t="s">
        <v>377</v>
      </c>
      <c r="F421" s="124" t="s">
        <v>109</v>
      </c>
    </row>
    <row r="422" spans="1:6" x14ac:dyDescent="0.3">
      <c r="A422" s="125">
        <v>46006</v>
      </c>
      <c r="B422" t="s">
        <v>211</v>
      </c>
      <c r="C422" s="11">
        <v>24000</v>
      </c>
      <c r="D422" s="11"/>
      <c r="E422" t="s">
        <v>188</v>
      </c>
      <c r="F422" s="124" t="s">
        <v>109</v>
      </c>
    </row>
    <row r="423" spans="1:6" x14ac:dyDescent="0.3">
      <c r="A423" s="125">
        <v>46006</v>
      </c>
      <c r="B423" t="s">
        <v>211</v>
      </c>
      <c r="C423" s="11">
        <v>25000</v>
      </c>
      <c r="D423" s="11"/>
      <c r="E423" t="s">
        <v>188</v>
      </c>
      <c r="F423" s="124" t="s">
        <v>109</v>
      </c>
    </row>
    <row r="424" spans="1:6" x14ac:dyDescent="0.3">
      <c r="A424" s="125">
        <v>46006</v>
      </c>
      <c r="B424" t="s">
        <v>236</v>
      </c>
      <c r="C424" s="11"/>
      <c r="D424" s="11">
        <v>25000</v>
      </c>
      <c r="E424" t="s">
        <v>188</v>
      </c>
      <c r="F424" s="124" t="s">
        <v>109</v>
      </c>
    </row>
    <row r="425" spans="1:6" x14ac:dyDescent="0.3">
      <c r="A425" s="125">
        <v>46006</v>
      </c>
      <c r="B425" t="s">
        <v>236</v>
      </c>
      <c r="C425" s="11"/>
      <c r="D425" s="11">
        <v>5000</v>
      </c>
      <c r="E425" t="s">
        <v>432</v>
      </c>
      <c r="F425" s="124" t="s">
        <v>109</v>
      </c>
    </row>
    <row r="426" spans="1:6" x14ac:dyDescent="0.3">
      <c r="A426" s="125">
        <v>46006</v>
      </c>
      <c r="B426" t="s">
        <v>211</v>
      </c>
      <c r="C426" s="11">
        <v>5000</v>
      </c>
      <c r="D426" s="11"/>
      <c r="E426" t="s">
        <v>432</v>
      </c>
      <c r="F426" s="124" t="s">
        <v>109</v>
      </c>
    </row>
    <row r="427" spans="1:6" x14ac:dyDescent="0.3">
      <c r="A427" s="125">
        <v>46006</v>
      </c>
      <c r="B427" t="s">
        <v>331</v>
      </c>
      <c r="C427" s="11"/>
      <c r="D427" s="11">
        <v>215000</v>
      </c>
      <c r="E427" t="s">
        <v>433</v>
      </c>
      <c r="F427" s="124" t="s">
        <v>109</v>
      </c>
    </row>
    <row r="428" spans="1:6" x14ac:dyDescent="0.3">
      <c r="A428" s="125">
        <v>46006</v>
      </c>
      <c r="B428" t="s">
        <v>211</v>
      </c>
      <c r="C428" s="11">
        <v>15000</v>
      </c>
      <c r="D428" s="11"/>
      <c r="E428" t="s">
        <v>434</v>
      </c>
      <c r="F428" s="124" t="s">
        <v>109</v>
      </c>
    </row>
    <row r="429" spans="1:6" x14ac:dyDescent="0.3">
      <c r="A429" s="125">
        <v>46006</v>
      </c>
      <c r="B429" t="s">
        <v>236</v>
      </c>
      <c r="C429" s="11">
        <v>200000</v>
      </c>
      <c r="D429" s="11"/>
      <c r="E429" t="s">
        <v>331</v>
      </c>
      <c r="F429" s="124" t="s">
        <v>109</v>
      </c>
    </row>
    <row r="430" spans="1:6" x14ac:dyDescent="0.3">
      <c r="A430" s="125">
        <v>46006</v>
      </c>
      <c r="B430" t="s">
        <v>236</v>
      </c>
      <c r="C430" s="11"/>
      <c r="D430" s="11">
        <v>145232</v>
      </c>
      <c r="E430" t="s">
        <v>435</v>
      </c>
      <c r="F430" s="124" t="s">
        <v>109</v>
      </c>
    </row>
    <row r="431" spans="1:6" x14ac:dyDescent="0.3">
      <c r="A431" s="125">
        <v>46006</v>
      </c>
      <c r="B431" t="s">
        <v>55</v>
      </c>
      <c r="C431" s="11">
        <v>50000</v>
      </c>
      <c r="D431" s="11"/>
      <c r="E431" t="s">
        <v>247</v>
      </c>
      <c r="F431" s="124" t="s">
        <v>109</v>
      </c>
    </row>
    <row r="432" spans="1:6" x14ac:dyDescent="0.3">
      <c r="A432" s="125">
        <v>46006</v>
      </c>
      <c r="B432" t="s">
        <v>236</v>
      </c>
      <c r="C432" s="11"/>
      <c r="D432" s="11">
        <v>600000</v>
      </c>
      <c r="E432" t="s">
        <v>211</v>
      </c>
      <c r="F432" s="124" t="s">
        <v>109</v>
      </c>
    </row>
    <row r="433" spans="1:14" x14ac:dyDescent="0.3">
      <c r="A433" s="125">
        <v>46006</v>
      </c>
      <c r="B433" t="s">
        <v>246</v>
      </c>
      <c r="C433" s="11">
        <v>2000</v>
      </c>
      <c r="D433" s="11"/>
      <c r="E433" t="s">
        <v>436</v>
      </c>
      <c r="F433" s="124" t="s">
        <v>109</v>
      </c>
    </row>
    <row r="434" spans="1:14" x14ac:dyDescent="0.3">
      <c r="A434" s="125">
        <v>46006</v>
      </c>
      <c r="B434" t="s">
        <v>219</v>
      </c>
      <c r="C434" s="11">
        <v>1000</v>
      </c>
      <c r="D434" s="11"/>
      <c r="E434" t="s">
        <v>437</v>
      </c>
      <c r="F434" s="124" t="s">
        <v>109</v>
      </c>
    </row>
    <row r="435" spans="1:14" x14ac:dyDescent="0.3">
      <c r="A435" s="125">
        <v>46006</v>
      </c>
      <c r="B435" t="s">
        <v>296</v>
      </c>
      <c r="C435" s="11"/>
      <c r="D435" s="11">
        <v>150000</v>
      </c>
      <c r="E435" t="s">
        <v>392</v>
      </c>
      <c r="F435" s="124" t="s">
        <v>109</v>
      </c>
    </row>
    <row r="436" spans="1:14" x14ac:dyDescent="0.3">
      <c r="A436" s="125">
        <v>46006</v>
      </c>
      <c r="B436" t="s">
        <v>9</v>
      </c>
      <c r="C436" s="11"/>
      <c r="D436" s="11">
        <v>200000</v>
      </c>
      <c r="E436" t="s">
        <v>262</v>
      </c>
      <c r="F436" s="124" t="s">
        <v>109</v>
      </c>
    </row>
    <row r="437" spans="1:14" x14ac:dyDescent="0.3">
      <c r="A437" s="125">
        <v>46006</v>
      </c>
      <c r="B437" t="s">
        <v>340</v>
      </c>
      <c r="C437" s="11">
        <v>150000</v>
      </c>
      <c r="D437" s="11"/>
      <c r="F437" s="124" t="s">
        <v>109</v>
      </c>
    </row>
    <row r="438" spans="1:14" x14ac:dyDescent="0.3">
      <c r="A438" s="125">
        <v>46006</v>
      </c>
      <c r="B438" t="s">
        <v>236</v>
      </c>
      <c r="C438" s="11"/>
      <c r="D438" s="11">
        <v>100000</v>
      </c>
      <c r="E438" t="s">
        <v>438</v>
      </c>
      <c r="F438" s="124" t="s">
        <v>109</v>
      </c>
      <c r="L438" s="19">
        <v>48600</v>
      </c>
      <c r="N438" s="19">
        <v>27400</v>
      </c>
    </row>
    <row r="439" spans="1:14" x14ac:dyDescent="0.3">
      <c r="A439" s="125">
        <v>46006</v>
      </c>
      <c r="B439" t="s">
        <v>205</v>
      </c>
      <c r="C439" s="97">
        <v>100000</v>
      </c>
      <c r="D439" s="97"/>
      <c r="F439" s="124" t="s">
        <v>109</v>
      </c>
      <c r="L439">
        <v>49200</v>
      </c>
      <c r="N439">
        <v>3400</v>
      </c>
    </row>
    <row r="440" spans="1:14" x14ac:dyDescent="0.3">
      <c r="A440" s="125">
        <v>46006</v>
      </c>
      <c r="B440" t="s">
        <v>236</v>
      </c>
      <c r="C440" s="11">
        <v>200000</v>
      </c>
      <c r="D440" s="11"/>
      <c r="E440" t="s">
        <v>439</v>
      </c>
      <c r="F440" s="124" t="s">
        <v>109</v>
      </c>
      <c r="L440">
        <v>52000</v>
      </c>
      <c r="N440" s="19">
        <v>6200</v>
      </c>
    </row>
    <row r="441" spans="1:14" x14ac:dyDescent="0.3">
      <c r="A441" s="125">
        <v>46006</v>
      </c>
      <c r="B441" t="s">
        <v>211</v>
      </c>
      <c r="C441" s="11">
        <v>642600</v>
      </c>
      <c r="D441" s="11"/>
      <c r="E441" t="s">
        <v>440</v>
      </c>
      <c r="F441" s="124" t="s">
        <v>109</v>
      </c>
      <c r="L441">
        <v>42800</v>
      </c>
      <c r="N441">
        <v>3400</v>
      </c>
    </row>
    <row r="442" spans="1:14" x14ac:dyDescent="0.3">
      <c r="A442" s="125">
        <v>46006</v>
      </c>
      <c r="B442" t="s">
        <v>415</v>
      </c>
      <c r="C442" s="11">
        <v>3400</v>
      </c>
      <c r="D442" s="11"/>
      <c r="E442" t="s">
        <v>441</v>
      </c>
      <c r="F442" s="124" t="s">
        <v>109</v>
      </c>
      <c r="L442">
        <v>25200</v>
      </c>
      <c r="N442" s="19">
        <v>25200</v>
      </c>
    </row>
    <row r="443" spans="1:14" x14ac:dyDescent="0.3">
      <c r="A443" s="125">
        <v>46006</v>
      </c>
      <c r="B443" t="s">
        <v>54</v>
      </c>
      <c r="C443" s="11">
        <v>3000</v>
      </c>
      <c r="D443" s="11"/>
      <c r="E443" t="s">
        <v>231</v>
      </c>
      <c r="F443" s="124" t="s">
        <v>109</v>
      </c>
      <c r="L443">
        <v>37600</v>
      </c>
      <c r="N443" s="19">
        <v>19500</v>
      </c>
    </row>
    <row r="444" spans="1:14" x14ac:dyDescent="0.3">
      <c r="A444" s="125">
        <v>46006</v>
      </c>
      <c r="B444" t="s">
        <v>54</v>
      </c>
      <c r="C444" s="11">
        <v>11000</v>
      </c>
      <c r="D444" s="11"/>
      <c r="E444" t="s">
        <v>231</v>
      </c>
      <c r="F444" s="124" t="s">
        <v>109</v>
      </c>
      <c r="L444">
        <v>23000</v>
      </c>
      <c r="N444" s="19">
        <v>20300</v>
      </c>
    </row>
    <row r="445" spans="1:14" x14ac:dyDescent="0.3">
      <c r="A445" s="125">
        <v>46006</v>
      </c>
      <c r="B445" t="s">
        <v>54</v>
      </c>
      <c r="C445" s="11">
        <v>2000</v>
      </c>
      <c r="D445" s="11"/>
      <c r="E445" t="s">
        <v>276</v>
      </c>
      <c r="F445" s="124" t="s">
        <v>109</v>
      </c>
      <c r="L445">
        <v>6200</v>
      </c>
      <c r="N445" s="19">
        <v>21000</v>
      </c>
    </row>
    <row r="446" spans="1:14" x14ac:dyDescent="0.3">
      <c r="A446" s="125">
        <v>46007</v>
      </c>
      <c r="B446" t="s">
        <v>259</v>
      </c>
      <c r="C446" s="11"/>
      <c r="D446" s="11">
        <v>500000</v>
      </c>
      <c r="E446" t="s">
        <v>444</v>
      </c>
      <c r="F446" s="124" t="s">
        <v>109</v>
      </c>
      <c r="L446">
        <v>3400</v>
      </c>
      <c r="N446" s="19">
        <v>40000</v>
      </c>
    </row>
    <row r="447" spans="1:14" x14ac:dyDescent="0.3">
      <c r="A447" s="125">
        <v>46007</v>
      </c>
      <c r="B447" t="s">
        <v>380</v>
      </c>
      <c r="C447" s="11">
        <v>2000</v>
      </c>
      <c r="D447" s="11"/>
      <c r="E447" t="s">
        <v>411</v>
      </c>
      <c r="F447" s="124" t="s">
        <v>109</v>
      </c>
      <c r="L447">
        <v>19800</v>
      </c>
      <c r="N447" s="19">
        <v>3000</v>
      </c>
    </row>
    <row r="448" spans="1:14" x14ac:dyDescent="0.3">
      <c r="A448" s="125">
        <v>46007</v>
      </c>
      <c r="B448" t="s">
        <v>246</v>
      </c>
      <c r="C448" s="11">
        <v>1000</v>
      </c>
      <c r="D448" s="11"/>
      <c r="E448" t="s">
        <v>445</v>
      </c>
      <c r="F448" s="124" t="s">
        <v>109</v>
      </c>
      <c r="L448">
        <v>3400</v>
      </c>
      <c r="N448" s="19">
        <v>20600</v>
      </c>
    </row>
    <row r="449" spans="1:14" x14ac:dyDescent="0.3">
      <c r="A449" s="125">
        <v>46007</v>
      </c>
      <c r="B449" t="s">
        <v>246</v>
      </c>
      <c r="C449" s="11">
        <v>180</v>
      </c>
      <c r="D449" s="11"/>
      <c r="E449" t="s">
        <v>446</v>
      </c>
      <c r="F449" s="124" t="s">
        <v>109</v>
      </c>
      <c r="L449">
        <v>31150</v>
      </c>
      <c r="N449" s="19">
        <v>12750</v>
      </c>
    </row>
    <row r="450" spans="1:14" x14ac:dyDescent="0.3">
      <c r="A450" s="125">
        <v>46007</v>
      </c>
      <c r="B450" t="s">
        <v>185</v>
      </c>
      <c r="C450" s="11">
        <v>3600</v>
      </c>
      <c r="D450" s="11"/>
      <c r="E450" t="s">
        <v>377</v>
      </c>
      <c r="F450" s="124" t="s">
        <v>109</v>
      </c>
      <c r="L450">
        <v>12750</v>
      </c>
      <c r="N450" s="19">
        <v>14400</v>
      </c>
    </row>
    <row r="451" spans="1:14" x14ac:dyDescent="0.3">
      <c r="A451" s="125">
        <v>46007</v>
      </c>
      <c r="B451" t="s">
        <v>184</v>
      </c>
      <c r="C451" s="11">
        <v>76300</v>
      </c>
      <c r="D451" s="11"/>
      <c r="E451" t="s">
        <v>447</v>
      </c>
      <c r="F451" s="124" t="s">
        <v>109</v>
      </c>
      <c r="L451">
        <v>27400</v>
      </c>
      <c r="N451" s="19">
        <v>9000</v>
      </c>
    </row>
    <row r="452" spans="1:14" x14ac:dyDescent="0.3">
      <c r="A452" s="125">
        <v>46007</v>
      </c>
      <c r="B452" t="s">
        <v>243</v>
      </c>
      <c r="C452" s="11">
        <v>34375</v>
      </c>
      <c r="D452" s="11"/>
      <c r="E452" t="s">
        <v>130</v>
      </c>
      <c r="F452" s="124" t="s">
        <v>109</v>
      </c>
      <c r="L452">
        <v>15700</v>
      </c>
      <c r="N452" s="19">
        <v>17400</v>
      </c>
    </row>
    <row r="453" spans="1:14" x14ac:dyDescent="0.3">
      <c r="A453" s="125">
        <v>46007</v>
      </c>
      <c r="B453" t="s">
        <v>95</v>
      </c>
      <c r="C453" s="11">
        <v>10000</v>
      </c>
      <c r="D453" s="11"/>
      <c r="E453" t="s">
        <v>448</v>
      </c>
      <c r="F453" s="124" t="s">
        <v>109</v>
      </c>
      <c r="L453">
        <v>12550</v>
      </c>
      <c r="N453" s="19">
        <v>19782</v>
      </c>
    </row>
    <row r="454" spans="1:14" x14ac:dyDescent="0.3">
      <c r="A454" s="125">
        <v>46007</v>
      </c>
      <c r="B454" t="s">
        <v>178</v>
      </c>
      <c r="C454" s="11">
        <v>1000</v>
      </c>
      <c r="D454" s="11"/>
      <c r="E454" t="s">
        <v>448</v>
      </c>
      <c r="F454" s="124" t="s">
        <v>109</v>
      </c>
      <c r="L454">
        <v>14800</v>
      </c>
      <c r="N454" s="19">
        <v>23000</v>
      </c>
    </row>
    <row r="455" spans="1:14" x14ac:dyDescent="0.3">
      <c r="A455" s="125">
        <v>46007</v>
      </c>
      <c r="B455" t="s">
        <v>205</v>
      </c>
      <c r="C455" s="11">
        <v>1000</v>
      </c>
      <c r="D455" s="11"/>
      <c r="E455" t="s">
        <v>448</v>
      </c>
      <c r="F455" s="124" t="s">
        <v>109</v>
      </c>
      <c r="L455">
        <v>14350</v>
      </c>
      <c r="N455" s="19">
        <v>15700</v>
      </c>
    </row>
    <row r="456" spans="1:14" x14ac:dyDescent="0.3">
      <c r="A456" s="125">
        <v>46007</v>
      </c>
      <c r="B456" t="s">
        <v>340</v>
      </c>
      <c r="C456" s="11">
        <v>1000</v>
      </c>
      <c r="D456" s="11"/>
      <c r="E456" t="s">
        <v>448</v>
      </c>
      <c r="F456" s="124" t="s">
        <v>109</v>
      </c>
      <c r="L456">
        <v>40000</v>
      </c>
      <c r="N456" s="19">
        <v>14800</v>
      </c>
    </row>
    <row r="457" spans="1:14" x14ac:dyDescent="0.3">
      <c r="A457" s="125">
        <v>46007</v>
      </c>
      <c r="B457" t="s">
        <v>211</v>
      </c>
      <c r="C457" s="97">
        <f>8800+20000+30000+18000+15600+15000</f>
        <v>107400</v>
      </c>
      <c r="D457" s="97"/>
      <c r="E457" t="s">
        <v>440</v>
      </c>
      <c r="F457" s="124" t="s">
        <v>109</v>
      </c>
      <c r="L457">
        <v>17400</v>
      </c>
      <c r="N457" s="19">
        <v>12550</v>
      </c>
    </row>
    <row r="458" spans="1:14" x14ac:dyDescent="0.3">
      <c r="A458" s="125">
        <v>46007</v>
      </c>
      <c r="B458" t="s">
        <v>236</v>
      </c>
      <c r="C458" s="11">
        <v>500000</v>
      </c>
      <c r="D458" s="11"/>
      <c r="E458" t="s">
        <v>259</v>
      </c>
      <c r="F458" s="124" t="s">
        <v>109</v>
      </c>
      <c r="L458">
        <v>19500</v>
      </c>
      <c r="N458" s="19">
        <v>31150</v>
      </c>
    </row>
    <row r="459" spans="1:14" x14ac:dyDescent="0.3">
      <c r="A459" s="125">
        <v>46007</v>
      </c>
      <c r="B459" t="s">
        <v>185</v>
      </c>
      <c r="C459" s="97">
        <v>10800</v>
      </c>
      <c r="D459" s="97"/>
      <c r="E459" t="s">
        <v>449</v>
      </c>
      <c r="F459" s="124" t="s">
        <v>109</v>
      </c>
      <c r="L459">
        <v>3000</v>
      </c>
      <c r="N459" s="19">
        <v>27500</v>
      </c>
    </row>
    <row r="460" spans="1:14" x14ac:dyDescent="0.3">
      <c r="A460" s="125">
        <v>46007</v>
      </c>
      <c r="B460" t="s">
        <v>211</v>
      </c>
      <c r="C460" s="11">
        <v>15000</v>
      </c>
      <c r="D460" s="11"/>
      <c r="E460" t="s">
        <v>440</v>
      </c>
      <c r="F460" s="124" t="s">
        <v>109</v>
      </c>
      <c r="L460">
        <v>1000</v>
      </c>
      <c r="N460" s="19">
        <v>20000</v>
      </c>
    </row>
    <row r="461" spans="1:14" x14ac:dyDescent="0.3">
      <c r="A461" s="125">
        <v>46007</v>
      </c>
      <c r="B461" t="s">
        <v>55</v>
      </c>
      <c r="C461" s="11">
        <v>9900</v>
      </c>
      <c r="D461" s="11"/>
      <c r="E461" t="s">
        <v>230</v>
      </c>
      <c r="F461" s="124" t="s">
        <v>109</v>
      </c>
      <c r="L461">
        <v>9000</v>
      </c>
      <c r="N461" s="19">
        <v>52000</v>
      </c>
    </row>
    <row r="462" spans="1:14" x14ac:dyDescent="0.3">
      <c r="A462" s="125">
        <v>46007</v>
      </c>
      <c r="B462" t="s">
        <v>114</v>
      </c>
      <c r="C462" s="11">
        <v>18820</v>
      </c>
      <c r="D462" s="11"/>
      <c r="E462" t="s">
        <v>450</v>
      </c>
      <c r="F462" s="124" t="s">
        <v>109</v>
      </c>
      <c r="L462">
        <v>21000</v>
      </c>
      <c r="N462" s="19">
        <v>49200</v>
      </c>
    </row>
    <row r="463" spans="1:14" x14ac:dyDescent="0.3">
      <c r="A463" s="125">
        <v>46007</v>
      </c>
      <c r="B463" t="s">
        <v>340</v>
      </c>
      <c r="C463" s="11">
        <v>46600</v>
      </c>
      <c r="D463" s="11"/>
      <c r="E463" t="s">
        <v>345</v>
      </c>
      <c r="F463" s="124" t="s">
        <v>109</v>
      </c>
      <c r="L463">
        <v>20300</v>
      </c>
      <c r="N463" s="19">
        <v>37600</v>
      </c>
    </row>
    <row r="464" spans="1:14" x14ac:dyDescent="0.3">
      <c r="A464" s="125">
        <v>46007</v>
      </c>
      <c r="B464" t="s">
        <v>114</v>
      </c>
      <c r="C464" s="11">
        <v>20000</v>
      </c>
      <c r="D464" s="11"/>
      <c r="E464" t="s">
        <v>248</v>
      </c>
      <c r="F464" s="124" t="s">
        <v>109</v>
      </c>
      <c r="L464">
        <v>27500</v>
      </c>
      <c r="N464" s="19">
        <v>48600</v>
      </c>
    </row>
    <row r="465" spans="1:14" x14ac:dyDescent="0.3">
      <c r="A465" s="125">
        <v>46007</v>
      </c>
      <c r="B465" t="s">
        <v>95</v>
      </c>
      <c r="C465" s="11">
        <v>201500</v>
      </c>
      <c r="D465" s="11"/>
      <c r="E465" t="s">
        <v>451</v>
      </c>
      <c r="F465" s="124" t="s">
        <v>109</v>
      </c>
      <c r="L465">
        <v>20000</v>
      </c>
      <c r="N465" s="19">
        <v>42800</v>
      </c>
    </row>
    <row r="466" spans="1:14" x14ac:dyDescent="0.3">
      <c r="A466" s="125">
        <v>46007</v>
      </c>
      <c r="B466" t="s">
        <v>205</v>
      </c>
      <c r="C466" s="11">
        <v>150072</v>
      </c>
      <c r="D466" s="11"/>
      <c r="E466" t="s">
        <v>392</v>
      </c>
      <c r="F466" s="124" t="s">
        <v>109</v>
      </c>
      <c r="L466">
        <v>20600</v>
      </c>
    </row>
    <row r="467" spans="1:14" x14ac:dyDescent="0.3">
      <c r="A467" s="125">
        <v>46007</v>
      </c>
      <c r="B467" t="s">
        <v>452</v>
      </c>
      <c r="C467" s="11"/>
      <c r="D467" s="11">
        <v>250000</v>
      </c>
      <c r="F467" s="124" t="s">
        <v>109</v>
      </c>
      <c r="L467">
        <v>3400</v>
      </c>
    </row>
    <row r="468" spans="1:14" x14ac:dyDescent="0.3">
      <c r="A468" s="125">
        <v>46007</v>
      </c>
      <c r="B468" t="s">
        <v>296</v>
      </c>
      <c r="C468" s="11"/>
      <c r="D468" s="11">
        <v>203500</v>
      </c>
      <c r="F468" s="124" t="s">
        <v>109</v>
      </c>
    </row>
    <row r="469" spans="1:14" x14ac:dyDescent="0.3">
      <c r="A469" s="125">
        <v>46007</v>
      </c>
      <c r="B469" t="s">
        <v>54</v>
      </c>
      <c r="C469" s="11">
        <v>5000</v>
      </c>
      <c r="D469" s="11"/>
      <c r="E469" t="s">
        <v>231</v>
      </c>
      <c r="F469" s="124" t="s">
        <v>109</v>
      </c>
    </row>
    <row r="470" spans="1:14" x14ac:dyDescent="0.3">
      <c r="A470" s="125">
        <v>46007</v>
      </c>
      <c r="B470" t="s">
        <v>219</v>
      </c>
      <c r="C470" s="97">
        <v>5000</v>
      </c>
      <c r="D470" s="97"/>
      <c r="E470" t="s">
        <v>395</v>
      </c>
      <c r="F470" s="124" t="s">
        <v>109</v>
      </c>
    </row>
    <row r="471" spans="1:14" x14ac:dyDescent="0.3">
      <c r="A471" s="125">
        <v>46007</v>
      </c>
      <c r="B471" t="s">
        <v>236</v>
      </c>
      <c r="C471" s="97">
        <v>250000</v>
      </c>
      <c r="D471" s="97"/>
      <c r="E471" t="s">
        <v>452</v>
      </c>
      <c r="F471" s="124" t="s">
        <v>109</v>
      </c>
    </row>
    <row r="472" spans="1:14" x14ac:dyDescent="0.3">
      <c r="A472" s="125">
        <v>46007</v>
      </c>
      <c r="B472" t="s">
        <v>236</v>
      </c>
      <c r="C472" s="97"/>
      <c r="D472" s="97">
        <v>150000</v>
      </c>
      <c r="E472" t="s">
        <v>452</v>
      </c>
      <c r="F472" s="124" t="s">
        <v>109</v>
      </c>
    </row>
    <row r="473" spans="1:14" x14ac:dyDescent="0.3">
      <c r="A473" s="125">
        <v>46007</v>
      </c>
      <c r="B473" t="s">
        <v>236</v>
      </c>
      <c r="C473" s="11"/>
      <c r="D473" s="11">
        <v>62000</v>
      </c>
      <c r="F473" s="124" t="s">
        <v>109</v>
      </c>
    </row>
    <row r="474" spans="1:14" x14ac:dyDescent="0.3">
      <c r="A474" s="125">
        <v>46007</v>
      </c>
      <c r="B474" t="s">
        <v>22</v>
      </c>
      <c r="C474" s="11"/>
      <c r="D474" s="11">
        <v>200000</v>
      </c>
      <c r="F474" s="124" t="s">
        <v>109</v>
      </c>
    </row>
    <row r="475" spans="1:14" x14ac:dyDescent="0.3">
      <c r="A475" s="125">
        <v>46007</v>
      </c>
      <c r="B475" t="s">
        <v>236</v>
      </c>
      <c r="C475" s="11"/>
      <c r="D475" s="11">
        <v>76300</v>
      </c>
      <c r="E475" t="s">
        <v>222</v>
      </c>
      <c r="F475" s="124" t="s">
        <v>109</v>
      </c>
    </row>
    <row r="476" spans="1:14" x14ac:dyDescent="0.3">
      <c r="A476" s="125">
        <v>46007</v>
      </c>
      <c r="B476" t="s">
        <v>236</v>
      </c>
      <c r="C476" s="11"/>
      <c r="D476" s="11">
        <v>34375</v>
      </c>
      <c r="E476" t="s">
        <v>453</v>
      </c>
      <c r="F476" s="124" t="s">
        <v>109</v>
      </c>
    </row>
    <row r="477" spans="1:14" x14ac:dyDescent="0.3">
      <c r="A477" s="125">
        <v>46008</v>
      </c>
      <c r="B477" t="s">
        <v>236</v>
      </c>
      <c r="C477" s="11"/>
      <c r="D477" s="11">
        <v>80000</v>
      </c>
      <c r="F477" s="124" t="s">
        <v>109</v>
      </c>
    </row>
    <row r="478" spans="1:14" x14ac:dyDescent="0.3">
      <c r="A478" s="125">
        <v>46008</v>
      </c>
      <c r="B478" t="s">
        <v>95</v>
      </c>
      <c r="C478" s="11">
        <v>63500</v>
      </c>
      <c r="D478" s="11"/>
      <c r="E478" t="s">
        <v>223</v>
      </c>
      <c r="F478" s="124" t="s">
        <v>109</v>
      </c>
    </row>
    <row r="479" spans="1:14" x14ac:dyDescent="0.3">
      <c r="A479" s="125">
        <v>46008</v>
      </c>
      <c r="B479" t="s">
        <v>246</v>
      </c>
      <c r="C479" s="11">
        <v>1300</v>
      </c>
      <c r="D479" s="11"/>
      <c r="E479" t="s">
        <v>454</v>
      </c>
      <c r="F479" s="124" t="s">
        <v>109</v>
      </c>
    </row>
    <row r="480" spans="1:14" x14ac:dyDescent="0.3">
      <c r="A480" s="125">
        <v>46008</v>
      </c>
      <c r="B480" t="s">
        <v>55</v>
      </c>
      <c r="C480" s="11">
        <v>4500</v>
      </c>
      <c r="D480" s="11"/>
      <c r="E480" t="s">
        <v>455</v>
      </c>
      <c r="F480" s="124" t="s">
        <v>109</v>
      </c>
    </row>
    <row r="481" spans="1:6" x14ac:dyDescent="0.3">
      <c r="A481" s="125">
        <v>46008</v>
      </c>
      <c r="B481" t="s">
        <v>185</v>
      </c>
      <c r="C481" s="11">
        <v>3600</v>
      </c>
      <c r="D481" s="11"/>
      <c r="E481" t="s">
        <v>377</v>
      </c>
      <c r="F481" s="124" t="s">
        <v>109</v>
      </c>
    </row>
    <row r="482" spans="1:6" x14ac:dyDescent="0.3">
      <c r="A482" s="125">
        <v>46008</v>
      </c>
      <c r="B482" t="s">
        <v>211</v>
      </c>
      <c r="C482" s="11">
        <v>8000</v>
      </c>
      <c r="D482" s="11"/>
      <c r="E482" t="s">
        <v>440</v>
      </c>
      <c r="F482" s="124" t="s">
        <v>109</v>
      </c>
    </row>
    <row r="483" spans="1:6" x14ac:dyDescent="0.3">
      <c r="A483" s="125">
        <v>46008</v>
      </c>
      <c r="B483" t="s">
        <v>340</v>
      </c>
      <c r="C483" s="11">
        <v>76000</v>
      </c>
      <c r="D483" s="11"/>
      <c r="E483" t="s">
        <v>389</v>
      </c>
      <c r="F483" s="124" t="s">
        <v>109</v>
      </c>
    </row>
    <row r="484" spans="1:6" x14ac:dyDescent="0.3">
      <c r="A484" s="125">
        <v>46008</v>
      </c>
      <c r="B484" t="s">
        <v>236</v>
      </c>
      <c r="C484" s="11"/>
      <c r="D484" s="11">
        <v>76000</v>
      </c>
      <c r="E484" t="s">
        <v>340</v>
      </c>
      <c r="F484" s="124" t="s">
        <v>109</v>
      </c>
    </row>
    <row r="485" spans="1:6" x14ac:dyDescent="0.3">
      <c r="A485" s="125">
        <v>46008</v>
      </c>
      <c r="B485" t="s">
        <v>331</v>
      </c>
      <c r="C485" s="11"/>
      <c r="D485" s="11">
        <v>150000</v>
      </c>
      <c r="E485" t="s">
        <v>433</v>
      </c>
      <c r="F485" s="124" t="s">
        <v>109</v>
      </c>
    </row>
    <row r="486" spans="1:6" x14ac:dyDescent="0.3">
      <c r="A486" s="38">
        <v>46008</v>
      </c>
      <c r="B486" t="s">
        <v>236</v>
      </c>
      <c r="C486" s="97"/>
      <c r="D486" s="97">
        <v>50000</v>
      </c>
      <c r="E486" t="s">
        <v>458</v>
      </c>
      <c r="F486" s="124" t="s">
        <v>109</v>
      </c>
    </row>
    <row r="487" spans="1:6" x14ac:dyDescent="0.3">
      <c r="A487" s="38">
        <v>46008</v>
      </c>
      <c r="B487" t="s">
        <v>95</v>
      </c>
      <c r="C487" s="97">
        <v>202500</v>
      </c>
      <c r="D487" s="97"/>
      <c r="E487" t="s">
        <v>459</v>
      </c>
      <c r="F487" s="124" t="s">
        <v>109</v>
      </c>
    </row>
    <row r="488" spans="1:6" x14ac:dyDescent="0.3">
      <c r="A488" s="38">
        <v>46008</v>
      </c>
      <c r="B488" t="s">
        <v>54</v>
      </c>
      <c r="C488" s="97">
        <v>1800</v>
      </c>
      <c r="D488" s="97"/>
      <c r="E488" t="s">
        <v>460</v>
      </c>
      <c r="F488" s="124" t="s">
        <v>109</v>
      </c>
    </row>
    <row r="489" spans="1:6" x14ac:dyDescent="0.3">
      <c r="A489" s="38">
        <v>46008</v>
      </c>
      <c r="B489" t="s">
        <v>22</v>
      </c>
      <c r="C489" s="97"/>
      <c r="D489" s="97">
        <v>100000</v>
      </c>
      <c r="F489" s="124" t="s">
        <v>109</v>
      </c>
    </row>
    <row r="490" spans="1:6" x14ac:dyDescent="0.3">
      <c r="A490" s="38">
        <v>46008</v>
      </c>
      <c r="B490" t="s">
        <v>54</v>
      </c>
      <c r="C490" s="97">
        <v>5000</v>
      </c>
      <c r="D490" s="97"/>
      <c r="E490" t="s">
        <v>231</v>
      </c>
      <c r="F490" s="124" t="s">
        <v>109</v>
      </c>
    </row>
    <row r="491" spans="1:6" x14ac:dyDescent="0.3">
      <c r="A491" s="38">
        <v>46008</v>
      </c>
      <c r="B491" t="s">
        <v>185</v>
      </c>
      <c r="C491" s="97">
        <v>400</v>
      </c>
      <c r="D491" s="97"/>
      <c r="E491" t="s">
        <v>465</v>
      </c>
      <c r="F491" s="124" t="s">
        <v>109</v>
      </c>
    </row>
    <row r="492" spans="1:6" x14ac:dyDescent="0.3">
      <c r="A492" s="38">
        <v>46008</v>
      </c>
      <c r="B492" t="s">
        <v>415</v>
      </c>
      <c r="C492" s="97">
        <v>250</v>
      </c>
      <c r="D492" s="97"/>
      <c r="F492" s="124" t="s">
        <v>109</v>
      </c>
    </row>
    <row r="493" spans="1:6" x14ac:dyDescent="0.3">
      <c r="A493" s="38">
        <v>46008</v>
      </c>
      <c r="B493" t="s">
        <v>54</v>
      </c>
      <c r="C493" s="97">
        <v>9500</v>
      </c>
      <c r="D493" s="97"/>
      <c r="E493" t="s">
        <v>466</v>
      </c>
      <c r="F493" s="124" t="s">
        <v>109</v>
      </c>
    </row>
    <row r="494" spans="1:6" x14ac:dyDescent="0.3">
      <c r="A494" s="38">
        <v>46009</v>
      </c>
      <c r="B494" t="s">
        <v>211</v>
      </c>
      <c r="C494" s="97">
        <v>100000</v>
      </c>
      <c r="D494" s="97"/>
      <c r="E494" t="s">
        <v>467</v>
      </c>
      <c r="F494" s="124" t="s">
        <v>109</v>
      </c>
    </row>
    <row r="495" spans="1:6" x14ac:dyDescent="0.3">
      <c r="A495" s="38">
        <v>46014</v>
      </c>
      <c r="B495" t="s">
        <v>236</v>
      </c>
      <c r="C495" s="97">
        <v>6709544</v>
      </c>
      <c r="D495" s="97"/>
      <c r="E495" t="s">
        <v>472</v>
      </c>
      <c r="F495" s="124" t="s">
        <v>109</v>
      </c>
    </row>
    <row r="496" spans="1:6" x14ac:dyDescent="0.3">
      <c r="A496" s="125">
        <v>46010</v>
      </c>
      <c r="B496" t="s">
        <v>211</v>
      </c>
      <c r="C496" s="11">
        <v>22000</v>
      </c>
      <c r="D496" s="11"/>
      <c r="E496" t="s">
        <v>469</v>
      </c>
      <c r="F496" s="124" t="s">
        <v>109</v>
      </c>
    </row>
    <row r="497" spans="1:7" x14ac:dyDescent="0.3">
      <c r="A497" s="125">
        <v>46011</v>
      </c>
      <c r="B497" t="s">
        <v>211</v>
      </c>
      <c r="C497" s="11">
        <v>20000</v>
      </c>
      <c r="D497" s="11"/>
      <c r="E497" t="s">
        <v>402</v>
      </c>
      <c r="F497" s="124" t="s">
        <v>109</v>
      </c>
    </row>
    <row r="498" spans="1:7" x14ac:dyDescent="0.3">
      <c r="A498" s="38">
        <v>46011</v>
      </c>
      <c r="B498" t="s">
        <v>211</v>
      </c>
      <c r="C498" s="97">
        <v>20000</v>
      </c>
      <c r="D498" s="97"/>
      <c r="E498" t="s">
        <v>471</v>
      </c>
      <c r="F498" s="124" t="s">
        <v>109</v>
      </c>
    </row>
    <row r="499" spans="1:7" x14ac:dyDescent="0.3">
      <c r="A499" s="141">
        <v>46014</v>
      </c>
      <c r="B499" s="142" t="s">
        <v>236</v>
      </c>
      <c r="C499" s="11"/>
      <c r="D499" s="97">
        <v>8189253</v>
      </c>
      <c r="E499" s="142" t="s">
        <v>473</v>
      </c>
      <c r="F499" s="143" t="s">
        <v>109</v>
      </c>
      <c r="G499" s="142"/>
    </row>
    <row r="500" spans="1:7" x14ac:dyDescent="0.3">
      <c r="A500" s="141">
        <v>46014</v>
      </c>
      <c r="B500" s="142" t="s">
        <v>185</v>
      </c>
      <c r="C500" s="97">
        <v>453176</v>
      </c>
      <c r="D500" s="97"/>
      <c r="E500" s="142" t="s">
        <v>472</v>
      </c>
      <c r="F500" s="143" t="s">
        <v>109</v>
      </c>
      <c r="G500" s="142"/>
    </row>
    <row r="501" spans="1:7" x14ac:dyDescent="0.3">
      <c r="A501" s="141">
        <v>46014</v>
      </c>
      <c r="B501" s="142" t="s">
        <v>185</v>
      </c>
      <c r="C501" s="97"/>
      <c r="D501" s="97">
        <v>631454</v>
      </c>
      <c r="E501" s="142" t="s">
        <v>473</v>
      </c>
      <c r="F501" s="143" t="s">
        <v>109</v>
      </c>
      <c r="G501" s="142"/>
    </row>
    <row r="502" spans="1:7" x14ac:dyDescent="0.3">
      <c r="A502" s="141">
        <v>46014</v>
      </c>
      <c r="B502" s="142" t="s">
        <v>415</v>
      </c>
      <c r="C502" s="97">
        <v>323372</v>
      </c>
      <c r="D502" s="97"/>
      <c r="E502" s="142" t="s">
        <v>478</v>
      </c>
      <c r="F502" s="143" t="s">
        <v>109</v>
      </c>
      <c r="G502" s="142"/>
    </row>
    <row r="503" spans="1:7" x14ac:dyDescent="0.3">
      <c r="A503" s="140">
        <v>46014</v>
      </c>
      <c r="B503" t="s">
        <v>211</v>
      </c>
      <c r="C503" s="11">
        <v>50000</v>
      </c>
      <c r="D503" s="11"/>
      <c r="E503" t="s">
        <v>379</v>
      </c>
      <c r="F503" s="124" t="s">
        <v>109</v>
      </c>
    </row>
    <row r="504" spans="1:7" x14ac:dyDescent="0.3">
      <c r="A504" s="140">
        <v>46014</v>
      </c>
      <c r="B504" t="s">
        <v>211</v>
      </c>
      <c r="C504" s="11">
        <v>20000</v>
      </c>
      <c r="D504" s="11"/>
      <c r="E504" t="s">
        <v>479</v>
      </c>
      <c r="F504" s="124" t="s">
        <v>109</v>
      </c>
    </row>
    <row r="505" spans="1:7" x14ac:dyDescent="0.3">
      <c r="A505" s="141">
        <v>46014</v>
      </c>
      <c r="B505" s="142" t="s">
        <v>211</v>
      </c>
      <c r="C505" s="97">
        <v>5000</v>
      </c>
      <c r="D505" s="97"/>
      <c r="E505" s="142" t="s">
        <v>220</v>
      </c>
      <c r="F505" s="143" t="s">
        <v>109</v>
      </c>
      <c r="G505" s="142"/>
    </row>
    <row r="506" spans="1:7" x14ac:dyDescent="0.3">
      <c r="A506" s="140">
        <v>46014</v>
      </c>
      <c r="B506" t="s">
        <v>211</v>
      </c>
      <c r="C506" s="11">
        <v>80000</v>
      </c>
      <c r="D506" s="11"/>
      <c r="E506" t="s">
        <v>467</v>
      </c>
      <c r="F506" s="124" t="s">
        <v>109</v>
      </c>
    </row>
    <row r="507" spans="1:7" x14ac:dyDescent="0.3">
      <c r="A507" s="141">
        <v>46014</v>
      </c>
      <c r="B507" s="142" t="s">
        <v>211</v>
      </c>
      <c r="C507" s="11">
        <v>52000</v>
      </c>
      <c r="D507" s="11"/>
      <c r="E507" t="s">
        <v>319</v>
      </c>
      <c r="F507" s="124" t="s">
        <v>109</v>
      </c>
    </row>
    <row r="508" spans="1:7" x14ac:dyDescent="0.3">
      <c r="A508" s="38"/>
      <c r="C508" s="14">
        <f>SUBTOTAL(109,Table14[Debit])</f>
        <v>27262308</v>
      </c>
      <c r="D508" s="14">
        <f>SUBTOTAL(109,Table14[Credit])</f>
        <v>35505574</v>
      </c>
      <c r="F508" s="54">
        <f>(Table14[[#Totals],[Credit]]-Table14[[#Totals],[Debit]])</f>
        <v>8243266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6" zoomScale="93"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200</v>
      </c>
      <c r="K2" t="s">
        <v>75</v>
      </c>
      <c r="L2" t="s">
        <v>45</v>
      </c>
      <c r="M2" t="s">
        <v>36</v>
      </c>
      <c r="N2" t="s">
        <v>5</v>
      </c>
    </row>
    <row r="3" spans="1:14" x14ac:dyDescent="0.3">
      <c r="A3" s="96">
        <v>45947</v>
      </c>
      <c r="B3" s="81" t="s">
        <v>64</v>
      </c>
      <c r="C3" s="81"/>
      <c r="D3" s="81"/>
      <c r="E3" s="81"/>
      <c r="F3" s="81" t="s">
        <v>184</v>
      </c>
      <c r="G3" s="81">
        <f>SUMIFS(Table14[Debit], Table14[Date], Table8[[#This Row],[Date]], Table14[Party], Table8[[#This Row],[Party]])</f>
        <v>0</v>
      </c>
      <c r="H3" s="81">
        <v>0</v>
      </c>
      <c r="I3" s="81" t="s">
        <v>200</v>
      </c>
      <c r="K3" s="1"/>
      <c r="L3" t="s">
        <v>125</v>
      </c>
      <c r="N3" s="11">
        <f t="shared" ref="N3" si="0">47000+28750</f>
        <v>75750</v>
      </c>
    </row>
    <row r="4" spans="1:14" x14ac:dyDescent="0.3">
      <c r="A4" s="1">
        <v>45979</v>
      </c>
      <c r="B4" t="s">
        <v>64</v>
      </c>
      <c r="F4" t="s">
        <v>194</v>
      </c>
      <c r="G4">
        <f>SUMIFS(Table14[Debit], Table14[Date], Table8[[#This Row],[Date]], Table14[Party], Table8[[#This Row],[Party]])</f>
        <v>0</v>
      </c>
      <c r="H4">
        <f>Table8[[#This Row],[Price]]-Table8[[#This Row],[Paid]]</f>
        <v>0</v>
      </c>
      <c r="I4" t="s">
        <v>200</v>
      </c>
      <c r="K4" s="1"/>
      <c r="N4" s="11"/>
    </row>
    <row r="5" spans="1:14" x14ac:dyDescent="0.3">
      <c r="A5" s="1">
        <v>45981</v>
      </c>
      <c r="B5" t="s">
        <v>64</v>
      </c>
      <c r="E5">
        <v>141950</v>
      </c>
      <c r="F5" t="s">
        <v>184</v>
      </c>
      <c r="G5">
        <f>SUMIFS(Table14[Debit], Table14[Date], Table8[[#This Row],[Date]], Table14[Party], Table8[[#This Row],[Party]])</f>
        <v>141950</v>
      </c>
      <c r="H5">
        <f>Table8[[#This Row],[Price]]-Table8[[#This Row],[Paid]]</f>
        <v>0</v>
      </c>
      <c r="K5" s="1"/>
      <c r="N5" s="14">
        <f>SUM(Table7[Total])</f>
        <v>75750</v>
      </c>
    </row>
    <row r="6" spans="1:14" x14ac:dyDescent="0.3">
      <c r="A6" s="1">
        <v>45983</v>
      </c>
      <c r="B6" t="s">
        <v>257</v>
      </c>
      <c r="E6">
        <v>60000</v>
      </c>
      <c r="F6" t="s">
        <v>194</v>
      </c>
      <c r="G6">
        <f>SUMIFS(Table14[Debit], Table14[Date], Table8[[#This Row],[Date]], Table14[Party], Table8[[#This Row],[Party]])</f>
        <v>60000</v>
      </c>
      <c r="H6">
        <f>Table8[[#This Row],[Price]]-Table8[[#This Row],[Paid]]</f>
        <v>0</v>
      </c>
    </row>
    <row r="7" spans="1:14" x14ac:dyDescent="0.3">
      <c r="A7" s="1">
        <v>45983</v>
      </c>
      <c r="B7" t="s">
        <v>258</v>
      </c>
      <c r="E7">
        <v>98000</v>
      </c>
      <c r="F7" t="s">
        <v>184</v>
      </c>
      <c r="G7">
        <f>SUMIFS(Table14[Debit], Table14[Date], Table8[[#This Row],[Date]], Table14[Party], Table8[[#This Row],[Party]])</f>
        <v>98000</v>
      </c>
      <c r="H7">
        <f>Table8[[#This Row],[Price]]-Table8[[#This Row],[Paid]]</f>
        <v>0</v>
      </c>
      <c r="K7" s="3" t="s">
        <v>111</v>
      </c>
      <c r="L7" t="s">
        <v>300</v>
      </c>
    </row>
    <row r="8" spans="1:14" x14ac:dyDescent="0.3">
      <c r="A8" s="1">
        <v>45986</v>
      </c>
      <c r="B8" t="s">
        <v>64</v>
      </c>
      <c r="E8">
        <v>231500</v>
      </c>
      <c r="F8" t="s">
        <v>184</v>
      </c>
      <c r="G8">
        <f>SUMIFS(Table14[Debit], Table14[Date], Table8[[#This Row],[Date]], Table14[Party], Table8[[#This Row],[Party]])</f>
        <v>231500</v>
      </c>
      <c r="H8">
        <f>Table8[[#This Row],[Price]]-Table8[[#This Row],[Paid]]</f>
        <v>0</v>
      </c>
    </row>
    <row r="9" spans="1:14" x14ac:dyDescent="0.3">
      <c r="A9" s="1">
        <v>45987</v>
      </c>
      <c r="B9" t="s">
        <v>284</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299</v>
      </c>
      <c r="E10">
        <v>85000</v>
      </c>
      <c r="F10" t="s">
        <v>300</v>
      </c>
      <c r="G10">
        <f>SUMIFS(Table14[Debit], Table14[Date], Table8[[#This Row],[Date]], Table14[Party], Table8[[#This Row],[Party]])</f>
        <v>85000</v>
      </c>
      <c r="H10">
        <f>Table8[[#This Row],[Price]]-Table8[[#This Row],[Paid]]</f>
        <v>0</v>
      </c>
      <c r="K10" s="26">
        <v>45988</v>
      </c>
      <c r="L10">
        <v>85000</v>
      </c>
      <c r="M10">
        <v>0</v>
      </c>
    </row>
    <row r="11" spans="1:14" x14ac:dyDescent="0.3">
      <c r="A11" s="1">
        <v>45990</v>
      </c>
      <c r="B11" t="s">
        <v>311</v>
      </c>
      <c r="E11">
        <v>46000</v>
      </c>
      <c r="F11" t="s">
        <v>184</v>
      </c>
      <c r="G11">
        <f>SUMIFS(Table14[Debit], Table14[Date], Table8[[#This Row],[Date]], Table14[Party], Table8[[#This Row],[Party]])</f>
        <v>46000</v>
      </c>
      <c r="H11">
        <f>Table8[[#This Row],[Price]]-Table8[[#This Row],[Paid]]</f>
        <v>0</v>
      </c>
      <c r="K11" s="4" t="s">
        <v>28</v>
      </c>
      <c r="L11">
        <v>85000</v>
      </c>
      <c r="M11">
        <v>0</v>
      </c>
    </row>
    <row r="12" spans="1:14" x14ac:dyDescent="0.3">
      <c r="A12" s="1">
        <v>45992</v>
      </c>
      <c r="E12">
        <v>52000</v>
      </c>
      <c r="F12" t="s">
        <v>184</v>
      </c>
      <c r="G12">
        <f>SUMIFS(Table14[Debit], Table14[Date], Table8[[#This Row],[Date]], Table14[Party], Table8[[#This Row],[Party]])</f>
        <v>52000</v>
      </c>
      <c r="H12">
        <f>Table8[[#This Row],[Price]]-Table8[[#This Row],[Paid]]</f>
        <v>0</v>
      </c>
    </row>
    <row r="13" spans="1:14" x14ac:dyDescent="0.3">
      <c r="A13" s="1">
        <v>45993</v>
      </c>
      <c r="B13" t="s">
        <v>335</v>
      </c>
      <c r="E13">
        <v>242450</v>
      </c>
      <c r="F13" t="s">
        <v>184</v>
      </c>
      <c r="G13">
        <f>SUMIFS(Table14[Debit], Table14[Date], Table8[[#This Row],[Date]], Table14[Party], Table8[[#This Row],[Party]])</f>
        <v>242450</v>
      </c>
      <c r="H13">
        <f>Table8[[#This Row],[Price]]-Table8[[#This Row],[Paid]]</f>
        <v>0</v>
      </c>
    </row>
    <row r="14" spans="1:14" x14ac:dyDescent="0.3">
      <c r="A14" s="1">
        <v>45995</v>
      </c>
      <c r="B14" t="s">
        <v>64</v>
      </c>
      <c r="E14">
        <v>56000</v>
      </c>
      <c r="F14" t="s">
        <v>184</v>
      </c>
      <c r="G14">
        <f>SUMIFS(Table14[Debit], Table14[Date], Table8[[#This Row],[Date]], Table14[Party], Table8[[#This Row],[Party]])</f>
        <v>56000</v>
      </c>
      <c r="H14">
        <f>Table8[[#This Row],[Price]]-Table8[[#This Row],[Paid]]</f>
        <v>0</v>
      </c>
    </row>
    <row r="15" spans="1:14" x14ac:dyDescent="0.3">
      <c r="A15" s="1">
        <v>46002</v>
      </c>
      <c r="B15" t="s">
        <v>64</v>
      </c>
      <c r="E15">
        <v>134750</v>
      </c>
      <c r="F15" t="s">
        <v>184</v>
      </c>
      <c r="G15">
        <f>SUMIFS(Table14[Debit], Table14[Date], Table8[[#This Row],[Date]], Table14[Party], Table8[[#This Row],[Party]])</f>
        <v>134750</v>
      </c>
      <c r="H15">
        <f>Table8[[#This Row],[Price]]-Table8[[#This Row],[Paid]]</f>
        <v>0</v>
      </c>
    </row>
    <row r="16" spans="1:14" x14ac:dyDescent="0.3">
      <c r="A16" s="1">
        <v>46000</v>
      </c>
      <c r="B16" t="s">
        <v>64</v>
      </c>
      <c r="E16">
        <v>32000</v>
      </c>
      <c r="F16" t="s">
        <v>184</v>
      </c>
      <c r="G16">
        <f>SUMIFS(Table14[Debit], Table14[Date], Table8[[#This Row],[Date]], Table14[Party], Table8[[#This Row],[Party]])</f>
        <v>32000</v>
      </c>
      <c r="H16">
        <f>Table8[[#This Row],[Price]]-Table8[[#This Row],[Paid]]</f>
        <v>0</v>
      </c>
    </row>
    <row r="17" spans="1:12" x14ac:dyDescent="0.3">
      <c r="A17" s="1">
        <v>45997</v>
      </c>
      <c r="B17" t="s">
        <v>64</v>
      </c>
      <c r="E17">
        <v>46000</v>
      </c>
      <c r="F17" t="s">
        <v>184</v>
      </c>
      <c r="G17">
        <f>SUMIFS(Table14[Debit], Table14[Date], Table8[[#This Row],[Date]], Table14[Party], Table8[[#This Row],[Party]])</f>
        <v>46000</v>
      </c>
      <c r="H17">
        <f>Table8[[#This Row],[Price]]-Table8[[#This Row],[Paid]]</f>
        <v>0</v>
      </c>
    </row>
    <row r="18" spans="1:12" x14ac:dyDescent="0.3">
      <c r="A18" s="1">
        <v>46003</v>
      </c>
      <c r="B18" t="s">
        <v>422</v>
      </c>
      <c r="E18">
        <v>66500</v>
      </c>
      <c r="F18" t="s">
        <v>184</v>
      </c>
      <c r="G18">
        <f>SUMIFS(Table14[Debit], Table14[Date], Table8[[#This Row],[Date]], Table14[Party], Table8[[#This Row],[Party]])</f>
        <v>66500</v>
      </c>
      <c r="H18">
        <f>Table8[[#This Row],[Price]]-Table8[[#This Row],[Paid]]</f>
        <v>0</v>
      </c>
    </row>
    <row r="19" spans="1:12" x14ac:dyDescent="0.3">
      <c r="A19" s="1">
        <v>46007</v>
      </c>
      <c r="B19" t="s">
        <v>64</v>
      </c>
      <c r="E19">
        <v>76300</v>
      </c>
      <c r="F19" t="s">
        <v>184</v>
      </c>
      <c r="G19">
        <f>SUMIFS(Table14[Debit], Table14[Date], Table8[[#This Row],[Date]], Table14[Party], Table8[[#This Row],[Party]])</f>
        <v>76300</v>
      </c>
      <c r="H19">
        <f>Table8[[#This Row],[Price]]-Table8[[#This Row],[Paid]]</f>
        <v>0</v>
      </c>
    </row>
    <row r="20" spans="1:12" x14ac:dyDescent="0.3">
      <c r="A20" s="1">
        <v>46007</v>
      </c>
      <c r="B20" t="s">
        <v>64</v>
      </c>
      <c r="E20">
        <v>34375</v>
      </c>
      <c r="F20" t="s">
        <v>194</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30</v>
      </c>
      <c r="O40">
        <v>1450</v>
      </c>
      <c r="P40">
        <f>Table23[[#This Row],[boxes]]*Table23[[#This Row],[kgs]]*Table23[[#This Row],[Rate]]</f>
        <v>43500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201</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244910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5" sqref="F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269000</v>
      </c>
      <c r="L6">
        <v>0</v>
      </c>
      <c r="M6">
        <v>268000</v>
      </c>
    </row>
    <row r="7" spans="1:13" x14ac:dyDescent="0.3">
      <c r="A7" s="85">
        <v>45979</v>
      </c>
      <c r="B7" s="85" t="s">
        <v>166</v>
      </c>
      <c r="C7" s="82" t="s">
        <v>180</v>
      </c>
      <c r="F7">
        <v>0</v>
      </c>
      <c r="G7">
        <v>0</v>
      </c>
      <c r="H7" s="81">
        <v>0</v>
      </c>
      <c r="J7" s="4" t="s">
        <v>118</v>
      </c>
      <c r="K7">
        <v>24000</v>
      </c>
      <c r="L7">
        <v>24000</v>
      </c>
      <c r="M7">
        <v>0</v>
      </c>
    </row>
    <row r="8" spans="1:13" x14ac:dyDescent="0.3">
      <c r="A8" s="1">
        <v>45979</v>
      </c>
      <c r="B8" s="1" t="s">
        <v>273</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x14ac:dyDescent="0.3">
      <c r="A9" s="1">
        <v>45980</v>
      </c>
      <c r="B9" s="1" t="s">
        <v>118</v>
      </c>
      <c r="C9" t="s">
        <v>216</v>
      </c>
      <c r="F9">
        <v>24000</v>
      </c>
      <c r="G9">
        <f>SUMIFS(Table14[Debit], Table14[Date], Table2[[#This Row],[Date]], Table14[Party], Table2[[#This Row],[Party Name]],Table14[Description],Table2[[#This Row],[Item]])</f>
        <v>24000</v>
      </c>
      <c r="H9">
        <f>Table2[[#This Row],[Price]]-Table2[[#This Row],[Paid]]</f>
        <v>0</v>
      </c>
      <c r="J9" s="4" t="s">
        <v>273</v>
      </c>
      <c r="K9">
        <v>0</v>
      </c>
      <c r="L9">
        <v>400000</v>
      </c>
      <c r="M9">
        <v>224000</v>
      </c>
    </row>
    <row r="10" spans="1:13" x14ac:dyDescent="0.3">
      <c r="A10" s="1">
        <v>45981</v>
      </c>
      <c r="B10" s="1" t="s">
        <v>117</v>
      </c>
      <c r="C10" t="s">
        <v>216</v>
      </c>
      <c r="F10">
        <f>380*50</f>
        <v>19000</v>
      </c>
      <c r="G10">
        <f>SUMIFS(Table14[Debit], Table14[Date], Table2[[#This Row],[Date]], Table14[Party], Table2[[#This Row],[Party Name]],Table14[Description],Table2[[#This Row],[Item]])</f>
        <v>0</v>
      </c>
      <c r="H10">
        <f>Table2[[#This Row],[Price]]-Table2[[#This Row],[Paid]]</f>
        <v>19000</v>
      </c>
      <c r="J10" s="4" t="s">
        <v>327</v>
      </c>
      <c r="K10">
        <v>52000</v>
      </c>
      <c r="L10">
        <v>52000</v>
      </c>
      <c r="M10">
        <v>0</v>
      </c>
    </row>
    <row r="11" spans="1:13" x14ac:dyDescent="0.3">
      <c r="A11" s="1">
        <v>45983</v>
      </c>
      <c r="B11" s="1" t="s">
        <v>117</v>
      </c>
      <c r="C11" t="s">
        <v>229</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v>345000</v>
      </c>
      <c r="L11">
        <v>476000</v>
      </c>
      <c r="M11">
        <v>492000</v>
      </c>
    </row>
    <row r="12" spans="1:13" x14ac:dyDescent="0.3">
      <c r="A12" s="1">
        <v>45986</v>
      </c>
      <c r="B12" s="1" t="s">
        <v>273</v>
      </c>
      <c r="C12" t="s">
        <v>260</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327</v>
      </c>
      <c r="C13" t="s">
        <v>325</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229</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v>45995</v>
      </c>
      <c r="B15" s="1" t="s">
        <v>273</v>
      </c>
      <c r="C15" t="s">
        <v>282</v>
      </c>
      <c r="F15">
        <f>Table2[[#This Row],[Quantity]]*200*Table2[[#This Row],[Boxes]]</f>
        <v>0</v>
      </c>
      <c r="G15">
        <f>SUMIFS(Table14[Debit], Table14[Date], Table2[[#This Row],[Date]], Table14[Party], Table2[[#This Row],[Party Name]],Table14[Description],Table2[[#This Row],[Item]])</f>
        <v>224000</v>
      </c>
      <c r="H15">
        <f>Table2[[#This Row],[Price]]-Table2[[#This Row],[Paid]]</f>
        <v>-224000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345000</v>
      </c>
      <c r="G20">
        <f>SUBTOTAL(109,Table2[Paid])</f>
        <v>700000</v>
      </c>
      <c r="H20">
        <f>SUBTOTAL(109,Table2[Balance])</f>
        <v>268000</v>
      </c>
    </row>
    <row r="24" spans="1:11" x14ac:dyDescent="0.3">
      <c r="I24" t="s">
        <v>57</v>
      </c>
      <c r="J24" t="s">
        <v>181</v>
      </c>
      <c r="K24" t="s">
        <v>461</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470</v>
      </c>
      <c r="C3" s="19" t="s">
        <v>98</v>
      </c>
      <c r="D3" s="19" t="s">
        <v>98</v>
      </c>
      <c r="E3" s="20">
        <v>2047865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2" zoomScale="118" workbookViewId="0">
      <selection activeCell="E35" sqref="E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188</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289</v>
      </c>
    </row>
    <row r="15" spans="2:15" x14ac:dyDescent="0.3">
      <c r="B15" s="1">
        <v>45990</v>
      </c>
      <c r="C15" s="20">
        <f>SUMIFS(Table14[Debit], Table14[Date], Table11[[#This Row],[Date]], Table14[Party],"Salary", Table14[Description],Table11[[#This Row],[Column1]])</f>
        <v>1000</v>
      </c>
      <c r="D15" t="s">
        <v>315</v>
      </c>
      <c r="H15" s="1">
        <v>45990</v>
      </c>
      <c r="I15">
        <f>SUMIFS(Table14[Debit], Table14[Date], Table16[[#This Row],[Date]], Table14[Party], "Advance Salary", Table14[Description], Table16[[#This Row],[Person]] )</f>
        <v>20000</v>
      </c>
      <c r="J15" t="s">
        <v>289</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336</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337</v>
      </c>
      <c r="H19" s="1">
        <v>45994</v>
      </c>
      <c r="I19">
        <f>SUMIFS(Table14[Debit], Table14[Date], Table16[[#This Row],[Date]], Table14[Party], "Advance Salary", Table14[Description], Table16[[#This Row],[Person]] )</f>
        <v>45000</v>
      </c>
      <c r="J19" t="s">
        <v>337</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338</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376</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188</v>
      </c>
    </row>
    <row r="24" spans="2:10" x14ac:dyDescent="0.3">
      <c r="B24" s="1">
        <v>45999</v>
      </c>
      <c r="C24" s="20">
        <f>SUMIFS(Table14[Debit], Table14[Date], Table11[[#This Row],[Date]], Table14[Party],"Salary", Table14[Description],Table11[[#This Row],[Column1]])</f>
        <v>50000</v>
      </c>
      <c r="D24" t="s">
        <v>385</v>
      </c>
      <c r="H24" s="1">
        <v>45998</v>
      </c>
      <c r="I24">
        <f>SUMIFS(Table14[Debit], Table14[Date], Table16[[#This Row],[Date]], Table14[Party], "Advance Salary", Table14[Description], Table16[[#This Row],[Person]] )</f>
        <v>20000</v>
      </c>
      <c r="J24" t="s">
        <v>289</v>
      </c>
    </row>
    <row r="25" spans="2:10" x14ac:dyDescent="0.3">
      <c r="B25" s="1">
        <v>45999</v>
      </c>
      <c r="C25" s="20">
        <f>SUMIFS(Table14[Debit], Table14[Date], Table11[[#This Row],[Date]], Table14[Party],"Salary", Table14[Description],Table11[[#This Row],[Column1]])</f>
        <v>17600</v>
      </c>
      <c r="D25" t="s">
        <v>378</v>
      </c>
      <c r="H25" s="1">
        <v>45999</v>
      </c>
      <c r="I25">
        <f>SUMIFS(Table14[Debit], Table14[Date], Table16[[#This Row],[Date]], Table14[Party], "Advance Salary", Table14[Description], Table16[[#This Row],[Person]] )</f>
        <v>120000</v>
      </c>
      <c r="J25" t="s">
        <v>379</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385</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397</v>
      </c>
    </row>
    <row r="28" spans="2:10" x14ac:dyDescent="0.3">
      <c r="B28" s="1">
        <v>46003</v>
      </c>
      <c r="C28" s="20">
        <f>SUMIFS(Table14[Debit], Table14[Date], Table11[[#This Row],[Date]], Table14[Party],"Salary", Table14[Description],Table11[[#This Row],[Column1]])</f>
        <v>80000</v>
      </c>
      <c r="D28" t="s">
        <v>421</v>
      </c>
      <c r="H28" s="1">
        <v>46000</v>
      </c>
      <c r="I28">
        <f>SUMIFS(Table14[Debit], Table14[Date], Table16[[#This Row],[Date]], Table14[Party], "Advance Salary", Table14[Description], Table16[[#This Row],[Person]] )</f>
        <v>6000</v>
      </c>
      <c r="J28" t="s">
        <v>399</v>
      </c>
    </row>
    <row r="29" spans="2:10" x14ac:dyDescent="0.3">
      <c r="B29" s="1">
        <v>46003</v>
      </c>
      <c r="C29" s="20">
        <f>SUMIFS(Table14[Debit], Table14[Date], Table11[[#This Row],[Date]], Table14[Party],"Salary", Table14[Description],Table11[[#This Row],[Column1]])</f>
        <v>50000</v>
      </c>
      <c r="D29" t="s">
        <v>419</v>
      </c>
      <c r="H29" s="1">
        <v>46001</v>
      </c>
      <c r="I29">
        <f>SUMIFS(Table14[Debit], Table14[Date], Table16[[#This Row],[Date]], Table14[Party], "Advance Salary", Table14[Description], Table16[[#This Row],[Person]] )</f>
        <v>5000</v>
      </c>
      <c r="J29" t="s">
        <v>404</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359</v>
      </c>
    </row>
    <row r="31" spans="2:10" x14ac:dyDescent="0.3">
      <c r="B31" s="1">
        <v>46006</v>
      </c>
      <c r="C31" s="20">
        <f>SUMIFS(Table14[Debit], Table14[Date], Table11[[#This Row],[Date]], Table14[Party],"Salary", Table14[Description],Table11[[#This Row],[Column1]])</f>
        <v>642600</v>
      </c>
      <c r="D31" t="s">
        <v>440</v>
      </c>
      <c r="H31" s="1">
        <v>46002</v>
      </c>
      <c r="I31">
        <f>SUMIFS(Table14[Debit], Table14[Date], Table16[[#This Row],[Date]], Table14[Party], "Advance Salary", Table14[Description], Table16[[#This Row],[Person]] )</f>
        <v>5000</v>
      </c>
      <c r="J31" t="s">
        <v>351</v>
      </c>
    </row>
    <row r="32" spans="2:10" x14ac:dyDescent="0.3">
      <c r="B32" s="1">
        <v>46006</v>
      </c>
      <c r="C32" s="20">
        <f>SUMIFS(Table14[Debit], Table14[Date], Table11[[#This Row],[Date]], Table14[Party],"Salary", Table14[Description],Table11[[#This Row],[Column1]])</f>
        <v>49000</v>
      </c>
      <c r="D32" t="s">
        <v>443</v>
      </c>
      <c r="H32" s="1">
        <v>46004</v>
      </c>
      <c r="I32">
        <f>SUMIFS(Table14[Debit], Table14[Date], Table16[[#This Row],[Date]], Table14[Party], "Advance Salary", Table14[Description], Table16[[#This Row],[Person]] )</f>
        <v>20000</v>
      </c>
      <c r="J32" t="s">
        <v>397</v>
      </c>
    </row>
    <row r="33" spans="2:10" x14ac:dyDescent="0.3">
      <c r="B33" s="1">
        <v>46007</v>
      </c>
      <c r="C33" s="20">
        <f>SUMIFS(Table14[Debit], Table14[Date], Table11[[#This Row],[Date]], Table14[Party],"Salary", Table14[Description],Table11[[#This Row],[Column1]])</f>
        <v>122400</v>
      </c>
      <c r="D33" t="s">
        <v>440</v>
      </c>
      <c r="H33" s="1">
        <v>46006</v>
      </c>
      <c r="I33">
        <f>SUMIFS(Table14[Debit], Table14[Date], Table16[[#This Row],[Date]], Table14[Party], "Advance Salary", Table14[Description], Table16[[#This Row],[Person]] )</f>
        <v>5000</v>
      </c>
      <c r="J33" t="s">
        <v>289</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437</v>
      </c>
    </row>
    <row r="35" spans="2:10" x14ac:dyDescent="0.3">
      <c r="B35" s="1">
        <v>46009</v>
      </c>
      <c r="C35" s="20">
        <f>SUMIFS(Table14[Debit], Table14[Date], Table11[[#This Row],[Date]], Table14[Party],"Salary", Table14[Description],Table11[[#This Row],[Column1]])</f>
        <v>100000</v>
      </c>
      <c r="D35" t="s">
        <v>468</v>
      </c>
      <c r="H35" s="1">
        <v>46007</v>
      </c>
      <c r="I35">
        <f>SUMIFS(Table14[Debit], Table14[Date], Table16[[#This Row],[Date]], Table14[Party], "Advance Salary", Table14[Description], Table16[[#This Row],[Person]] )</f>
        <v>5000</v>
      </c>
      <c r="J35" t="s">
        <v>397</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1163600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196</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242</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253</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414</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456</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zoomScale="146" workbookViewId="0">
      <selection activeCell="J8" sqref="J8"/>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2025-12-23T19:46:34Z</dcterms:modified>
  <cp:category/>
  <cp:contentStatus/>
</cp:coreProperties>
</file>