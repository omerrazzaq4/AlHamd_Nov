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61" documentId="13_ncr:1_{78C189D7-9C78-4F83-9026-383703602BC5}" xr6:coauthVersionLast="47" xr6:coauthVersionMax="47" xr10:uidLastSave="{09315010-159A-4C40-BEE8-11A9B5619359}"/>
  <bookViews>
    <workbookView xWindow="-108" yWindow="-108" windowWidth="23256" windowHeight="12456"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 r:id="rId20"/>
    <pivotCache cacheId="14" r:id="rId21"/>
    <pivotCache cacheId="20" r:id="rId22"/>
    <pivotCache cacheId="25" r:id="rId23"/>
    <pivotCache cacheId="29" r:id="rId24"/>
    <pivotCache cacheId="33"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8" i="1" l="1"/>
  <c r="J218" i="1" a="1"/>
  <c r="J218" i="1" s="1"/>
  <c r="H71" i="9" s="1" a="1"/>
  <c r="H71" i="9" s="1"/>
  <c r="I219" i="1"/>
  <c r="J219" i="1" a="1"/>
  <c r="J219" i="1" s="1"/>
  <c r="I220" i="1"/>
  <c r="J220" i="1" a="1"/>
  <c r="J220" i="1" s="1"/>
  <c r="I221" i="1"/>
  <c r="J221" i="1" a="1"/>
  <c r="J221" i="1"/>
  <c r="G68" i="9" s="1" a="1"/>
  <c r="G68" i="9" s="1"/>
  <c r="I222" i="1"/>
  <c r="J222" i="1" a="1"/>
  <c r="J222" i="1" s="1"/>
  <c r="I223" i="1"/>
  <c r="J223" i="1" a="1"/>
  <c r="J223" i="1" s="1"/>
  <c r="I210" i="1"/>
  <c r="J210" i="1" a="1"/>
  <c r="J210" i="1" s="1"/>
  <c r="I211" i="1"/>
  <c r="J211" i="1" a="1"/>
  <c r="J211" i="1" s="1"/>
  <c r="I212" i="1"/>
  <c r="J212" i="1" s="1" a="1"/>
  <c r="J212" i="1" s="1"/>
  <c r="I213" i="1"/>
  <c r="J213" i="1" s="1" a="1"/>
  <c r="J213" i="1" s="1"/>
  <c r="I214" i="1"/>
  <c r="J214" i="1" a="1"/>
  <c r="J214" i="1" s="1"/>
  <c r="I215" i="1"/>
  <c r="J215" i="1" a="1"/>
  <c r="J215" i="1" s="1"/>
  <c r="I216" i="1"/>
  <c r="J216" i="1" s="1" a="1"/>
  <c r="J216" i="1" s="1"/>
  <c r="I217" i="1"/>
  <c r="J217" i="1" a="1"/>
  <c r="J217" i="1" s="1"/>
  <c r="I160" i="1"/>
  <c r="J160" i="1" a="1"/>
  <c r="J160" i="1" s="1"/>
  <c r="G12" i="7"/>
  <c r="H12" i="7"/>
  <c r="G17" i="7"/>
  <c r="H17" i="7"/>
  <c r="G16" i="7"/>
  <c r="H16" i="7"/>
  <c r="E18" i="7"/>
  <c r="H52" i="6"/>
  <c r="I52" i="6"/>
  <c r="H53" i="6"/>
  <c r="I53" i="6"/>
  <c r="G53" i="6"/>
  <c r="I209" i="1"/>
  <c r="J209" i="1" a="1"/>
  <c r="J209" i="1" s="1"/>
  <c r="I193" i="1"/>
  <c r="J193" i="1" s="1" a="1"/>
  <c r="J193" i="1" s="1"/>
  <c r="H49" i="6"/>
  <c r="I49" i="6"/>
  <c r="H50" i="6"/>
  <c r="I50" i="6"/>
  <c r="H51" i="6"/>
  <c r="I51" i="6"/>
  <c r="G49" i="6"/>
  <c r="G50" i="6"/>
  <c r="G51" i="6"/>
  <c r="G52" i="6"/>
  <c r="I197" i="1"/>
  <c r="J197" i="1" a="1"/>
  <c r="J197" i="1" s="1"/>
  <c r="I198" i="1"/>
  <c r="J198" i="1" s="1" a="1"/>
  <c r="J198" i="1" s="1"/>
  <c r="I199" i="1"/>
  <c r="J199" i="1" s="1" a="1"/>
  <c r="J199" i="1" s="1"/>
  <c r="I200" i="1"/>
  <c r="J200" i="1" s="1" a="1"/>
  <c r="J200" i="1" s="1"/>
  <c r="I201" i="1"/>
  <c r="J201" i="1" a="1"/>
  <c r="J201" i="1" s="1"/>
  <c r="I202" i="1"/>
  <c r="J202" i="1" s="1" a="1"/>
  <c r="J202" i="1" s="1"/>
  <c r="I203" i="1"/>
  <c r="J203" i="1" s="1" a="1"/>
  <c r="J203" i="1" s="1"/>
  <c r="I204" i="1"/>
  <c r="J204" i="1" s="1" a="1"/>
  <c r="J204" i="1" s="1"/>
  <c r="I205" i="1"/>
  <c r="J205" i="1" a="1"/>
  <c r="J205" i="1" s="1"/>
  <c r="I206" i="1"/>
  <c r="J206" i="1" s="1" a="1"/>
  <c r="J206" i="1" s="1"/>
  <c r="I207" i="1"/>
  <c r="J207" i="1" s="1" a="1"/>
  <c r="J207" i="1" s="1"/>
  <c r="I208" i="1"/>
  <c r="J208" i="1" s="1" a="1"/>
  <c r="J208" i="1" s="1"/>
  <c r="H47" i="6"/>
  <c r="I47" i="6"/>
  <c r="H48" i="6"/>
  <c r="I48" i="6"/>
  <c r="H45" i="6"/>
  <c r="I45" i="6"/>
  <c r="H46" i="6"/>
  <c r="I46" i="6"/>
  <c r="Z30" i="9" a="1"/>
  <c r="Z30" i="9" s="1"/>
  <c r="Z31" i="9" a="1"/>
  <c r="Z31" i="9" s="1"/>
  <c r="Z32" i="9" a="1"/>
  <c r="Z32" i="9" s="1"/>
  <c r="Z33" i="9" a="1"/>
  <c r="Z33" i="9" s="1"/>
  <c r="Z34" i="9" a="1"/>
  <c r="Z34" i="9" s="1"/>
  <c r="I189" i="1"/>
  <c r="J189" i="1" s="1" a="1"/>
  <c r="J189" i="1" s="1"/>
  <c r="I192" i="1"/>
  <c r="J192" i="1" a="1"/>
  <c r="J192" i="1" s="1"/>
  <c r="I194" i="1"/>
  <c r="J194" i="1" s="1" a="1"/>
  <c r="J194" i="1" s="1"/>
  <c r="I195" i="1"/>
  <c r="J195" i="1" a="1"/>
  <c r="J195" i="1" s="1"/>
  <c r="I196" i="1"/>
  <c r="J196" i="1" s="1" a="1"/>
  <c r="J196" i="1" s="1"/>
  <c r="H44" i="6"/>
  <c r="I44" i="6"/>
  <c r="G41" i="6"/>
  <c r="G42" i="6"/>
  <c r="G43" i="6"/>
  <c r="G44" i="6"/>
  <c r="G45" i="6"/>
  <c r="G46" i="6"/>
  <c r="G47" i="6"/>
  <c r="G48" i="6"/>
  <c r="I41" i="6"/>
  <c r="I42" i="6"/>
  <c r="I43" i="6"/>
  <c r="G159" i="1"/>
  <c r="I159" i="1" s="1"/>
  <c r="J159" i="1" s="1" a="1"/>
  <c r="J159" i="1" s="1"/>
  <c r="I183" i="1"/>
  <c r="J183" i="1" s="1" a="1"/>
  <c r="J183" i="1" s="1"/>
  <c r="I184" i="1"/>
  <c r="J184" i="1" a="1"/>
  <c r="J184" i="1" s="1"/>
  <c r="I185" i="1"/>
  <c r="J185" i="1" s="1" a="1"/>
  <c r="J185" i="1" s="1"/>
  <c r="I186" i="1"/>
  <c r="J186" i="1" a="1"/>
  <c r="J186" i="1" s="1"/>
  <c r="I187" i="1"/>
  <c r="J187" i="1" s="1" a="1"/>
  <c r="J187" i="1" s="1"/>
  <c r="I188" i="1"/>
  <c r="J188" i="1" a="1"/>
  <c r="J188" i="1" s="1"/>
  <c r="I190" i="1"/>
  <c r="J190" i="1" s="1" a="1"/>
  <c r="J190" i="1" s="1"/>
  <c r="I191" i="1"/>
  <c r="J191" i="1" a="1"/>
  <c r="J191" i="1" s="1"/>
  <c r="H38" i="6"/>
  <c r="I38" i="6"/>
  <c r="H37" i="6"/>
  <c r="I37" i="6"/>
  <c r="H33" i="6"/>
  <c r="I33" i="6"/>
  <c r="H34" i="6"/>
  <c r="I34" i="6"/>
  <c r="H35" i="6"/>
  <c r="I35" i="6"/>
  <c r="H36" i="6"/>
  <c r="I36" i="6"/>
  <c r="G40" i="6"/>
  <c r="I40" i="6"/>
  <c r="G33" i="6"/>
  <c r="G34" i="6"/>
  <c r="G35" i="6"/>
  <c r="G36" i="6"/>
  <c r="G37" i="6"/>
  <c r="G38" i="6"/>
  <c r="G39" i="6"/>
  <c r="I39" i="6"/>
  <c r="H32" i="6"/>
  <c r="I32" i="6"/>
  <c r="G32" i="6"/>
  <c r="I168" i="1"/>
  <c r="J168" i="1" a="1"/>
  <c r="J168" i="1" s="1"/>
  <c r="I169" i="1"/>
  <c r="J169" i="1" s="1" a="1"/>
  <c r="J169" i="1" s="1"/>
  <c r="I170" i="1"/>
  <c r="J170" i="1" a="1"/>
  <c r="J170" i="1" s="1"/>
  <c r="I171" i="1"/>
  <c r="J171" i="1" s="1" a="1"/>
  <c r="J171" i="1" s="1"/>
  <c r="I172" i="1"/>
  <c r="J172" i="1" a="1"/>
  <c r="J172" i="1" s="1"/>
  <c r="I173" i="1"/>
  <c r="J173" i="1" s="1" a="1"/>
  <c r="J173" i="1" s="1"/>
  <c r="I174" i="1"/>
  <c r="J174" i="1" a="1"/>
  <c r="J174" i="1" s="1"/>
  <c r="I175" i="1"/>
  <c r="J175" i="1" s="1" a="1"/>
  <c r="J175" i="1" s="1"/>
  <c r="I176" i="1"/>
  <c r="J176" i="1" a="1"/>
  <c r="J176" i="1" s="1"/>
  <c r="I177" i="1"/>
  <c r="J177" i="1" s="1" a="1"/>
  <c r="J177" i="1" s="1"/>
  <c r="I178" i="1"/>
  <c r="J178" i="1" a="1"/>
  <c r="J178" i="1" s="1"/>
  <c r="I179" i="1"/>
  <c r="J179" i="1" s="1" a="1"/>
  <c r="J179" i="1" s="1"/>
  <c r="I180" i="1"/>
  <c r="J180" i="1" a="1"/>
  <c r="J180" i="1" s="1"/>
  <c r="I181" i="1"/>
  <c r="J181" i="1" s="1" a="1"/>
  <c r="J181" i="1" s="1"/>
  <c r="I182" i="1"/>
  <c r="J182" i="1" a="1"/>
  <c r="J182" i="1" s="1"/>
  <c r="F173" i="1"/>
  <c r="H30" i="6"/>
  <c r="I30" i="6"/>
  <c r="H31" i="6"/>
  <c r="I31" i="6"/>
  <c r="G31" i="6"/>
  <c r="G30" i="6"/>
  <c r="G15" i="7"/>
  <c r="H15" i="7"/>
  <c r="G29" i="6"/>
  <c r="H28" i="6"/>
  <c r="I28" i="6"/>
  <c r="H29" i="6"/>
  <c r="I29" i="6"/>
  <c r="G28" i="6"/>
  <c r="F14" i="15"/>
  <c r="F15" i="15"/>
  <c r="F16" i="15"/>
  <c r="F17" i="15"/>
  <c r="F18" i="15"/>
  <c r="F19" i="15"/>
  <c r="G14" i="15"/>
  <c r="H14" i="15"/>
  <c r="G15" i="15"/>
  <c r="H15" i="15"/>
  <c r="G16" i="15"/>
  <c r="H16" i="15"/>
  <c r="G17" i="15"/>
  <c r="H17" i="15"/>
  <c r="G18" i="15"/>
  <c r="H18" i="15"/>
  <c r="G19" i="15"/>
  <c r="H19" i="15"/>
  <c r="I162" i="1"/>
  <c r="J162" i="1" a="1"/>
  <c r="J162" i="1" s="1"/>
  <c r="I163" i="1"/>
  <c r="J163" i="1" s="1" a="1"/>
  <c r="J163" i="1" s="1"/>
  <c r="I164" i="1"/>
  <c r="J164" i="1" a="1"/>
  <c r="J164" i="1" s="1"/>
  <c r="I165" i="1"/>
  <c r="J165" i="1" s="1" a="1"/>
  <c r="J165" i="1" s="1"/>
  <c r="I166" i="1"/>
  <c r="J166" i="1" a="1"/>
  <c r="J166" i="1" s="1"/>
  <c r="I167" i="1"/>
  <c r="J167" i="1" s="1" a="1"/>
  <c r="J167" i="1" s="1"/>
  <c r="G161" i="1"/>
  <c r="I149" i="1"/>
  <c r="J149" i="1" s="1" a="1"/>
  <c r="J149" i="1" s="1"/>
  <c r="I150" i="1"/>
  <c r="J150" i="1" a="1"/>
  <c r="J150" i="1" s="1"/>
  <c r="I151" i="1"/>
  <c r="J151" i="1" s="1" a="1"/>
  <c r="J151" i="1" s="1"/>
  <c r="I152" i="1"/>
  <c r="J152" i="1" a="1"/>
  <c r="J152" i="1" s="1"/>
  <c r="I153" i="1"/>
  <c r="J153" i="1" s="1" a="1"/>
  <c r="J153" i="1" s="1"/>
  <c r="I154" i="1"/>
  <c r="J154" i="1" a="1"/>
  <c r="J154" i="1" s="1"/>
  <c r="I155" i="1"/>
  <c r="J155" i="1" s="1" a="1"/>
  <c r="J155" i="1" s="1"/>
  <c r="B49" i="9" a="1"/>
  <c r="Y29" i="9" s="1" a="1"/>
  <c r="Y29" i="9" s="1"/>
  <c r="I83" i="1"/>
  <c r="J83" i="1" s="1" a="1"/>
  <c r="J83" i="1" s="1"/>
  <c r="I146" i="1"/>
  <c r="J146" i="1" a="1"/>
  <c r="J146" i="1" s="1"/>
  <c r="I147" i="1"/>
  <c r="J147" i="1" s="1" a="1"/>
  <c r="J147" i="1" s="1"/>
  <c r="I156" i="1"/>
  <c r="J156" i="1" a="1"/>
  <c r="J156" i="1" s="1"/>
  <c r="I157" i="1"/>
  <c r="J157" i="1" s="1" a="1"/>
  <c r="J157" i="1" s="1"/>
  <c r="I158" i="1"/>
  <c r="J158" i="1" a="1"/>
  <c r="J158" i="1" s="1"/>
  <c r="I136" i="1"/>
  <c r="J136" i="1" s="1" a="1"/>
  <c r="J136" i="1" s="1"/>
  <c r="I137" i="1"/>
  <c r="J137" i="1" a="1"/>
  <c r="J137" i="1" s="1"/>
  <c r="I138" i="1"/>
  <c r="J138" i="1" s="1" a="1"/>
  <c r="J138" i="1" s="1"/>
  <c r="I139" i="1"/>
  <c r="J139" i="1" a="1"/>
  <c r="J139" i="1" s="1"/>
  <c r="I140" i="1"/>
  <c r="J140" i="1" s="1" a="1"/>
  <c r="J140" i="1" s="1"/>
  <c r="I141" i="1"/>
  <c r="J141" i="1" a="1"/>
  <c r="J141" i="1" s="1"/>
  <c r="I142" i="1"/>
  <c r="J142" i="1" s="1" a="1"/>
  <c r="J142" i="1" s="1"/>
  <c r="I143" i="1"/>
  <c r="J143" i="1" a="1"/>
  <c r="J143" i="1" s="1"/>
  <c r="I144" i="1"/>
  <c r="J144" i="1" s="1" a="1"/>
  <c r="J144" i="1" s="1"/>
  <c r="I145" i="1"/>
  <c r="J145" i="1" a="1"/>
  <c r="J145" i="1" s="1"/>
  <c r="I148" i="1"/>
  <c r="J148" i="1" s="1" a="1"/>
  <c r="J148" i="1" s="1"/>
  <c r="H25" i="6"/>
  <c r="I25" i="6"/>
  <c r="H26" i="6"/>
  <c r="I26" i="6"/>
  <c r="H27" i="6"/>
  <c r="I27" i="6"/>
  <c r="G26" i="6"/>
  <c r="G27" i="6"/>
  <c r="G74" i="9" a="1"/>
  <c r="G74" i="9" s="1"/>
  <c r="G75" i="9" a="1"/>
  <c r="G75" i="9" s="1"/>
  <c r="G76" i="9" a="1"/>
  <c r="G76" i="9" s="1"/>
  <c r="G77" i="9" a="1"/>
  <c r="G77" i="9" s="1"/>
  <c r="G78" i="9" a="1"/>
  <c r="G78" i="9" s="1"/>
  <c r="H74" i="9" a="1"/>
  <c r="H74" i="9" s="1"/>
  <c r="H75" i="9" a="1"/>
  <c r="H75" i="9" s="1"/>
  <c r="H76" i="9" a="1"/>
  <c r="H76" i="9" s="1"/>
  <c r="H77" i="9" a="1"/>
  <c r="H77" i="9" s="1"/>
  <c r="H78" i="9" a="1"/>
  <c r="H78" i="9" s="1"/>
  <c r="I78" i="9" a="1"/>
  <c r="I78" i="9" s="1"/>
  <c r="J78" i="9" a="1"/>
  <c r="J78" i="9" s="1"/>
  <c r="I74" i="9" a="1"/>
  <c r="I74" i="9" s="1"/>
  <c r="I75" i="9" a="1"/>
  <c r="I75" i="9" s="1"/>
  <c r="I76" i="9" a="1"/>
  <c r="I76" i="9" s="1"/>
  <c r="I77" i="9" a="1"/>
  <c r="I77" i="9" s="1"/>
  <c r="J74" i="9" a="1"/>
  <c r="J74" i="9" s="1"/>
  <c r="J75" i="9" a="1"/>
  <c r="J75" i="9" s="1"/>
  <c r="J76" i="9" a="1"/>
  <c r="J76" i="9" s="1"/>
  <c r="J77" i="9" a="1"/>
  <c r="J77" i="9" s="1"/>
  <c r="L74" i="9"/>
  <c r="L75" i="9"/>
  <c r="L76" i="9"/>
  <c r="L77" i="9"/>
  <c r="L78" i="9"/>
  <c r="I131" i="1"/>
  <c r="J131" i="1" a="1"/>
  <c r="J131" i="1" s="1"/>
  <c r="V26" i="9" s="1" a="1"/>
  <c r="V26" i="9" s="1"/>
  <c r="H24" i="6"/>
  <c r="I24" i="6"/>
  <c r="G24" i="6"/>
  <c r="G25" i="6"/>
  <c r="C9" i="8"/>
  <c r="G11" i="7"/>
  <c r="H11" i="7"/>
  <c r="G13" i="7"/>
  <c r="H13" i="7"/>
  <c r="G14" i="7"/>
  <c r="H14" i="7"/>
  <c r="H22" i="6"/>
  <c r="I22" i="6"/>
  <c r="H23" i="6"/>
  <c r="I23" i="6"/>
  <c r="G22" i="6"/>
  <c r="G23" i="6"/>
  <c r="I128" i="1"/>
  <c r="J128" i="1" a="1"/>
  <c r="J128" i="1" s="1"/>
  <c r="I129" i="1"/>
  <c r="J129" i="1" s="1" a="1"/>
  <c r="J129" i="1" s="1"/>
  <c r="I130" i="1"/>
  <c r="J130" i="1" s="1" a="1"/>
  <c r="J130" i="1" s="1"/>
  <c r="I119" i="1"/>
  <c r="J119" i="1" s="1" a="1"/>
  <c r="J119" i="1" s="1"/>
  <c r="I120" i="1"/>
  <c r="J120" i="1" a="1"/>
  <c r="J120" i="1" s="1"/>
  <c r="I127" i="1"/>
  <c r="J127" i="1" s="1" a="1"/>
  <c r="J127" i="1" s="1"/>
  <c r="I132" i="1"/>
  <c r="J132" i="1" s="1" a="1"/>
  <c r="J132" i="1" s="1"/>
  <c r="I133" i="1"/>
  <c r="J133" i="1" s="1" a="1"/>
  <c r="J133" i="1" s="1"/>
  <c r="I134" i="1"/>
  <c r="J134" i="1" a="1"/>
  <c r="J134" i="1" s="1"/>
  <c r="I135" i="1"/>
  <c r="J135" i="1" s="1" a="1"/>
  <c r="J135" i="1" s="1"/>
  <c r="G10" i="7"/>
  <c r="H10" i="7"/>
  <c r="G9" i="7"/>
  <c r="H9" i="7"/>
  <c r="G8" i="7"/>
  <c r="H8" i="7"/>
  <c r="H21" i="6"/>
  <c r="I21" i="6"/>
  <c r="H20" i="6"/>
  <c r="I20" i="6"/>
  <c r="G20" i="6"/>
  <c r="G21" i="6"/>
  <c r="F12" i="15"/>
  <c r="G12" i="15"/>
  <c r="H12" i="15"/>
  <c r="G13" i="15"/>
  <c r="H13" i="15"/>
  <c r="F8" i="15"/>
  <c r="G8" i="15"/>
  <c r="I121" i="1"/>
  <c r="J121" i="1" s="1" a="1"/>
  <c r="J121" i="1" s="1"/>
  <c r="I122" i="1"/>
  <c r="J122" i="1" a="1"/>
  <c r="J122" i="1" s="1"/>
  <c r="I123" i="1"/>
  <c r="J123" i="1" s="1" a="1"/>
  <c r="J123" i="1" s="1"/>
  <c r="I124" i="1"/>
  <c r="J124" i="1" a="1"/>
  <c r="J124" i="1" s="1"/>
  <c r="I125" i="1"/>
  <c r="J125" i="1" s="1" a="1"/>
  <c r="J125" i="1" s="1"/>
  <c r="I126" i="1"/>
  <c r="J126" i="1" a="1"/>
  <c r="J126" i="1" s="1"/>
  <c r="G6" i="7"/>
  <c r="H6" i="7"/>
  <c r="G7" i="7"/>
  <c r="H7" i="7"/>
  <c r="D83" i="17"/>
  <c r="H15" i="6"/>
  <c r="I15" i="6"/>
  <c r="H16" i="6"/>
  <c r="I16" i="6"/>
  <c r="H17" i="6"/>
  <c r="I17" i="6"/>
  <c r="H18" i="6"/>
  <c r="I18" i="6"/>
  <c r="H13" i="6"/>
  <c r="I13" i="6"/>
  <c r="H14" i="6"/>
  <c r="I14" i="6"/>
  <c r="G13" i="6"/>
  <c r="G14" i="6"/>
  <c r="G15" i="6"/>
  <c r="G16" i="6"/>
  <c r="G17" i="6"/>
  <c r="G18" i="6"/>
  <c r="G19" i="6"/>
  <c r="I19" i="6"/>
  <c r="I112" i="1"/>
  <c r="J112" i="1" a="1"/>
  <c r="J112" i="1" s="1"/>
  <c r="I113" i="1"/>
  <c r="J113" i="1" s="1" a="1"/>
  <c r="J113" i="1" s="1"/>
  <c r="I114" i="1"/>
  <c r="J114" i="1" a="1"/>
  <c r="J114" i="1" s="1"/>
  <c r="I115" i="1"/>
  <c r="J115" i="1" a="1"/>
  <c r="J115" i="1" s="1"/>
  <c r="I116" i="1"/>
  <c r="J116" i="1" a="1"/>
  <c r="J116" i="1" s="1"/>
  <c r="I117" i="1"/>
  <c r="J117" i="1" s="1" a="1"/>
  <c r="J117" i="1" s="1"/>
  <c r="I118" i="1"/>
  <c r="J118" i="1" a="1"/>
  <c r="J118" i="1" s="1"/>
  <c r="I99" i="1"/>
  <c r="J99" i="1" a="1"/>
  <c r="J99" i="1" s="1"/>
  <c r="I100" i="1"/>
  <c r="J100" i="1" a="1"/>
  <c r="J100" i="1" s="1"/>
  <c r="I101" i="1"/>
  <c r="J101" i="1" s="1" a="1"/>
  <c r="J101" i="1" s="1"/>
  <c r="I102" i="1"/>
  <c r="J102" i="1" a="1"/>
  <c r="J102" i="1" s="1"/>
  <c r="I103" i="1"/>
  <c r="J103" i="1" a="1"/>
  <c r="J103" i="1" s="1"/>
  <c r="I104" i="1"/>
  <c r="J104" i="1" a="1"/>
  <c r="J104" i="1" s="1"/>
  <c r="I105" i="1"/>
  <c r="J105" i="1" s="1" a="1"/>
  <c r="J105" i="1" s="1"/>
  <c r="I106" i="1"/>
  <c r="J106" i="1" a="1"/>
  <c r="J106" i="1" s="1"/>
  <c r="I107" i="1"/>
  <c r="J107" i="1" a="1"/>
  <c r="J107" i="1" s="1"/>
  <c r="I108" i="1"/>
  <c r="J108" i="1" a="1"/>
  <c r="J108" i="1" s="1"/>
  <c r="I109" i="1"/>
  <c r="J109" i="1" s="1" a="1"/>
  <c r="J109" i="1" s="1"/>
  <c r="I110" i="1"/>
  <c r="J110" i="1" a="1"/>
  <c r="J110" i="1" s="1"/>
  <c r="I111" i="1"/>
  <c r="J111" i="1" a="1"/>
  <c r="J111" i="1" s="1"/>
  <c r="F11" i="15"/>
  <c r="F10" i="15"/>
  <c r="H12" i="6"/>
  <c r="I12" i="6"/>
  <c r="I36" i="12"/>
  <c r="H11" i="6"/>
  <c r="I11" i="6"/>
  <c r="G11" i="6"/>
  <c r="G12" i="6"/>
  <c r="I90" i="1"/>
  <c r="J90" i="1" a="1"/>
  <c r="J90" i="1" s="1"/>
  <c r="I91" i="1"/>
  <c r="J91" i="1" a="1"/>
  <c r="J91" i="1" s="1"/>
  <c r="I92" i="1"/>
  <c r="J92" i="1" s="1" a="1"/>
  <c r="J92" i="1" s="1"/>
  <c r="I93" i="1"/>
  <c r="J93" i="1" a="1"/>
  <c r="J93" i="1" s="1"/>
  <c r="I94" i="1"/>
  <c r="J94" i="1" a="1"/>
  <c r="J94" i="1" s="1"/>
  <c r="I95" i="1"/>
  <c r="J95" i="1" a="1"/>
  <c r="J95" i="1" s="1"/>
  <c r="I96" i="1"/>
  <c r="J96" i="1" s="1" a="1"/>
  <c r="J96" i="1" s="1"/>
  <c r="I97" i="1"/>
  <c r="J97" i="1" a="1"/>
  <c r="J97" i="1" s="1"/>
  <c r="I98" i="1"/>
  <c r="J98" i="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c r="H10" i="6"/>
  <c r="I10" i="6"/>
  <c r="G9" i="6"/>
  <c r="G10" i="6"/>
  <c r="H8" i="6"/>
  <c r="I8" i="6"/>
  <c r="G8" i="6"/>
  <c r="I89" i="1"/>
  <c r="J89" i="1" s="1" a="1"/>
  <c r="J89" i="1" s="1"/>
  <c r="G9" i="15"/>
  <c r="H9" i="15"/>
  <c r="G10" i="15"/>
  <c r="H10" i="15"/>
  <c r="G11" i="15"/>
  <c r="H11" i="15"/>
  <c r="J27" i="15"/>
  <c r="E54" i="7"/>
  <c r="E53" i="7"/>
  <c r="G5" i="7"/>
  <c r="H5" i="7"/>
  <c r="G4" i="7"/>
  <c r="H4" i="7"/>
  <c r="G7" i="6"/>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a="1"/>
  <c r="J87" i="1" s="1"/>
  <c r="I86" i="1"/>
  <c r="J86" i="1" s="1" a="1"/>
  <c r="J86" i="1" s="1"/>
  <c r="I85" i="1"/>
  <c r="J85" i="1" s="1" a="1"/>
  <c r="J85" i="1" s="1"/>
  <c r="I84" i="1"/>
  <c r="J84" i="1" s="1" a="1"/>
  <c r="J84" i="1" s="1"/>
  <c r="I82" i="1"/>
  <c r="J82" i="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30" i="9" a="1"/>
  <c r="R30" i="9" s="1"/>
  <c r="S30" i="9" a="1"/>
  <c r="S30" i="9" s="1"/>
  <c r="T30" i="9" a="1"/>
  <c r="T30" i="9" s="1"/>
  <c r="U30" i="9" a="1"/>
  <c r="U30" i="9" s="1"/>
  <c r="AB30" i="9"/>
  <c r="B27" i="20"/>
  <c r="R31" i="9" a="1"/>
  <c r="R31" i="9" s="1"/>
  <c r="S31" i="9" a="1"/>
  <c r="S31" i="9" s="1"/>
  <c r="T31" i="9" a="1"/>
  <c r="T31" i="9" s="1"/>
  <c r="U31" i="9" a="1"/>
  <c r="U31" i="9" s="1"/>
  <c r="AB31" i="9"/>
  <c r="B28" i="20"/>
  <c r="R32" i="9" a="1"/>
  <c r="R32" i="9" s="1"/>
  <c r="S32" i="9" a="1"/>
  <c r="S32" i="9" s="1"/>
  <c r="T32" i="9" a="1"/>
  <c r="T32" i="9" s="1"/>
  <c r="U32" i="9" a="1"/>
  <c r="U32" i="9" s="1"/>
  <c r="AB32" i="9"/>
  <c r="R33" i="9" a="1"/>
  <c r="R33" i="9" s="1"/>
  <c r="S33" i="9" a="1"/>
  <c r="S33" i="9" s="1"/>
  <c r="T33" i="9" a="1"/>
  <c r="T33" i="9" s="1"/>
  <c r="U33" i="9" a="1"/>
  <c r="U33" i="9" s="1"/>
  <c r="AB33" i="9"/>
  <c r="R34" i="9" a="1"/>
  <c r="R34" i="9" s="1"/>
  <c r="S34" i="9" a="1"/>
  <c r="S34" i="9" s="1"/>
  <c r="T34" i="9" a="1"/>
  <c r="T34" i="9" s="1"/>
  <c r="U34" i="9" a="1"/>
  <c r="U34" i="9" s="1"/>
  <c r="AB34" i="9"/>
  <c r="R35" i="9" a="1"/>
  <c r="R35" i="9" s="1"/>
  <c r="S35" i="9" a="1"/>
  <c r="S35" i="9" s="1"/>
  <c r="T35" i="9" a="1"/>
  <c r="T35" i="9" s="1"/>
  <c r="U35" i="9" a="1"/>
  <c r="U35" i="9" s="1"/>
  <c r="AB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F20" i="15"/>
  <c r="B84" i="9" a="1"/>
  <c r="B84" i="9" s="1"/>
  <c r="E32" i="7"/>
  <c r="E33" i="7"/>
  <c r="E34" i="7"/>
  <c r="E35" i="7"/>
  <c r="E36" i="7"/>
  <c r="E37" i="7"/>
  <c r="E38" i="7"/>
  <c r="E39" i="7"/>
  <c r="E40" i="7"/>
  <c r="E41" i="7"/>
  <c r="E42" i="7"/>
  <c r="E43" i="7"/>
  <c r="E44" i="7"/>
  <c r="E45" i="7"/>
  <c r="E46" i="7"/>
  <c r="E47" i="7"/>
  <c r="E48" i="7"/>
  <c r="E49" i="7"/>
  <c r="E50" i="7"/>
  <c r="E51" i="7"/>
  <c r="E52" i="7"/>
  <c r="E31" i="7"/>
  <c r="E83" i="2"/>
  <c r="F83" i="2"/>
  <c r="H83" i="2"/>
  <c r="I83" i="2" s="1"/>
  <c r="D83" i="2" s="1"/>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G74" i="2"/>
  <c r="H211" i="1" s="1"/>
  <c r="E75" i="2"/>
  <c r="F75" i="2"/>
  <c r="E76" i="2"/>
  <c r="F76" i="2"/>
  <c r="H76" i="2" s="1"/>
  <c r="I76" i="2" s="1"/>
  <c r="D76" i="2" s="1"/>
  <c r="E77" i="2"/>
  <c r="F77" i="2"/>
  <c r="E78" i="2"/>
  <c r="F78" i="2"/>
  <c r="H78" i="2" s="1"/>
  <c r="I78" i="2" s="1"/>
  <c r="D78" i="2" s="1"/>
  <c r="E79" i="2"/>
  <c r="F79" i="2"/>
  <c r="H79" i="2" s="1"/>
  <c r="I79" i="2" s="1"/>
  <c r="D79" i="2" s="1"/>
  <c r="E80" i="2"/>
  <c r="F80" i="2"/>
  <c r="H80" i="2" s="1"/>
  <c r="I80" i="2" s="1"/>
  <c r="D80" i="2" s="1"/>
  <c r="E81" i="2"/>
  <c r="F81" i="2"/>
  <c r="E82" i="2"/>
  <c r="F82" i="2"/>
  <c r="A27" i="20"/>
  <c r="A28" i="20"/>
  <c r="Q5" i="9" a="1"/>
  <c r="A14" i="21" s="1"/>
  <c r="B14"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G57" i="2" s="1"/>
  <c r="E58" i="2"/>
  <c r="F58" i="2"/>
  <c r="F27" i="2"/>
  <c r="H27" i="2" s="1"/>
  <c r="I27" i="2" s="1"/>
  <c r="D27" i="2" s="1"/>
  <c r="E27" i="2"/>
  <c r="E59" i="2"/>
  <c r="F59" i="2"/>
  <c r="H59" i="2" s="1"/>
  <c r="I59" i="2" s="1"/>
  <c r="D59" i="2" s="1"/>
  <c r="F28" i="2"/>
  <c r="H28" i="2" s="1"/>
  <c r="I28" i="2" s="1"/>
  <c r="D28" i="2" s="1"/>
  <c r="E28" i="2"/>
  <c r="E60" i="2"/>
  <c r="F60" i="2"/>
  <c r="G60" i="2" s="1"/>
  <c r="E61" i="2"/>
  <c r="G61" i="2" s="1"/>
  <c r="H183" i="1" s="1"/>
  <c r="F61" i="2"/>
  <c r="H61" i="2" s="1"/>
  <c r="I61" i="2" s="1"/>
  <c r="D61" i="2" s="1"/>
  <c r="E62" i="2"/>
  <c r="F62" i="2"/>
  <c r="H62" i="2" s="1"/>
  <c r="I62" i="2" s="1"/>
  <c r="D62" i="2" s="1"/>
  <c r="E63" i="2"/>
  <c r="F63" i="2"/>
  <c r="H63" i="2" s="1"/>
  <c r="I63" i="2" s="1"/>
  <c r="D63" i="2" s="1"/>
  <c r="E64" i="2"/>
  <c r="F64" i="2"/>
  <c r="E65" i="2"/>
  <c r="F65" i="2"/>
  <c r="G65" i="2" s="1"/>
  <c r="E66" i="2"/>
  <c r="F66" i="2"/>
  <c r="H66" i="2" s="1"/>
  <c r="I66" i="2" s="1"/>
  <c r="D66" i="2" s="1"/>
  <c r="E67" i="2"/>
  <c r="F67" i="2"/>
  <c r="E68" i="2"/>
  <c r="F68" i="2"/>
  <c r="E69" i="2"/>
  <c r="F69" i="2"/>
  <c r="E70" i="2"/>
  <c r="F70" i="2"/>
  <c r="E71" i="2"/>
  <c r="F71" i="2"/>
  <c r="E72" i="2"/>
  <c r="F72" i="2"/>
  <c r="H72" i="2" s="1"/>
  <c r="I72" i="2" s="1"/>
  <c r="D72" i="2" s="1"/>
  <c r="E73" i="2"/>
  <c r="F73" i="2"/>
  <c r="H73" i="2" s="1"/>
  <c r="I73" i="2" s="1"/>
  <c r="D73" i="2" s="1"/>
  <c r="E45" i="2"/>
  <c r="F45" i="2"/>
  <c r="E46" i="2"/>
  <c r="F46" i="2"/>
  <c r="H46" i="2" s="1"/>
  <c r="I46" i="2" s="1"/>
  <c r="D46" i="2" s="1"/>
  <c r="E47" i="2"/>
  <c r="F47" i="2"/>
  <c r="H47" i="2"/>
  <c r="I47" i="2" s="1"/>
  <c r="D47" i="2" s="1"/>
  <c r="E48" i="2"/>
  <c r="F48" i="2"/>
  <c r="F20" i="2"/>
  <c r="H20" i="2" s="1"/>
  <c r="I20" i="2" s="1"/>
  <c r="D20" i="2" s="1"/>
  <c r="E20" i="2"/>
  <c r="E49" i="2"/>
  <c r="G49" i="2" s="1"/>
  <c r="F49" i="2"/>
  <c r="F21" i="2"/>
  <c r="H21" i="2" s="1"/>
  <c r="I21" i="2" s="1"/>
  <c r="D21" i="2" s="1"/>
  <c r="E21" i="2"/>
  <c r="E50" i="2"/>
  <c r="F50" i="2"/>
  <c r="H50" i="2" s="1"/>
  <c r="I50" i="2" s="1"/>
  <c r="D50" i="2" s="1"/>
  <c r="E51" i="2"/>
  <c r="F51" i="2"/>
  <c r="H51" i="2" s="1"/>
  <c r="I51" i="2" s="1"/>
  <c r="D51" i="2" s="1"/>
  <c r="E52" i="2"/>
  <c r="F52" i="2"/>
  <c r="H52" i="2" s="1"/>
  <c r="I52" i="2" s="1"/>
  <c r="D52" i="2" s="1"/>
  <c r="E53" i="2"/>
  <c r="F53" i="2"/>
  <c r="H53" i="2" s="1"/>
  <c r="I53" i="2" s="1"/>
  <c r="D53" i="2" s="1"/>
  <c r="E54" i="2"/>
  <c r="F54" i="2"/>
  <c r="F24" i="2"/>
  <c r="H24" i="2"/>
  <c r="I24" i="2" s="1"/>
  <c r="D24" i="2" s="1"/>
  <c r="E24" i="2"/>
  <c r="E55" i="2"/>
  <c r="F55" i="2"/>
  <c r="H55" i="2"/>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G34" i="2" s="1"/>
  <c r="H131" i="1" s="1"/>
  <c r="F34" i="2"/>
  <c r="H34" i="2"/>
  <c r="I34" i="2" s="1"/>
  <c r="D34" i="2" s="1"/>
  <c r="F18" i="2"/>
  <c r="E18" i="2"/>
  <c r="G18" i="2" s="1"/>
  <c r="H102" i="1" s="1"/>
  <c r="E35" i="2"/>
  <c r="F35" i="2"/>
  <c r="H35" i="2" s="1"/>
  <c r="I35" i="2" s="1"/>
  <c r="D35" i="2" s="1"/>
  <c r="E36" i="2"/>
  <c r="F36" i="2"/>
  <c r="H36" i="2"/>
  <c r="I36" i="2" s="1"/>
  <c r="D36" i="2" s="1"/>
  <c r="F22" i="2"/>
  <c r="H22" i="2" s="1"/>
  <c r="I22" i="2" s="1"/>
  <c r="D22" i="2" s="1"/>
  <c r="E22" i="2"/>
  <c r="F7" i="2"/>
  <c r="E7" i="2"/>
  <c r="E37" i="2"/>
  <c r="F37" i="2"/>
  <c r="G37" i="2"/>
  <c r="H136" i="1" s="1"/>
  <c r="E39" i="2"/>
  <c r="F39" i="2"/>
  <c r="H39" i="2" s="1"/>
  <c r="I39" i="2" s="1"/>
  <c r="D39" i="2" s="1"/>
  <c r="E40" i="2"/>
  <c r="F40" i="2"/>
  <c r="H40" i="2" s="1"/>
  <c r="I40" i="2" s="1"/>
  <c r="D40" i="2" s="1"/>
  <c r="E41" i="2"/>
  <c r="F41" i="2"/>
  <c r="H41" i="2"/>
  <c r="I41" i="2" s="1"/>
  <c r="D41" i="2" s="1"/>
  <c r="E42" i="2"/>
  <c r="F42" i="2"/>
  <c r="H42" i="2" s="1"/>
  <c r="I42" i="2" s="1"/>
  <c r="D42" i="2" s="1"/>
  <c r="E43" i="2"/>
  <c r="F43" i="2"/>
  <c r="H43" i="2" s="1"/>
  <c r="I43" i="2" s="1"/>
  <c r="D43" i="2" s="1"/>
  <c r="E44" i="2"/>
  <c r="F44" i="2"/>
  <c r="H44" i="2" s="1"/>
  <c r="I44" i="2" s="1"/>
  <c r="D44" i="2" s="1"/>
  <c r="F19" i="2"/>
  <c r="H19" i="2" s="1"/>
  <c r="I19" i="2" s="1"/>
  <c r="D19" i="2" s="1"/>
  <c r="E19" i="2"/>
  <c r="F38" i="2"/>
  <c r="H38" i="2"/>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G23" i="2" s="1"/>
  <c r="H113" i="1" s="1"/>
  <c r="F15" i="2"/>
  <c r="H15" i="2" s="1"/>
  <c r="I15" i="2" s="1"/>
  <c r="D15" i="2" s="1"/>
  <c r="E15" i="2"/>
  <c r="G15" i="2" s="1"/>
  <c r="F16" i="2"/>
  <c r="H16" i="2" s="1"/>
  <c r="I16" i="2" s="1"/>
  <c r="D16" i="2" s="1"/>
  <c r="E16" i="2"/>
  <c r="F26" i="2"/>
  <c r="H26" i="2" s="1"/>
  <c r="I26" i="2" s="1"/>
  <c r="D26" i="2" s="1"/>
  <c r="E26" i="2"/>
  <c r="F29" i="2"/>
  <c r="H29" i="2" s="1"/>
  <c r="I29" i="2" s="1"/>
  <c r="D29" i="2" s="1"/>
  <c r="E29" i="2"/>
  <c r="F30" i="2"/>
  <c r="F31" i="2"/>
  <c r="H31" i="2" s="1"/>
  <c r="I31" i="2" s="1"/>
  <c r="D31" i="2" s="1"/>
  <c r="E31" i="2"/>
  <c r="F32" i="2"/>
  <c r="H32" i="2" s="1"/>
  <c r="I32" i="2" s="1"/>
  <c r="D32" i="2" s="1"/>
  <c r="F14" i="2"/>
  <c r="H14" i="2"/>
  <c r="I14" i="2" s="1"/>
  <c r="D14" i="2" s="1"/>
  <c r="E14" i="2"/>
  <c r="E30" i="2"/>
  <c r="E32" i="2"/>
  <c r="N4" i="17"/>
  <c r="F12" i="2"/>
  <c r="E12" i="2"/>
  <c r="G12" i="2" s="1"/>
  <c r="H93" i="1" s="1"/>
  <c r="F11" i="2"/>
  <c r="H11" i="2" s="1"/>
  <c r="I11" i="2" s="1"/>
  <c r="E11" i="2"/>
  <c r="E17" i="2"/>
  <c r="F17" i="2"/>
  <c r="F9" i="2"/>
  <c r="H9" i="2" s="1"/>
  <c r="I9" i="2" s="1"/>
  <c r="D9" i="2" s="1"/>
  <c r="E9" i="2"/>
  <c r="E8" i="2"/>
  <c r="F8" i="2"/>
  <c r="H8" i="2" s="1"/>
  <c r="I8" i="2" s="1"/>
  <c r="D8" i="2" s="1"/>
  <c r="E10" i="2"/>
  <c r="E4" i="2"/>
  <c r="C8" i="8"/>
  <c r="F10" i="2"/>
  <c r="H10" i="2" s="1"/>
  <c r="I10" i="2" s="1"/>
  <c r="D10" i="2" s="1"/>
  <c r="F4" i="2"/>
  <c r="H4" i="2" s="1"/>
  <c r="I4" i="2" s="1"/>
  <c r="D4" i="2" s="1"/>
  <c r="N3" i="7"/>
  <c r="N5" i="7"/>
  <c r="E6" i="11"/>
  <c r="D6" i="11"/>
  <c r="F3" i="2"/>
  <c r="J15" i="14"/>
  <c r="H92" i="2"/>
  <c r="I92" i="2"/>
  <c r="D92" i="2"/>
  <c r="G88" i="2"/>
  <c r="G81" i="2"/>
  <c r="H223" i="1" s="1"/>
  <c r="G87" i="2"/>
  <c r="H94" i="2"/>
  <c r="I94" i="2"/>
  <c r="D94" i="2"/>
  <c r="G91" i="2"/>
  <c r="G90" i="2"/>
  <c r="H89" i="2"/>
  <c r="I89" i="2"/>
  <c r="D89" i="2"/>
  <c r="G83" i="2"/>
  <c r="H224" i="1" s="1"/>
  <c r="H98" i="2"/>
  <c r="I98" i="2"/>
  <c r="D98" i="2"/>
  <c r="H93" i="2"/>
  <c r="I93" i="2"/>
  <c r="D93" i="2"/>
  <c r="G85" i="2"/>
  <c r="H88" i="2"/>
  <c r="I88" i="2"/>
  <c r="D88" i="2"/>
  <c r="H95" i="2"/>
  <c r="I95" i="2"/>
  <c r="D95" i="2"/>
  <c r="G84" i="2"/>
  <c r="H97" i="2"/>
  <c r="I97" i="2"/>
  <c r="D97" i="2"/>
  <c r="G86" i="2"/>
  <c r="G82" i="2"/>
  <c r="H85" i="2"/>
  <c r="I85" i="2"/>
  <c r="D85" i="2"/>
  <c r="H82" i="2"/>
  <c r="I82" i="2" s="1"/>
  <c r="D82" i="2" s="1"/>
  <c r="H81" i="2"/>
  <c r="I81" i="2" s="1"/>
  <c r="D81" i="2" s="1"/>
  <c r="G73" i="2"/>
  <c r="H210" i="1" s="1"/>
  <c r="H65" i="2"/>
  <c r="I65" i="2" s="1"/>
  <c r="D65" i="2" s="1"/>
  <c r="B2" i="2"/>
  <c r="C383" i="17"/>
  <c r="K4" i="17"/>
  <c r="C16" i="10"/>
  <c r="J30" i="15"/>
  <c r="C6" i="8"/>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D3" i="17"/>
  <c r="N6" i="17"/>
  <c r="D2" i="17"/>
  <c r="D383" i="17"/>
  <c r="N5" i="17"/>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H48" i="2"/>
  <c r="I48" i="2" s="1"/>
  <c r="D48" i="2" s="1"/>
  <c r="G48" i="2"/>
  <c r="H151" i="1" s="1"/>
  <c r="H69" i="2"/>
  <c r="I69" i="2" s="1"/>
  <c r="D69" i="2" s="1"/>
  <c r="G13" i="2"/>
  <c r="H95" i="1"/>
  <c r="G29" i="2"/>
  <c r="H119" i="1"/>
  <c r="Z23" i="9" a="1"/>
  <c r="Z23" i="9" s="1"/>
  <c r="Z28" i="9" a="1"/>
  <c r="Z28" i="9" s="1"/>
  <c r="Z16" i="9" a="1"/>
  <c r="Z16" i="9" s="1"/>
  <c r="H13" i="2"/>
  <c r="I13" i="2" s="1"/>
  <c r="D13" i="2" s="1"/>
  <c r="H17" i="2"/>
  <c r="I17" i="2" s="1"/>
  <c r="D17" i="2" s="1"/>
  <c r="L72" i="9"/>
  <c r="G71" i="9" a="1"/>
  <c r="G71" i="9" s="1"/>
  <c r="J64" i="9" a="1"/>
  <c r="J64" i="9" s="1"/>
  <c r="L55" i="9"/>
  <c r="G52" i="9" a="1"/>
  <c r="G52" i="9" s="1"/>
  <c r="D102" i="9"/>
  <c r="S23" i="9" s="1" a="1"/>
  <c r="S23" i="9" s="1"/>
  <c r="G85" i="9"/>
  <c r="V6" i="9" s="1" a="1"/>
  <c r="V6" i="9" s="1"/>
  <c r="F93" i="9"/>
  <c r="U14" i="9" s="1" a="1"/>
  <c r="U14" i="9" s="1"/>
  <c r="G90" i="9"/>
  <c r="B17" i="9"/>
  <c r="E17" i="9" s="1"/>
  <c r="J58" i="9" a="1"/>
  <c r="J58" i="9" s="1"/>
  <c r="L90" i="9"/>
  <c r="L99" i="9"/>
  <c r="G87" i="9"/>
  <c r="V8" i="9" s="1" a="1"/>
  <c r="V8" i="9" s="1"/>
  <c r="I86" i="9"/>
  <c r="X7" i="9" s="1" a="1"/>
  <c r="X7" i="9" s="1"/>
  <c r="B5" i="9"/>
  <c r="C5" i="9" s="1"/>
  <c r="I51" i="9" a="1"/>
  <c r="I51" i="9" s="1"/>
  <c r="J93" i="9"/>
  <c r="Y14" i="9" s="1" a="1"/>
  <c r="Y14" i="9" s="1"/>
  <c r="L86" i="9"/>
  <c r="J69" i="9" a="1"/>
  <c r="J69" i="9" s="1"/>
  <c r="H66" i="9" a="1"/>
  <c r="H66" i="9" s="1"/>
  <c r="C104" i="9"/>
  <c r="R25" i="9" s="1" a="1"/>
  <c r="R25" i="9" s="1"/>
  <c r="L61" i="9"/>
  <c r="E92" i="9"/>
  <c r="T13" i="9" s="1" a="1"/>
  <c r="T13" i="9" s="1"/>
  <c r="G57" i="9" a="1"/>
  <c r="G57" i="9" s="1"/>
  <c r="F96" i="9"/>
  <c r="U17" i="9" s="1" a="1"/>
  <c r="U17" i="9" s="1"/>
  <c r="Y28" i="9" a="1"/>
  <c r="Y28" i="9" s="1"/>
  <c r="J87" i="9"/>
  <c r="Y8" i="9" s="1" a="1"/>
  <c r="Y8" i="9" s="1"/>
  <c r="W26" i="9" a="1"/>
  <c r="W26" i="9" s="1"/>
  <c r="U27" i="9" a="1"/>
  <c r="U27" i="9" s="1"/>
  <c r="F102" i="9"/>
  <c r="U23" i="9" a="1"/>
  <c r="U23" i="9" s="1"/>
  <c r="L57" i="9"/>
  <c r="S27" i="9" a="1"/>
  <c r="S27" i="9" s="1"/>
  <c r="Y27" i="9" a="1"/>
  <c r="Y27" i="9" s="1"/>
  <c r="G66" i="9" a="1"/>
  <c r="G66" i="9" s="1"/>
  <c r="I98" i="9"/>
  <c r="X19" i="9" s="1" a="1"/>
  <c r="X19" i="9" s="1"/>
  <c r="J51" i="9" a="1"/>
  <c r="J51" i="9" s="1"/>
  <c r="H85" i="9"/>
  <c r="F94" i="9"/>
  <c r="U15" i="9" s="1" a="1"/>
  <c r="U15" i="9" s="1"/>
  <c r="J66" i="9" a="1"/>
  <c r="J66" i="9" s="1"/>
  <c r="G8" i="2"/>
  <c r="G51" i="2"/>
  <c r="H75" i="2"/>
  <c r="I75" i="2" s="1"/>
  <c r="D75" i="2" s="1"/>
  <c r="G17" i="2"/>
  <c r="H101" i="1" s="1"/>
  <c r="G46" i="2"/>
  <c r="H149" i="1" s="1"/>
  <c r="H70" i="2"/>
  <c r="I70" i="2" s="1"/>
  <c r="D70" i="2" s="1"/>
  <c r="G64" i="2"/>
  <c r="G50" i="2"/>
  <c r="H156" i="1" s="1"/>
  <c r="H18" i="2"/>
  <c r="I18" i="2" s="1"/>
  <c r="D18" i="2" s="1"/>
  <c r="G55" i="2"/>
  <c r="H168" i="1" s="1"/>
  <c r="G89" i="9"/>
  <c r="H54" i="9" a="1"/>
  <c r="H54" i="9" s="1"/>
  <c r="E94" i="9"/>
  <c r="T15" i="9" s="1" a="1"/>
  <c r="T15" i="9" s="1"/>
  <c r="R26" i="9" a="1"/>
  <c r="R26" i="9" s="1"/>
  <c r="D99" i="9"/>
  <c r="S20" i="9" s="1" a="1"/>
  <c r="S20" i="9" s="1"/>
  <c r="J60" i="9" a="1"/>
  <c r="J60" i="9" s="1"/>
  <c r="D90" i="9"/>
  <c r="S11" i="9" s="1" a="1"/>
  <c r="S11" i="9" s="1"/>
  <c r="J99" i="9"/>
  <c r="Y20" i="9" s="1" a="1"/>
  <c r="Y20" i="9" s="1"/>
  <c r="Z8" i="9" a="1"/>
  <c r="Z8" i="9" s="1"/>
  <c r="G101" i="9"/>
  <c r="V22" i="9" s="1" a="1"/>
  <c r="V22" i="9" s="1"/>
  <c r="L63" i="9"/>
  <c r="I57" i="9" a="1"/>
  <c r="I57" i="9" s="1"/>
  <c r="E86" i="9"/>
  <c r="T7" i="9" s="1" a="1"/>
  <c r="T7" i="9" s="1"/>
  <c r="H67" i="9" a="1"/>
  <c r="H67" i="9" s="1"/>
  <c r="C101" i="9"/>
  <c r="R22" i="9" s="1" a="1"/>
  <c r="R22" i="9" s="1"/>
  <c r="B9" i="9"/>
  <c r="C9" i="9" s="1"/>
  <c r="H64" i="9" a="1"/>
  <c r="H64" i="9" s="1"/>
  <c r="J57" i="9" a="1"/>
  <c r="J57" i="9" s="1"/>
  <c r="J91" i="9"/>
  <c r="Y12" i="9" s="1" a="1"/>
  <c r="Y12" i="9" s="1"/>
  <c r="B7" i="9"/>
  <c r="C7" i="9" s="1"/>
  <c r="B8" i="9"/>
  <c r="C8" i="9" s="1"/>
  <c r="H95" i="9"/>
  <c r="B14" i="9"/>
  <c r="C14" i="9" s="1"/>
  <c r="F98" i="9"/>
  <c r="U19" i="9" s="1" a="1"/>
  <c r="U19" i="9" s="1"/>
  <c r="L100" i="9"/>
  <c r="E103" i="9"/>
  <c r="T24" i="9" s="1" a="1"/>
  <c r="T24" i="9" s="1"/>
  <c r="I85" i="9"/>
  <c r="X6" i="9" s="1" a="1"/>
  <c r="X6" i="9" s="1"/>
  <c r="C93" i="9"/>
  <c r="R14" i="9" s="1" a="1"/>
  <c r="R14" i="9" s="1"/>
  <c r="L70" i="9"/>
  <c r="W28" i="9" a="1"/>
  <c r="W28" i="9" s="1"/>
  <c r="X28" i="9" a="1"/>
  <c r="X28" i="9" s="1"/>
  <c r="L98" i="9"/>
  <c r="H87" i="9"/>
  <c r="W8" i="9" s="1" a="1"/>
  <c r="W8" i="9" s="1"/>
  <c r="J71" i="9" a="1"/>
  <c r="J71" i="9" s="1"/>
  <c r="L101" i="9"/>
  <c r="I92" i="9"/>
  <c r="X13" i="9" s="1" a="1"/>
  <c r="X13" i="9" s="1"/>
  <c r="J50" i="9" a="1"/>
  <c r="J50" i="9" s="1"/>
  <c r="H59" i="9" a="1"/>
  <c r="H59" i="9" s="1"/>
  <c r="I59" i="9" a="1"/>
  <c r="I59" i="9" s="1"/>
  <c r="J59" i="9" a="1"/>
  <c r="J59" i="9" s="1"/>
  <c r="H96" i="9"/>
  <c r="W17" i="9" s="1" a="1"/>
  <c r="W17" i="9" s="1"/>
  <c r="Y25" i="9" a="1"/>
  <c r="Y25" i="9" s="1"/>
  <c r="J88" i="9"/>
  <c r="Y9" i="9" s="1" a="1"/>
  <c r="Y9" i="9" s="1"/>
  <c r="C99" i="9"/>
  <c r="R20" i="9" s="1" a="1"/>
  <c r="R20" i="9" s="1"/>
  <c r="D93" i="9"/>
  <c r="S14" i="9" s="1" a="1"/>
  <c r="S14" i="9" s="1"/>
  <c r="D87" i="9"/>
  <c r="S8" i="9" s="1" a="1"/>
  <c r="S8" i="9" s="1"/>
  <c r="H90" i="9"/>
  <c r="W11" i="9" s="1" a="1"/>
  <c r="W11" i="9" s="1"/>
  <c r="D100" i="9"/>
  <c r="S21" i="9" s="1" a="1"/>
  <c r="S21" i="9" s="1"/>
  <c r="L50" i="9"/>
  <c r="L102" i="9"/>
  <c r="I69" i="9" a="1"/>
  <c r="I69" i="9" s="1"/>
  <c r="I99" i="9"/>
  <c r="X20" i="9" s="1" a="1"/>
  <c r="X20" i="9" s="1"/>
  <c r="C85" i="9"/>
  <c r="R6" i="9" s="1" a="1"/>
  <c r="R6" i="9" s="1"/>
  <c r="G53" i="9" a="1"/>
  <c r="G53" i="9" s="1"/>
  <c r="I53" i="9" a="1"/>
  <c r="I53" i="9" s="1"/>
  <c r="E87" i="9"/>
  <c r="T8" i="9" s="1" a="1"/>
  <c r="T8" i="9" s="1"/>
  <c r="H72" i="9" a="1"/>
  <c r="H72" i="9" s="1"/>
  <c r="C95" i="9"/>
  <c r="R16" i="9" s="1" a="1"/>
  <c r="R16" i="9" s="1"/>
  <c r="C86" i="9"/>
  <c r="R7" i="9" s="1" a="1"/>
  <c r="R7" i="9" s="1"/>
  <c r="J63" i="9" a="1"/>
  <c r="J63" i="9" s="1"/>
  <c r="Y26" i="9" a="1"/>
  <c r="Y26" i="9" s="1"/>
  <c r="E100" i="9"/>
  <c r="T21" i="9" s="1" a="1"/>
  <c r="T21" i="9" s="1"/>
  <c r="E102" i="9"/>
  <c r="T23" i="9" a="1"/>
  <c r="T23" i="9" s="1"/>
  <c r="L65" i="9"/>
  <c r="G100" i="9"/>
  <c r="V21" i="9" s="1" a="1"/>
  <c r="V21" i="9" s="1"/>
  <c r="C97" i="9"/>
  <c r="R18" i="9" s="1" a="1"/>
  <c r="R18" i="9" s="1"/>
  <c r="I68" i="9" a="1"/>
  <c r="I68" i="9" s="1"/>
  <c r="G64" i="9" a="1"/>
  <c r="G64" i="9" s="1"/>
  <c r="H89" i="9"/>
  <c r="W10" i="9" s="1" a="1"/>
  <c r="W10" i="9" s="1"/>
  <c r="I87" i="9"/>
  <c r="X8" i="9" s="1" a="1"/>
  <c r="X8" i="9" s="1"/>
  <c r="B3" i="9"/>
  <c r="C3" i="9" s="1"/>
  <c r="L94" i="9"/>
  <c r="L96" i="9"/>
  <c r="H100" i="9"/>
  <c r="H98" i="9"/>
  <c r="W19" i="9" s="1" a="1"/>
  <c r="W19" i="9" s="1"/>
  <c r="I64" i="9" a="1"/>
  <c r="I64" i="9" s="1"/>
  <c r="H88" i="9"/>
  <c r="W9" i="9" s="1" a="1"/>
  <c r="W9" i="9" s="1"/>
  <c r="Z6" i="9" a="1"/>
  <c r="Z6" i="9" s="1"/>
  <c r="Z25" i="9" a="1"/>
  <c r="Z25" i="9" s="1"/>
  <c r="L88" i="9"/>
  <c r="H86" i="9"/>
  <c r="E91" i="9"/>
  <c r="T12" i="9" s="1" a="1"/>
  <c r="T12" i="9" s="1"/>
  <c r="I63" i="9" a="1"/>
  <c r="I63" i="9" s="1"/>
  <c r="L60" i="9"/>
  <c r="H102" i="9"/>
  <c r="W23" i="9" s="1" a="1"/>
  <c r="W23" i="9" s="1"/>
  <c r="C92" i="9"/>
  <c r="R13" i="9" s="1" a="1"/>
  <c r="R13" i="9" s="1"/>
  <c r="C88" i="9"/>
  <c r="R9" i="9" s="1" a="1"/>
  <c r="R9" i="9" s="1"/>
  <c r="E89" i="9"/>
  <c r="T10" i="9" s="1" a="1"/>
  <c r="T10" i="9" s="1"/>
  <c r="D91" i="9"/>
  <c r="S12" i="9" s="1" a="1"/>
  <c r="S12" i="9" s="1"/>
  <c r="S28" i="9" a="1"/>
  <c r="S28" i="9" s="1"/>
  <c r="J70" i="9" a="1"/>
  <c r="J70" i="9" s="1"/>
  <c r="B4" i="9"/>
  <c r="E4" i="9" s="1"/>
  <c r="J52" i="9" a="1"/>
  <c r="J52" i="9" s="1"/>
  <c r="J62" i="9" a="1"/>
  <c r="J62" i="9" s="1"/>
  <c r="J95" i="9"/>
  <c r="Y16" i="9" s="1" a="1"/>
  <c r="Y16" i="9" s="1"/>
  <c r="I95" i="9"/>
  <c r="X16" i="9" s="1" a="1"/>
  <c r="X16" i="9" s="1"/>
  <c r="I103" i="9"/>
  <c r="X24" i="9" s="1" a="1"/>
  <c r="X24" i="9" s="1"/>
  <c r="F95" i="9"/>
  <c r="U16" i="9" s="1" a="1"/>
  <c r="U16" i="9" s="1"/>
  <c r="F92" i="9"/>
  <c r="U13" i="9" s="1" a="1"/>
  <c r="U13" i="9" s="1"/>
  <c r="E90" i="9"/>
  <c r="T11" i="9" a="1"/>
  <c r="T11" i="9" s="1"/>
  <c r="X25" i="9" a="1"/>
  <c r="X25" i="9" s="1"/>
  <c r="H92" i="9"/>
  <c r="W13" i="9" s="1" a="1"/>
  <c r="W13" i="9" s="1"/>
  <c r="H69" i="9" a="1"/>
  <c r="H69" i="9" s="1"/>
  <c r="Z17" i="9" a="1"/>
  <c r="Z17" i="9" s="1"/>
  <c r="Z12" i="9" a="1"/>
  <c r="Z12" i="9" s="1"/>
  <c r="L87" i="9"/>
  <c r="L59" i="9"/>
  <c r="L92" i="9"/>
  <c r="E98" i="9"/>
  <c r="T19" i="9" s="1" a="1"/>
  <c r="T19" i="9" s="1"/>
  <c r="J72" i="9" a="1"/>
  <c r="J72" i="9" s="1"/>
  <c r="W25" i="9" a="1"/>
  <c r="W25" i="9" s="1"/>
  <c r="G63" i="9" a="1"/>
  <c r="G63" i="9" s="1"/>
  <c r="J56" i="9" a="1"/>
  <c r="J56" i="9" s="1"/>
  <c r="D88" i="9"/>
  <c r="S9" i="9" s="1" a="1"/>
  <c r="S9" i="9" s="1"/>
  <c r="B11" i="9"/>
  <c r="E11" i="9" s="1"/>
  <c r="L56" i="9"/>
  <c r="G97" i="9"/>
  <c r="V18" i="9" s="1" a="1"/>
  <c r="V18" i="9" s="1"/>
  <c r="I54" i="9" a="1"/>
  <c r="I54" i="9" s="1"/>
  <c r="I56" i="9" a="1"/>
  <c r="I56" i="9" s="1"/>
  <c r="H53" i="9" a="1"/>
  <c r="H53" i="9" s="1"/>
  <c r="L67" i="9"/>
  <c r="J103" i="9"/>
  <c r="Y24" i="9" s="1" a="1"/>
  <c r="Y24" i="9" s="1"/>
  <c r="J90" i="9"/>
  <c r="Y11" i="9" s="1" a="1"/>
  <c r="Y11" i="9" s="1"/>
  <c r="D95" i="9"/>
  <c r="S16" i="9" s="1" a="1"/>
  <c r="S16" i="9" s="1"/>
  <c r="H97" i="9"/>
  <c r="W18" i="9" s="1" a="1"/>
  <c r="W18" i="9" s="1"/>
  <c r="C87" i="9"/>
  <c r="R8" i="9" s="1" a="1"/>
  <c r="R8" i="9" s="1"/>
  <c r="I66" i="9" a="1"/>
  <c r="I66" i="9" s="1"/>
  <c r="H61" i="9" a="1"/>
  <c r="H61" i="9" s="1"/>
  <c r="H94" i="9"/>
  <c r="W15" i="9" s="1" a="1"/>
  <c r="W15" i="9" s="1"/>
  <c r="G91" i="9"/>
  <c r="L97" i="9"/>
  <c r="Z18" i="9" a="1"/>
  <c r="Z18" i="9" s="1"/>
  <c r="V27" i="9" a="1"/>
  <c r="V27" i="9" s="1"/>
  <c r="L89" i="9"/>
  <c r="C89" i="9"/>
  <c r="R10" i="9" s="1" a="1"/>
  <c r="R10" i="9" s="1"/>
  <c r="B12" i="9"/>
  <c r="E12" i="9" s="1"/>
  <c r="I100" i="9"/>
  <c r="X21" i="9" s="1" a="1"/>
  <c r="X21" i="9" s="1"/>
  <c r="J94" i="9"/>
  <c r="Y15" i="9" s="1" a="1"/>
  <c r="Y15" i="9" s="1"/>
  <c r="J97" i="9"/>
  <c r="Y18" i="9" s="1" a="1"/>
  <c r="Y18" i="9" s="1"/>
  <c r="B15" i="9"/>
  <c r="E15" i="9" s="1"/>
  <c r="Z7" i="9" a="1"/>
  <c r="Z7" i="9" s="1"/>
  <c r="Z19" i="9" a="1"/>
  <c r="Z19" i="9" s="1"/>
  <c r="U28" i="9" a="1"/>
  <c r="U28" i="9" s="1"/>
  <c r="J67" i="9" a="1"/>
  <c r="J67" i="9" s="1"/>
  <c r="T28" i="9" a="1"/>
  <c r="T28" i="9" s="1"/>
  <c r="F101" i="9"/>
  <c r="U22" i="9" s="1" a="1"/>
  <c r="U22" i="9" s="1"/>
  <c r="E97" i="9"/>
  <c r="T18" i="9" s="1" a="1"/>
  <c r="T18" i="9" s="1"/>
  <c r="C96" i="9"/>
  <c r="R17" i="9" s="1" a="1"/>
  <c r="R17" i="9" s="1"/>
  <c r="T26" i="9" a="1"/>
  <c r="T26" i="9" s="1"/>
  <c r="G103" i="9"/>
  <c r="L95" i="9"/>
  <c r="F90" i="9"/>
  <c r="U11" i="9" s="1" a="1"/>
  <c r="U11" i="9" s="1"/>
  <c r="I60" i="9" a="1"/>
  <c r="I60" i="9" s="1"/>
  <c r="U26" i="9" a="1"/>
  <c r="U26" i="9" s="1"/>
  <c r="L53" i="9"/>
  <c r="G62" i="9" a="1"/>
  <c r="G62" i="9" s="1"/>
  <c r="L71" i="9"/>
  <c r="B6" i="9"/>
  <c r="E6" i="9" s="1"/>
  <c r="D103" i="9"/>
  <c r="S24" i="9" s="1" a="1"/>
  <c r="S24" i="9" s="1"/>
  <c r="D85" i="9"/>
  <c r="S6" i="9" s="1" a="1"/>
  <c r="S6" i="9" s="1"/>
  <c r="Z20" i="9" a="1"/>
  <c r="Z20" i="9" s="1"/>
  <c r="G50" i="9" a="1"/>
  <c r="G50" i="9" s="1"/>
  <c r="F85" i="9"/>
  <c r="U6" i="9" s="1" a="1"/>
  <c r="U6" i="9" s="1"/>
  <c r="I97" i="9"/>
  <c r="X18" i="9" s="1" a="1"/>
  <c r="X18" i="9" s="1"/>
  <c r="G95" i="9"/>
  <c r="G65" i="9" a="1"/>
  <c r="G65" i="9" s="1"/>
  <c r="D92" i="9"/>
  <c r="S13" i="9" s="1" a="1"/>
  <c r="S13" i="9" s="1"/>
  <c r="H52" i="9" a="1"/>
  <c r="H52" i="9" s="1"/>
  <c r="X27" i="9" a="1"/>
  <c r="X27" i="9" s="1"/>
  <c r="I89" i="9"/>
  <c r="X10" i="9" s="1" a="1"/>
  <c r="X10" i="9" s="1"/>
  <c r="H58" i="9" a="1"/>
  <c r="H58" i="9" s="1"/>
  <c r="G102" i="9"/>
  <c r="I96" i="9"/>
  <c r="X17" i="9" s="1" a="1"/>
  <c r="X17" i="9" s="1"/>
  <c r="L66" i="9"/>
  <c r="J54" i="9" a="1"/>
  <c r="J54" i="9" s="1"/>
  <c r="G61" i="9" a="1"/>
  <c r="G61" i="9" s="1"/>
  <c r="D94" i="9"/>
  <c r="S15" i="9" s="1" a="1"/>
  <c r="S15" i="9" s="1"/>
  <c r="H99" i="9"/>
  <c r="W20" i="9" s="1" a="1"/>
  <c r="W20" i="9" s="1"/>
  <c r="H63" i="9" a="1"/>
  <c r="H63" i="9" s="1"/>
  <c r="E95" i="9"/>
  <c r="T16" i="9" s="1" a="1"/>
  <c r="T16" i="9" s="1"/>
  <c r="J55" i="9" a="1"/>
  <c r="J55" i="9" s="1"/>
  <c r="I102" i="9"/>
  <c r="X23" i="9" s="1" a="1"/>
  <c r="X23" i="9" s="1"/>
  <c r="I52" i="9" a="1"/>
  <c r="I52" i="9" s="1"/>
  <c r="C90" i="9"/>
  <c r="R11" i="9" s="1" a="1"/>
  <c r="R11" i="9" s="1"/>
  <c r="G58" i="9" a="1"/>
  <c r="G58" i="9" s="1"/>
  <c r="S26" i="9" a="1"/>
  <c r="S26" i="9" s="1"/>
  <c r="X26" i="9" a="1"/>
  <c r="X26" i="9" s="1"/>
  <c r="F97" i="9"/>
  <c r="U18" i="9" s="1" a="1"/>
  <c r="U18" i="9" s="1"/>
  <c r="Z9" i="9" a="1"/>
  <c r="Z9" i="9" s="1"/>
  <c r="J65" i="9" a="1"/>
  <c r="J65" i="9" s="1"/>
  <c r="L103" i="9"/>
  <c r="U25" i="9" a="1"/>
  <c r="U25" i="9" s="1"/>
  <c r="L62" i="9"/>
  <c r="H103" i="9"/>
  <c r="Z21" i="9" a="1"/>
  <c r="Z21" i="9" s="1"/>
  <c r="S25" i="9" a="1"/>
  <c r="S25" i="9" s="1"/>
  <c r="T27" i="9" a="1"/>
  <c r="T27" i="9" s="1"/>
  <c r="H56" i="9" a="1"/>
  <c r="H56" i="9" s="1"/>
  <c r="D101" i="9"/>
  <c r="S22" i="9" s="1" a="1"/>
  <c r="S22" i="9" s="1"/>
  <c r="I72" i="9" a="1"/>
  <c r="I72" i="9" s="1"/>
  <c r="G98" i="9"/>
  <c r="V19" i="9" s="1" a="1"/>
  <c r="V19" i="9" s="1"/>
  <c r="H101" i="9"/>
  <c r="W22" i="9" s="1" a="1"/>
  <c r="W22" i="9" s="1"/>
  <c r="I94" i="9"/>
  <c r="X15" i="9" s="1" a="1"/>
  <c r="X15" i="9" s="1"/>
  <c r="C91" i="9"/>
  <c r="R12" i="9" s="1" a="1"/>
  <c r="R12" i="9" s="1"/>
  <c r="L93" i="9"/>
  <c r="L58" i="9"/>
  <c r="J89" i="9"/>
  <c r="Y10" i="9" s="1" a="1"/>
  <c r="Y10" i="9" s="1"/>
  <c r="I55" i="9" a="1"/>
  <c r="I55" i="9" s="1"/>
  <c r="I91" i="9"/>
  <c r="X12" i="9" s="1" a="1"/>
  <c r="X12" i="9" s="1"/>
  <c r="G92" i="9"/>
  <c r="V13" i="9" s="1" a="1"/>
  <c r="V13" i="9" s="1"/>
  <c r="I65" i="9" a="1"/>
  <c r="I65" i="9" s="1"/>
  <c r="H93" i="9"/>
  <c r="W14" i="9" s="1" a="1"/>
  <c r="W14" i="9" s="1"/>
  <c r="Z13" i="9" a="1"/>
  <c r="Z13" i="9" s="1"/>
  <c r="J85" i="9"/>
  <c r="Y6" i="9" s="1" a="1"/>
  <c r="Y6" i="9" s="1"/>
  <c r="E96" i="9"/>
  <c r="T17" i="9" s="1" a="1"/>
  <c r="T17" i="9" s="1"/>
  <c r="G96" i="9"/>
  <c r="I71" i="9" a="1"/>
  <c r="I71" i="9" s="1"/>
  <c r="G94" i="9"/>
  <c r="I58" i="9" a="1"/>
  <c r="I58" i="9" s="1"/>
  <c r="E101" i="9"/>
  <c r="T22" i="9" s="1" a="1"/>
  <c r="T22" i="9" s="1"/>
  <c r="J86" i="9"/>
  <c r="Y7" i="9" s="1" a="1"/>
  <c r="Y7" i="9" s="1"/>
  <c r="I93" i="9"/>
  <c r="X14" i="9" s="1" a="1"/>
  <c r="X14" i="9" s="1"/>
  <c r="J92" i="9"/>
  <c r="Y13" i="9" s="1" a="1"/>
  <c r="Y13" i="9" s="1"/>
  <c r="L51" i="9"/>
  <c r="G99" i="9"/>
  <c r="V20" i="9" s="1" a="1"/>
  <c r="V20" i="9" s="1"/>
  <c r="L85" i="9"/>
  <c r="E88" i="9"/>
  <c r="T9" i="9" s="1" a="1"/>
  <c r="T9" i="9" s="1"/>
  <c r="J100" i="9"/>
  <c r="Y21" i="9" s="1" a="1"/>
  <c r="Y21" i="9" s="1"/>
  <c r="D89" i="9"/>
  <c r="S10" i="9" s="1" a="1"/>
  <c r="S10" i="9" s="1"/>
  <c r="C102" i="9"/>
  <c r="R23" i="9" s="1" a="1"/>
  <c r="R23" i="9" s="1"/>
  <c r="F99" i="9"/>
  <c r="U20" i="9" s="1" a="1"/>
  <c r="U20" i="9" s="1"/>
  <c r="C98" i="9"/>
  <c r="R19" i="9" s="1" a="1"/>
  <c r="R19" i="9" s="1"/>
  <c r="I62" i="9" a="1"/>
  <c r="I62" i="9" s="1"/>
  <c r="E93" i="9"/>
  <c r="T14" i="9" s="1" a="1"/>
  <c r="T14" i="9" s="1"/>
  <c r="I61" i="9" a="1"/>
  <c r="I61" i="9" s="1"/>
  <c r="I101" i="9"/>
  <c r="X22" i="9" s="1" a="1"/>
  <c r="X22" i="9" s="1"/>
  <c r="F91" i="9"/>
  <c r="U12" i="9" s="1" a="1"/>
  <c r="U12" i="9" s="1"/>
  <c r="F86" i="9"/>
  <c r="U7" i="9" s="1" a="1"/>
  <c r="U7" i="9" s="1"/>
  <c r="R28" i="9" a="1"/>
  <c r="R28" i="9" s="1"/>
  <c r="J53" i="9" a="1"/>
  <c r="J53" i="9" s="1"/>
  <c r="L52" i="9"/>
  <c r="F100" i="9"/>
  <c r="U21" i="9" s="1" a="1"/>
  <c r="U21" i="9" s="1"/>
  <c r="J96" i="9"/>
  <c r="Y17" i="9" s="1" a="1"/>
  <c r="Y17" i="9" s="1"/>
  <c r="D98" i="9"/>
  <c r="S19" i="9" s="1" a="1"/>
  <c r="S19" i="9" s="1"/>
  <c r="H57" i="9" a="1"/>
  <c r="H57" i="9" s="1"/>
  <c r="T25" i="9" a="1"/>
  <c r="T25" i="9" s="1"/>
  <c r="F87" i="9"/>
  <c r="U8" i="9" s="1" a="1"/>
  <c r="U8" i="9" s="1"/>
  <c r="F89" i="9"/>
  <c r="U10" i="9" s="1" a="1"/>
  <c r="U10" i="9" s="1"/>
  <c r="I50" i="9" a="1"/>
  <c r="I50" i="9" s="1"/>
  <c r="J98" i="9"/>
  <c r="Y19" i="9" s="1" a="1"/>
  <c r="Y19" i="9" s="1"/>
  <c r="Z10" i="9" a="1"/>
  <c r="Z10" i="9" s="1"/>
  <c r="H62" i="9" a="1"/>
  <c r="H62" i="9" s="1"/>
  <c r="E99" i="9"/>
  <c r="T20" i="9" s="1" a="1"/>
  <c r="T20" i="9" s="1"/>
  <c r="L91" i="9"/>
  <c r="R27" i="9" a="1"/>
  <c r="R27" i="9" s="1"/>
  <c r="L68" i="9"/>
  <c r="B10" i="9"/>
  <c r="E10" i="9" s="1"/>
  <c r="D96" i="9"/>
  <c r="S17" i="9" s="1" a="1"/>
  <c r="S17" i="9" s="1"/>
  <c r="C100" i="9"/>
  <c r="R21" i="9" s="1" a="1"/>
  <c r="R21" i="9" s="1"/>
  <c r="G86" i="9"/>
  <c r="I88" i="9"/>
  <c r="X9" i="9" s="1" a="1"/>
  <c r="X9" i="9" s="1"/>
  <c r="H91" i="9"/>
  <c r="W12" i="9" s="1" a="1"/>
  <c r="W12" i="9" s="1"/>
  <c r="D86" i="9"/>
  <c r="S7" i="9" s="1" a="1"/>
  <c r="S7" i="9" s="1"/>
  <c r="J68" i="9" a="1"/>
  <c r="J68" i="9" s="1"/>
  <c r="J102" i="9"/>
  <c r="Y23" i="9" s="1" a="1"/>
  <c r="Y23" i="9" s="1"/>
  <c r="I90" i="9"/>
  <c r="X11" i="9" s="1" a="1"/>
  <c r="X11" i="9" s="1"/>
  <c r="L69" i="9"/>
  <c r="G88" i="9"/>
  <c r="H55" i="9" a="1"/>
  <c r="H55" i="9" s="1"/>
  <c r="D97" i="9"/>
  <c r="S18" i="9" s="1" a="1"/>
  <c r="S18" i="9" s="1"/>
  <c r="B18" i="9"/>
  <c r="E18" i="9" s="1"/>
  <c r="F88" i="9"/>
  <c r="U9" i="9" s="1" a="1"/>
  <c r="U9" i="9" s="1"/>
  <c r="H70" i="9" a="1"/>
  <c r="H70" i="9" s="1"/>
  <c r="G93" i="9"/>
  <c r="V14" i="9" s="1" a="1"/>
  <c r="V14" i="9" s="1"/>
  <c r="J101" i="9"/>
  <c r="Y22" i="9" s="1" a="1"/>
  <c r="Y22" i="9" s="1"/>
  <c r="E85" i="9"/>
  <c r="T6" i="9" s="1" a="1"/>
  <c r="T6" i="9" s="1"/>
  <c r="Z15" i="9" a="1"/>
  <c r="Z15" i="9" s="1"/>
  <c r="Z22" i="9" a="1"/>
  <c r="Z22" i="9" s="1"/>
  <c r="Z11" i="9" a="1"/>
  <c r="Z11" i="9" s="1"/>
  <c r="A4" i="20"/>
  <c r="A21" i="21"/>
  <c r="B21" i="21" s="1"/>
  <c r="A20" i="21"/>
  <c r="B20" i="21" s="1"/>
  <c r="C12" i="10"/>
  <c r="E57" i="7"/>
  <c r="C5" i="8"/>
  <c r="F383" i="17"/>
  <c r="H166" i="1"/>
  <c r="H181" i="1"/>
  <c r="G7" i="2"/>
  <c r="H83" i="1"/>
  <c r="G33" i="2"/>
  <c r="H125" i="1" s="1"/>
  <c r="G19" i="2"/>
  <c r="H103" i="1"/>
  <c r="H49" i="2"/>
  <c r="I49" i="2" s="1"/>
  <c r="D49" i="2" s="1"/>
  <c r="H71" i="2"/>
  <c r="I71" i="2" s="1"/>
  <c r="D71" i="2" s="1"/>
  <c r="H67" i="2"/>
  <c r="I67" i="2" s="1"/>
  <c r="D67" i="2" s="1"/>
  <c r="G21" i="2"/>
  <c r="H117" i="1" s="1"/>
  <c r="G36" i="2"/>
  <c r="H135" i="1" s="1"/>
  <c r="H7" i="2"/>
  <c r="I7" i="2" s="1"/>
  <c r="D7" i="2" s="1"/>
  <c r="H37" i="2"/>
  <c r="I37" i="2" s="1"/>
  <c r="D37" i="2" s="1"/>
  <c r="H58" i="2"/>
  <c r="I58" i="2" s="1"/>
  <c r="D58" i="2" s="1"/>
  <c r="A6" i="21"/>
  <c r="B6" i="21" s="1"/>
  <c r="AB25" i="9"/>
  <c r="B22" i="20" s="1"/>
  <c r="A13" i="20"/>
  <c r="A9" i="21"/>
  <c r="B9" i="21" s="1"/>
  <c r="A6" i="20"/>
  <c r="X29" i="9" a="1"/>
  <c r="X29" i="9" s="1"/>
  <c r="W29" i="9" a="1"/>
  <c r="W29" i="9" s="1"/>
  <c r="S29" i="9" a="1"/>
  <c r="S29" i="9" s="1"/>
  <c r="H73" i="9" a="1"/>
  <c r="H73" i="9" s="1"/>
  <c r="U29" i="9" a="1"/>
  <c r="U29" i="9" s="1"/>
  <c r="V29" i="9" a="1"/>
  <c r="V29" i="9" s="1"/>
  <c r="T29" i="9" a="1"/>
  <c r="T29" i="9" s="1"/>
  <c r="G73" i="9" a="1"/>
  <c r="G73" i="9" s="1"/>
  <c r="Z29" i="9" a="1"/>
  <c r="Z29" i="9" s="1"/>
  <c r="L73" i="9"/>
  <c r="G16" i="2"/>
  <c r="H139" i="1" s="1"/>
  <c r="G32" i="2"/>
  <c r="H124" i="1" s="1"/>
  <c r="G62" i="2"/>
  <c r="H184" i="1"/>
  <c r="H64" i="2"/>
  <c r="I64" i="2" s="1"/>
  <c r="D64" i="2" s="1"/>
  <c r="G11" i="2"/>
  <c r="H91" i="1" s="1"/>
  <c r="G27" i="2"/>
  <c r="H116" i="1" s="1"/>
  <c r="G39" i="2"/>
  <c r="H141" i="1" s="1"/>
  <c r="G24" i="2"/>
  <c r="H169" i="1"/>
  <c r="G59" i="2"/>
  <c r="G42" i="2"/>
  <c r="H144" i="1" s="1"/>
  <c r="G69" i="2"/>
  <c r="H202" i="1" s="1"/>
  <c r="E5" i="9"/>
  <c r="A11" i="21"/>
  <c r="B11" i="21" s="1"/>
  <c r="A15" i="21"/>
  <c r="B15" i="21" s="1"/>
  <c r="A15" i="20"/>
  <c r="AB19" i="9"/>
  <c r="B16" i="20" s="1"/>
  <c r="B49" i="9"/>
  <c r="F49" i="9" s="1" a="1"/>
  <c r="F49" i="9" s="1"/>
  <c r="V28" i="9" a="1"/>
  <c r="V28" i="9" s="1"/>
  <c r="G72" i="9" a="1"/>
  <c r="G72" i="9" s="1"/>
  <c r="I161" i="1"/>
  <c r="J161" i="1" s="1" a="1"/>
  <c r="J161" i="1" s="1"/>
  <c r="H85" i="1"/>
  <c r="H86" i="1"/>
  <c r="H88" i="1"/>
  <c r="H87" i="1"/>
  <c r="H189" i="1"/>
  <c r="H186" i="1"/>
  <c r="G47" i="2"/>
  <c r="H150" i="1" s="1"/>
  <c r="G56" i="2"/>
  <c r="H195" i="1" s="1"/>
  <c r="H54" i="2"/>
  <c r="I54" i="2" s="1"/>
  <c r="D54" i="2" s="1"/>
  <c r="H12" i="2"/>
  <c r="I12" i="2" s="1"/>
  <c r="D12" i="2" s="1"/>
  <c r="Z27" i="9" a="1"/>
  <c r="Z27" i="9" s="1"/>
  <c r="L54" i="9"/>
  <c r="B13" i="9"/>
  <c r="C13" i="9" s="1"/>
  <c r="B16" i="9"/>
  <c r="E16" i="9" s="1"/>
  <c r="C103" i="9"/>
  <c r="R24" i="9" s="1" a="1"/>
  <c r="R24" i="9" s="1"/>
  <c r="I73" i="9" a="1"/>
  <c r="I73" i="9" s="1"/>
  <c r="J73" i="9" a="1"/>
  <c r="J73" i="9" s="1"/>
  <c r="Z26" i="9" a="1"/>
  <c r="Z26" i="9" s="1"/>
  <c r="I70" i="9" a="1"/>
  <c r="I70" i="9" s="1"/>
  <c r="J61" i="9" a="1"/>
  <c r="J61" i="9" s="1"/>
  <c r="R29" i="9" a="1"/>
  <c r="R29" i="9" s="1"/>
  <c r="I67" i="9" a="1"/>
  <c r="I67" i="9" s="1"/>
  <c r="F103" i="9"/>
  <c r="U24" i="9" s="1" a="1"/>
  <c r="U24" i="9" s="1"/>
  <c r="Z14" i="9" a="1"/>
  <c r="Z14" i="9" s="1"/>
  <c r="C94" i="9"/>
  <c r="R15" i="9" s="1" a="1"/>
  <c r="R15" i="9" s="1"/>
  <c r="K6" i="6"/>
  <c r="C4" i="8"/>
  <c r="G54" i="6"/>
  <c r="N7" i="17"/>
  <c r="C19" i="10"/>
  <c r="K5" i="17"/>
  <c r="K6" i="17"/>
  <c r="G20" i="15"/>
  <c r="D38" i="18"/>
  <c r="C11" i="8"/>
  <c r="D37" i="14"/>
  <c r="C10" i="8"/>
  <c r="I54" i="6"/>
  <c r="C43" i="12"/>
  <c r="J37" i="14"/>
  <c r="C12" i="8"/>
  <c r="I37" i="12"/>
  <c r="E38" i="18"/>
  <c r="H18" i="7"/>
  <c r="H20" i="15"/>
  <c r="H54" i="6"/>
  <c r="H203" i="1"/>
  <c r="H157" i="1"/>
  <c r="H216" i="1"/>
  <c r="H175" i="1"/>
  <c r="E3" i="9"/>
  <c r="C15" i="9"/>
  <c r="E14" i="9"/>
  <c r="C18" i="9"/>
  <c r="H188" i="1"/>
  <c r="H109" i="1"/>
  <c r="H110" i="1"/>
  <c r="H187" i="1"/>
  <c r="H178" i="1"/>
  <c r="H190" i="1"/>
  <c r="H201" i="1"/>
  <c r="H193" i="1"/>
  <c r="J84" i="9"/>
  <c r="B2" i="9"/>
  <c r="E2" i="9" s="1"/>
  <c r="H177" i="1"/>
  <c r="C14" i="8"/>
  <c r="C4" i="10"/>
  <c r="C15" i="10"/>
  <c r="C17" i="10"/>
  <c r="P7" i="17"/>
  <c r="F38" i="18"/>
  <c r="C2" i="2"/>
  <c r="H97" i="1" l="1"/>
  <c r="H138" i="1"/>
  <c r="H192" i="1"/>
  <c r="H194" i="1"/>
  <c r="H60" i="2"/>
  <c r="I60" i="2" s="1"/>
  <c r="D60" i="2" s="1"/>
  <c r="G52" i="2"/>
  <c r="H158" i="1" s="1"/>
  <c r="G66" i="2"/>
  <c r="H198" i="1" s="1"/>
  <c r="G72" i="2"/>
  <c r="H209" i="1" s="1"/>
  <c r="H140" i="1"/>
  <c r="G22" i="2"/>
  <c r="H106" i="1" s="1"/>
  <c r="G30" i="2"/>
  <c r="H127" i="1" s="1"/>
  <c r="G70" i="2"/>
  <c r="G40" i="2"/>
  <c r="H142" i="1" s="1"/>
  <c r="G80" i="2"/>
  <c r="H222" i="1" s="1"/>
  <c r="G43" i="2"/>
  <c r="H145" i="1" s="1"/>
  <c r="G5" i="2"/>
  <c r="H98" i="1" s="1"/>
  <c r="G45" i="2"/>
  <c r="G68" i="2"/>
  <c r="H200" i="1" s="1"/>
  <c r="H226" i="1"/>
  <c r="H57" i="2"/>
  <c r="I57" i="2" s="1"/>
  <c r="D57" i="2" s="1"/>
  <c r="G10" i="2"/>
  <c r="H90" i="1" s="1"/>
  <c r="G54" i="2"/>
  <c r="H165" i="1" s="1"/>
  <c r="H225" i="1"/>
  <c r="G20" i="2"/>
  <c r="H104" i="1" s="1"/>
  <c r="G14" i="2"/>
  <c r="H154" i="1"/>
  <c r="H147" i="1"/>
  <c r="H172" i="1"/>
  <c r="H155" i="1"/>
  <c r="H161" i="1"/>
  <c r="G63" i="2"/>
  <c r="H185" i="1" s="1"/>
  <c r="G53" i="2"/>
  <c r="H159" i="1"/>
  <c r="G67" i="2"/>
  <c r="H199" i="1" s="1"/>
  <c r="H30" i="2"/>
  <c r="I30" i="2" s="1"/>
  <c r="D30" i="2" s="1"/>
  <c r="G38" i="2"/>
  <c r="H164" i="1" s="1"/>
  <c r="H99" i="1"/>
  <c r="G25" i="2"/>
  <c r="H111" i="1" s="1"/>
  <c r="G41" i="2"/>
  <c r="H160" i="1" s="1"/>
  <c r="G78" i="2"/>
  <c r="H219" i="1" s="1"/>
  <c r="G58" i="2"/>
  <c r="H197" i="1" s="1"/>
  <c r="G77" i="2"/>
  <c r="H218" i="1" s="1"/>
  <c r="H94" i="1"/>
  <c r="G31" i="2"/>
  <c r="G6" i="2"/>
  <c r="G71" i="2"/>
  <c r="H208" i="1" s="1"/>
  <c r="G26" i="2"/>
  <c r="G28" i="2"/>
  <c r="G75" i="2"/>
  <c r="H212" i="1" s="1"/>
  <c r="G79" i="2"/>
  <c r="H221" i="1" s="1"/>
  <c r="H45" i="2"/>
  <c r="I45" i="2" s="1"/>
  <c r="D45" i="2" s="1"/>
  <c r="W27" i="9" a="1"/>
  <c r="W27" i="9" s="1"/>
  <c r="V24" i="9" a="1"/>
  <c r="V24" i="9" s="1"/>
  <c r="H137" i="1"/>
  <c r="H100" i="1"/>
  <c r="H152" i="1"/>
  <c r="H96" i="1"/>
  <c r="H162" i="1"/>
  <c r="H170" i="1"/>
  <c r="H179" i="1"/>
  <c r="H182" i="1"/>
  <c r="H204" i="1"/>
  <c r="H173" i="1"/>
  <c r="H114" i="1"/>
  <c r="H115" i="1"/>
  <c r="H205" i="1"/>
  <c r="H206" i="1"/>
  <c r="H122" i="1"/>
  <c r="H118" i="1"/>
  <c r="H167" i="1"/>
  <c r="H92" i="1"/>
  <c r="G35" i="2"/>
  <c r="G9" i="2"/>
  <c r="H89" i="1" s="1"/>
  <c r="G44" i="2"/>
  <c r="H68" i="2"/>
  <c r="I68" i="2" s="1"/>
  <c r="D68" i="2" s="1"/>
  <c r="H107" i="1"/>
  <c r="G4" i="2"/>
  <c r="H176" i="1"/>
  <c r="H77" i="2"/>
  <c r="I77" i="2" s="1"/>
  <c r="D77" i="2" s="1"/>
  <c r="H148" i="1"/>
  <c r="H112" i="1"/>
  <c r="G76" i="2"/>
  <c r="H213" i="1" s="1"/>
  <c r="H108" i="1"/>
  <c r="H207" i="1"/>
  <c r="H126" i="1"/>
  <c r="H105" i="1"/>
  <c r="H217" i="1"/>
  <c r="H121" i="1"/>
  <c r="A5" i="20"/>
  <c r="C4" i="9"/>
  <c r="AB20" i="9"/>
  <c r="B17" i="20" s="1"/>
  <c r="A4" i="21"/>
  <c r="B4" i="21" s="1"/>
  <c r="A25" i="20"/>
  <c r="AB13" i="9"/>
  <c r="B10" i="20" s="1"/>
  <c r="A24" i="20"/>
  <c r="A12" i="21"/>
  <c r="B12" i="21" s="1"/>
  <c r="A11" i="20"/>
  <c r="AB27" i="9"/>
  <c r="B24" i="20" s="1"/>
  <c r="A20" i="20"/>
  <c r="G55" i="9" a="1"/>
  <c r="G55" i="9" s="1"/>
  <c r="K55" i="9" s="1"/>
  <c r="M55" i="9" s="1"/>
  <c r="AB11" i="9"/>
  <c r="B8" i="20" s="1"/>
  <c r="E8" i="9"/>
  <c r="V11" i="9" a="1"/>
  <c r="V11" i="9" s="1"/>
  <c r="AA11" i="9" s="1"/>
  <c r="AC11" i="9" s="1"/>
  <c r="C8" i="20" s="1"/>
  <c r="A3" i="21"/>
  <c r="B3" i="21" s="1"/>
  <c r="A5" i="21"/>
  <c r="B5" i="21" s="1"/>
  <c r="AB24" i="9"/>
  <c r="B21" i="20" s="1"/>
  <c r="C17" i="9"/>
  <c r="AB17" i="9"/>
  <c r="B14" i="20" s="1"/>
  <c r="AB23" i="9"/>
  <c r="B20" i="20" s="1"/>
  <c r="A16" i="21"/>
  <c r="B16" i="21" s="1"/>
  <c r="AB29" i="9"/>
  <c r="B26" i="20" s="1"/>
  <c r="AB6" i="9"/>
  <c r="B3" i="20" s="1"/>
  <c r="A26" i="20"/>
  <c r="A17" i="20"/>
  <c r="K95" i="9"/>
  <c r="M95" i="9" s="1"/>
  <c r="AB16" i="9"/>
  <c r="B13" i="20" s="1"/>
  <c r="A22" i="20"/>
  <c r="A9" i="20"/>
  <c r="A21" i="20"/>
  <c r="D84" i="9"/>
  <c r="G59" i="9" a="1"/>
  <c r="G59" i="9" s="1"/>
  <c r="K59" i="9" s="1"/>
  <c r="M59" i="9" s="1"/>
  <c r="A8" i="21"/>
  <c r="B8" i="21" s="1"/>
  <c r="A10" i="21"/>
  <c r="B10" i="21" s="1"/>
  <c r="A8" i="20"/>
  <c r="A10" i="20"/>
  <c r="AB22" i="9"/>
  <c r="B19" i="20" s="1"/>
  <c r="AB21" i="9"/>
  <c r="B18" i="20" s="1"/>
  <c r="AB7" i="9"/>
  <c r="B4" i="20" s="1"/>
  <c r="A3" i="20"/>
  <c r="A7" i="20"/>
  <c r="E9" i="9"/>
  <c r="A18" i="21"/>
  <c r="B18" i="21" s="1"/>
  <c r="A14" i="20"/>
  <c r="AB12" i="9"/>
  <c r="B9" i="20" s="1"/>
  <c r="J49" i="9" a="1"/>
  <c r="J49" i="9" s="1"/>
  <c r="A22" i="21"/>
  <c r="B22" i="21" s="1"/>
  <c r="G56" i="9" a="1"/>
  <c r="G56" i="9" s="1"/>
  <c r="K56" i="9" s="1"/>
  <c r="M56" i="9" s="1"/>
  <c r="AB9" i="9"/>
  <c r="B6" i="20" s="1"/>
  <c r="G84" i="9"/>
  <c r="A12" i="20"/>
  <c r="A7" i="21"/>
  <c r="B7" i="21" s="1"/>
  <c r="A16" i="20"/>
  <c r="AB14" i="9"/>
  <c r="B11" i="20" s="1"/>
  <c r="AB10" i="9"/>
  <c r="B7" i="20" s="1"/>
  <c r="E84" i="9"/>
  <c r="T5" i="9" s="1" a="1"/>
  <c r="T5" i="9" s="1"/>
  <c r="AB28" i="9"/>
  <c r="B25" i="20" s="1"/>
  <c r="A19" i="21"/>
  <c r="B19" i="21" s="1"/>
  <c r="A13" i="21"/>
  <c r="B13" i="21" s="1"/>
  <c r="C10" i="9"/>
  <c r="C11" i="9"/>
  <c r="K100" i="9"/>
  <c r="M100" i="9" s="1"/>
  <c r="Q5" i="9"/>
  <c r="A2" i="21" s="1"/>
  <c r="B2" i="21" s="1"/>
  <c r="A17" i="21"/>
  <c r="B17" i="21" s="1"/>
  <c r="A18" i="20"/>
  <c r="A19" i="20"/>
  <c r="A23" i="20"/>
  <c r="AB26" i="9"/>
  <c r="B23" i="20" s="1"/>
  <c r="AB8" i="9"/>
  <c r="B5" i="20" s="1"/>
  <c r="H65" i="9" a="1"/>
  <c r="H65" i="9" s="1"/>
  <c r="K65" i="9" s="1"/>
  <c r="M65" i="9" s="1"/>
  <c r="K96" i="9"/>
  <c r="M96" i="9" s="1"/>
  <c r="C6" i="9"/>
  <c r="E7" i="9" a="1"/>
  <c r="E7" i="9" s="1"/>
  <c r="AA35" i="9"/>
  <c r="AC35" i="9" s="1"/>
  <c r="K102" i="9"/>
  <c r="M102" i="9" s="1"/>
  <c r="K90" i="9"/>
  <c r="M90" i="9" s="1"/>
  <c r="K98" i="9"/>
  <c r="M98" i="9" s="1"/>
  <c r="G70" i="9" a="1"/>
  <c r="G70" i="9" s="1"/>
  <c r="K70" i="9" s="1"/>
  <c r="M70" i="9" s="1"/>
  <c r="V10" i="9" a="1"/>
  <c r="V10" i="9" s="1"/>
  <c r="AA10" i="9" s="1"/>
  <c r="AC10" i="9" s="1"/>
  <c r="C7" i="20" s="1"/>
  <c r="E13" i="9"/>
  <c r="I84" i="9"/>
  <c r="X5" i="9" s="1" a="1"/>
  <c r="X5" i="9" s="1"/>
  <c r="F84" i="9"/>
  <c r="U5" i="9" s="1" a="1"/>
  <c r="U5" i="9" s="1"/>
  <c r="K85" i="9"/>
  <c r="M85" i="9" s="1"/>
  <c r="H84" i="9"/>
  <c r="W5" i="9" s="1" a="1"/>
  <c r="W5" i="9" s="1"/>
  <c r="K91" i="9"/>
  <c r="M91" i="9" s="1"/>
  <c r="K97" i="9"/>
  <c r="M97" i="9" s="1"/>
  <c r="L49" i="9"/>
  <c r="C14" i="19" a="1"/>
  <c r="C14" i="19" s="1"/>
  <c r="C12" i="9"/>
  <c r="K94" i="9"/>
  <c r="M94" i="9" s="1"/>
  <c r="K76" i="9"/>
  <c r="M76" i="9" s="1"/>
  <c r="AA8" i="9"/>
  <c r="G51" i="9" a="1"/>
  <c r="G51" i="9" s="1"/>
  <c r="K78" i="9"/>
  <c r="M78" i="9" s="1"/>
  <c r="H60" i="9" a="1"/>
  <c r="H60" i="9" s="1"/>
  <c r="W24" i="9" a="1"/>
  <c r="W24" i="9" s="1"/>
  <c r="K71" i="9"/>
  <c r="M71" i="9" s="1"/>
  <c r="W21" i="9" a="1"/>
  <c r="W21" i="9" s="1"/>
  <c r="AA21" i="9" s="1"/>
  <c r="AC21" i="9" s="1"/>
  <c r="C18" i="20" s="1"/>
  <c r="G49" i="9" a="1"/>
  <c r="G49" i="9" s="1"/>
  <c r="K53" i="9"/>
  <c r="M53" i="9" s="1"/>
  <c r="G60" i="9" a="1"/>
  <c r="G60" i="9" s="1"/>
  <c r="V16" i="9" a="1"/>
  <c r="V16" i="9" s="1"/>
  <c r="K92" i="9"/>
  <c r="M92" i="9" s="1"/>
  <c r="V17" i="9" a="1"/>
  <c r="V17" i="9" s="1"/>
  <c r="AA17" i="9" s="1"/>
  <c r="AC17" i="9" s="1"/>
  <c r="C14" i="20" s="1"/>
  <c r="AA31" i="9"/>
  <c r="AC31" i="9" s="1"/>
  <c r="C28" i="20" s="1"/>
  <c r="V15" i="9" a="1"/>
  <c r="V15" i="9" s="1"/>
  <c r="AA15" i="9" s="1"/>
  <c r="K64" i="9"/>
  <c r="M64" i="9" s="1"/>
  <c r="Y5" i="9" a="1"/>
  <c r="Y5" i="9" s="1"/>
  <c r="D12" i="19" a="1"/>
  <c r="D12" i="19" s="1"/>
  <c r="K99" i="9"/>
  <c r="M99" i="9" s="1"/>
  <c r="K103" i="9"/>
  <c r="M103" i="9" s="1"/>
  <c r="K87" i="9"/>
  <c r="M87" i="9" s="1"/>
  <c r="K73" i="9"/>
  <c r="M73" i="9" s="1"/>
  <c r="K61" i="9"/>
  <c r="M61" i="9" s="1"/>
  <c r="A2" i="20"/>
  <c r="Z24" i="9" a="1"/>
  <c r="Z24" i="9" s="1"/>
  <c r="C2" i="9"/>
  <c r="D10" i="19" a="1"/>
  <c r="D10" i="19" s="1"/>
  <c r="E49" i="9" a="1"/>
  <c r="E49" i="9" s="1"/>
  <c r="D49" i="9" a="1"/>
  <c r="D49" i="9" s="1"/>
  <c r="D14" i="19" a="1"/>
  <c r="D14" i="19" s="1"/>
  <c r="K72" i="9"/>
  <c r="M72" i="9" s="1"/>
  <c r="K75" i="9"/>
  <c r="M75" i="9" s="1"/>
  <c r="AA26" i="9"/>
  <c r="I49" i="9" a="1"/>
  <c r="I49" i="9" s="1"/>
  <c r="K93" i="9"/>
  <c r="M93" i="9" s="1"/>
  <c r="K88" i="9"/>
  <c r="M88" i="9" s="1"/>
  <c r="AA19" i="9"/>
  <c r="AC19" i="9" s="1"/>
  <c r="C16" i="20" s="1"/>
  <c r="K101" i="9"/>
  <c r="M101" i="9" s="1"/>
  <c r="K89" i="9"/>
  <c r="M89" i="9" s="1"/>
  <c r="S5" i="9" a="1"/>
  <c r="S5" i="9" s="1"/>
  <c r="H68" i="9" a="1"/>
  <c r="H68" i="9" s="1"/>
  <c r="K68" i="9" s="1"/>
  <c r="M68" i="9" s="1"/>
  <c r="K77" i="9"/>
  <c r="M77" i="9" s="1"/>
  <c r="K57" i="9"/>
  <c r="M57" i="9" s="1"/>
  <c r="AA32" i="9"/>
  <c r="AC32" i="9" s="1"/>
  <c r="K62" i="9"/>
  <c r="M62" i="9" s="1"/>
  <c r="AA18" i="9"/>
  <c r="AA28" i="9"/>
  <c r="K63" i="9"/>
  <c r="M63" i="9" s="1"/>
  <c r="AA14" i="9"/>
  <c r="K52" i="9"/>
  <c r="M52" i="9" s="1"/>
  <c r="AA20" i="9"/>
  <c r="AC20" i="9" s="1"/>
  <c r="C17" i="20" s="1"/>
  <c r="AA13" i="9"/>
  <c r="AC13" i="9" s="1"/>
  <c r="C10" i="20" s="1"/>
  <c r="K58" i="9"/>
  <c r="M58" i="9" s="1"/>
  <c r="AA30" i="9"/>
  <c r="AC30" i="9" s="1"/>
  <c r="C27" i="20" s="1"/>
  <c r="AA27" i="9"/>
  <c r="AC27" i="9" s="1"/>
  <c r="C24" i="20" s="1"/>
  <c r="G67" i="9" a="1"/>
  <c r="G67" i="9" s="1"/>
  <c r="K67" i="9" s="1"/>
  <c r="M67" i="9" s="1"/>
  <c r="V23" i="9" a="1"/>
  <c r="V23" i="9" s="1"/>
  <c r="AA23" i="9" s="1"/>
  <c r="AC23" i="9" s="1"/>
  <c r="C20" i="20" s="1"/>
  <c r="AA22" i="9"/>
  <c r="AC22" i="9" s="1"/>
  <c r="C19" i="20" s="1"/>
  <c r="H50" i="9" a="1"/>
  <c r="H50" i="9" s="1"/>
  <c r="K50" i="9" s="1"/>
  <c r="M50" i="9" s="1"/>
  <c r="J227" i="1" a="1"/>
  <c r="J227" i="1" s="1"/>
  <c r="K227" i="1"/>
  <c r="AA29" i="9"/>
  <c r="D8" i="19" a="1"/>
  <c r="D8" i="19" s="1"/>
  <c r="G69" i="9" a="1"/>
  <c r="G69" i="9" s="1"/>
  <c r="K69" i="9" s="1"/>
  <c r="M69" i="9" s="1"/>
  <c r="V25" i="9" a="1"/>
  <c r="V25" i="9" s="1"/>
  <c r="AA25" i="9" s="1"/>
  <c r="AC25" i="9" s="1"/>
  <c r="C22" i="20" s="1"/>
  <c r="W7" i="9" a="1"/>
  <c r="W7" i="9" s="1"/>
  <c r="H51" i="9" a="1"/>
  <c r="H51" i="9" s="1"/>
  <c r="G54" i="9" a="1"/>
  <c r="G54" i="9" s="1"/>
  <c r="K54" i="9" s="1"/>
  <c r="M54" i="9" s="1"/>
  <c r="K66" i="9"/>
  <c r="M66" i="9" s="1"/>
  <c r="V9" i="9" a="1"/>
  <c r="V9" i="9" s="1"/>
  <c r="AA9" i="9" s="1"/>
  <c r="AC9" i="9" s="1"/>
  <c r="C6" i="20" s="1"/>
  <c r="AA33" i="9"/>
  <c r="AC33" i="9" s="1"/>
  <c r="AB18" i="9"/>
  <c r="B15" i="20" s="1"/>
  <c r="AB15" i="9"/>
  <c r="B12" i="20" s="1"/>
  <c r="W6" i="9" a="1"/>
  <c r="W6" i="9" s="1"/>
  <c r="AA6" i="9" s="1"/>
  <c r="AC6" i="9" s="1"/>
  <c r="C3" i="20" s="1"/>
  <c r="I227" i="1" a="1"/>
  <c r="I227" i="1" s="1"/>
  <c r="V7" i="9" a="1"/>
  <c r="V7" i="9" s="1"/>
  <c r="C12" i="19" a="1"/>
  <c r="C12" i="19" s="1"/>
  <c r="C49" i="9" a="1"/>
  <c r="C49" i="9" s="1"/>
  <c r="K86" i="9"/>
  <c r="M86" i="9" s="1"/>
  <c r="V12" i="9" a="1"/>
  <c r="V12" i="9" s="1"/>
  <c r="AA12" i="9" s="1"/>
  <c r="AC12" i="9" s="1"/>
  <c r="C9" i="20" s="1"/>
  <c r="K74" i="9"/>
  <c r="M74" i="9" s="1"/>
  <c r="V5" i="9" a="1"/>
  <c r="V5" i="9" s="1"/>
  <c r="W16" i="9" a="1"/>
  <c r="W16" i="9" s="1"/>
  <c r="C16" i="9"/>
  <c r="E18" i="19" a="1"/>
  <c r="E18" i="19" s="1"/>
  <c r="H49" i="9" a="1"/>
  <c r="H49" i="9" s="1"/>
  <c r="C84" i="9"/>
  <c r="R5" i="9" s="1" a="1"/>
  <c r="R5" i="9" s="1"/>
  <c r="Z5" i="9" a="1"/>
  <c r="Z5" i="9" s="1"/>
  <c r="L84" i="9"/>
  <c r="AA34" i="9"/>
  <c r="AC34" i="9" s="1"/>
  <c r="D2" i="2"/>
  <c r="H174" i="1" l="1"/>
  <c r="H196" i="1"/>
  <c r="H128" i="1"/>
  <c r="H130" i="1"/>
  <c r="H171" i="1"/>
  <c r="H120" i="1"/>
  <c r="H220" i="1"/>
  <c r="H143" i="1"/>
  <c r="H84" i="1"/>
  <c r="H82" i="1"/>
  <c r="H123" i="1"/>
  <c r="H132" i="1"/>
  <c r="H180" i="1"/>
  <c r="H191" i="1"/>
  <c r="H129" i="1"/>
  <c r="H153" i="1"/>
  <c r="H163" i="1"/>
  <c r="H215" i="1"/>
  <c r="H146" i="1"/>
  <c r="H214" i="1"/>
  <c r="H134" i="1"/>
  <c r="H133" i="1"/>
  <c r="AC29" i="9"/>
  <c r="C26" i="20" s="1"/>
  <c r="K51" i="9"/>
  <c r="M51" i="9" s="1"/>
  <c r="K60" i="9"/>
  <c r="M60" i="9" s="1"/>
  <c r="AC14" i="9"/>
  <c r="C11" i="20" s="1"/>
  <c r="AC26" i="9"/>
  <c r="C23" i="20" s="1"/>
  <c r="AC28" i="9"/>
  <c r="C25" i="20" s="1"/>
  <c r="AC8" i="9"/>
  <c r="C5" i="20" s="1"/>
  <c r="K84" i="9"/>
  <c r="M84" i="9" s="1"/>
  <c r="E14" i="19"/>
  <c r="AA16" i="9"/>
  <c r="AC16" i="9" s="1"/>
  <c r="C13" i="20" s="1"/>
  <c r="E12" i="19"/>
  <c r="AA7" i="9"/>
  <c r="AC7" i="9" s="1"/>
  <c r="C4" i="20" s="1"/>
  <c r="K49" i="9"/>
  <c r="AA24" i="9"/>
  <c r="AC24" i="9" s="1"/>
  <c r="C21" i="20" s="1"/>
  <c r="AA5" i="9"/>
  <c r="AB5" i="9"/>
  <c r="B2" i="20" s="1"/>
  <c r="AC18" i="9"/>
  <c r="C15" i="20" s="1"/>
  <c r="AC15" i="9"/>
  <c r="C12" i="20" s="1"/>
  <c r="C21" i="9" l="1"/>
  <c r="E16" i="19"/>
  <c r="E20" i="19" a="1"/>
  <c r="E20" i="19" s="1"/>
  <c r="M49" i="9"/>
  <c r="C23" i="9"/>
  <c r="C3" i="10" s="1"/>
  <c r="C5" i="10" s="1"/>
  <c r="F21" i="10" s="1"/>
  <c r="AC5" i="9"/>
  <c r="C2" i="20" s="1"/>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<sst xmlns="http://schemas.openxmlformats.org/spreadsheetml/2006/main" count="2214" uniqueCount="418">
  <si>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</si>
  <si>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</si>
  <si>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</si>
  <si>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</si>
  <si>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</si>
  <si>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</si>
  <si>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</si>
  <si>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</si>
  <si>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</si>
  <si>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</si>
  <si>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</si>
  <si>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</si>
  <si>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</si>
  <si>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</si>
  <si>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</si>
  <si>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</si>
  <si>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</si>
  <si>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</si>
  <si>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</si>
  <si>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</si>
  <si>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</si>
  <si>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</si>
  <si>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</si>
  <si>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</si>
  <si>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</si>
  <si>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</si>
  <si>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</si>
  <si>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</si>
  <si>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</si>
  <si>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</si>
  <si>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</si>
  <si>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</si>
  <si>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</si>
  <si>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</si>
  <si>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</si>
  <si>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</si>
  <si>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</si>
  <si>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</si>
  <si>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</si>
  <si>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</si>
  <si>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</si>
  <si>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</si>
  <si>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</si>
  <si>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</si>
  <si>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</si>
  <si>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</si>
  <si>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</si>
  <si>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</si>
  <si>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</si>
  <si>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</si>
  <si>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</si>
  <si>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</si>
  <si>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</si>
  <si>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</si>
  <si>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</si>
  <si>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</si>
  <si>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</si>
  <si>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</si>
  <si>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</si>
  <si>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</si>
  <si>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</si>
  <si>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</si>
  <si>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</si>
  <si>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</si>
  <si>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</si>
  <si>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</si>
  <si>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</si>
  <si>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</si>
  <si>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</si>
  <si>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</si>
  <si>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</si>
  <si>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</si>
  <si>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</si>
  <si>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</si>
  <si>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</si>
  <si>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</si>
  <si>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</si>
  <si>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</si>
  <si>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</si>
  <si>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</si>
  <si>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</si>
  <si>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</si>
  <si>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</si>
  <si>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</si>
  <si>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</si>
  <si>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</si>
  <si>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</si>
  <si>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</si>
  <si>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</si>
  <si>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</si>
  <si>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</si>
  <si>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</si>
  <si>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</si>
  <si>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</si>
  <si>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</si>
  <si>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</si>
  <si>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</si>
  <si>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</si>
  <si>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</si>
  <si>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</si>
  <si>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</si>
  <si>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</si>
  <si>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</si>
  <si>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</si>
  <si>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</si>
  <si>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</si>
  <si>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</si>
  <si>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</si>
  <si>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</si>
  <si>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</si>
  <si>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</si>
  <si>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</si>
  <si>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</si>
  <si>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</si>
  <si>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</si>
  <si>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</si>
  <si>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</si>
  <si>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</si>
  <si>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</si>
  <si>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</si>
  <si>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</si>
  <si>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</si>
  <si>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</si>
  <si>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</si>
  <si>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</si>
  <si>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</si>
  <si>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</si>
  <si>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</si>
  <si>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</si>
  <si>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</si>
  <si>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</si>
  <si>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</si>
  <si>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</si>
  <si>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</si>
  <si>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</si>
  <si>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</si>
  <si>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</si>
  <si>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</si>
  <si>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</si>
  <si>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</si>
  <si>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</si>
  <si>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</si>
  <si>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</si>
  <si>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</si>
  <si>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</si>
  <si>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</si>
  <si>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</si>
  <si>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</si>
  <si>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</si>
  <si>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</si>
  <si>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</si>
  <si>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</si>
  <si>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</si>
  <si>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</si>
  <si>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</si>
  <si>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</si>
  <si>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</si>
  <si>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</si>
  <si>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</si>
  <si>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</si>
  <si>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</si>
  <si>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</si>
  <si>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</si>
  <si>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</si>
  <si>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</si>
  <si>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</si>
  <si>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</si>
  <si>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</si>
  <si>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</si>
  <si>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</si>
  <si>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</si>
  <si>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</si>
  <si>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</si>
  <si>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</si>
  <si>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</si>
  <si>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</si>
  <si>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</si>
  <si>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</si>
  <si>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</si>
  <si>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</si>
  <si>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</si>
  <si>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</si>
  <si>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</si>
  <si>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</si>
  <si>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</si>
  <si>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</si>
  <si>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</si>
  <si>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</si>
  <si>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</si>
  <si>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</si>
  <si>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</si>
  <si>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</si>
  <si>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</si>
  <si>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</si>
  <si>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</si>
  <si>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</si>
  <si>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</si>
  <si>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</si>
  <si>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</si>
  <si>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</si>
  <si>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</si>
  <si>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</si>
  <si>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</si>
  <si>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</si>
  <si>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</si>
  <si>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</si>
  <si>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</si>
  <si>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</si>
  <si>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</si>
  <si>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</si>
  <si>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</si>
  <si>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</si>
  <si>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</si>
  <si>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</si>
  <si>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</si>
  <si>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</si>
  <si>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</si>
  <si>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</si>
  <si>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</si>
  <si>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</si>
  <si>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</si>
  <si>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</si>
  <si>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</si>
  <si>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</si>
  <si>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</si>
  <si>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</si>
  <si>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</si>
  <si>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</si>
  <si>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</si>
  <si>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</si>
  <si>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</si>
  <si>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</si>
  <si>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</si>
  <si>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</si>
  <si>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</si>
  <si>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</si>
  <si>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</si>
  <si>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</si>
  <si>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</si>
  <si>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</si>
  <si>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</si>
  <si>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</si>
  <si>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</si>
  <si>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</si>
  <si>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</si>
  <si>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</si>
  <si>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</si>
  <si>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</si>
  <si>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</si>
  <si>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</si>
  <si>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</si>
  <si>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</si>
  <si>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</si>
  <si>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</si>
  <si>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</si>
  <si>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</si>
  <si>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</si>
  <si>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</si>
  <si>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</si>
  <si>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</si>
  <si>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</si>
  <si>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</si>
  <si>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</si>
  <si>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</si>
  <si>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</si>
  <si>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</si>
  <si>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</si>
  <si>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</si>
  <si>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</si>
  <si>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</si>
  <si>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</si>
  <si>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</si>
  <si>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</si>
  <si>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</si>
  <si>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</si>
  <si>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</si>
  <si>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</si>
  <si>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</si>
  <si>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</si>
  <si>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</si>
  <si>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</si>
  <si>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</si>
  <si>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</si>
  <si>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</si>
  <si>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</si>
  <si>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</si>
  <si>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</si>
  <si>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</si>
  <si>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</si>
  <si>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</si>
  <si>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</si>
  <si>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</si>
  <si>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</si>
  <si>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</si>
  <si>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</si>
  <si>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</si>
  <si>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</si>
  <si>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</si>
  <si>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</si>
  <si>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</si>
  <si>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</si>
  <si>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</si>
  <si>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</si>
  <si>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</si>
  <si>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</si>
  <si>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</si>
  <si>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</si>
  <si>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</si>
  <si>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</si>
  <si>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</si>
  <si>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</si>
  <si>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</si>
  <si>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</si>
  <si>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</si>
  <si>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</si>
  <si>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</si>
  <si>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</si>
  <si>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</si>
  <si>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</si>
  <si>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</si>
  <si>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</si>
  <si>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</si>
  <si>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</si>
  <si>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</si>
  <si>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</si>
  <si>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</si>
  <si>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</si>
  <si>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</si>
  <si>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</si>
  <si>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</si>
  <si>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</si>
  <si>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</si>
  <si>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</si>
  <si>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</si>
  <si>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</si>
  <si>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</si>
  <si>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</si>
  <si>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</si>
  <si>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</si>
  <si>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</si>
  <si>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</si>
  <si>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</si>
  <si>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</si>
  <si>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</si>
  <si>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</si>
  <si>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</si>
  <si>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</si>
  <si>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</si>
  <si>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</si>
  <si>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</si>
  <si>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</si>
  <si>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</si>
  <si>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</si>
  <si>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</si>
  <si>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</si>
  <si>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</si>
  <si>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</si>
  <si>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</si>
  <si>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</si>
  <si>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</si>
  <si>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</si>
  <si>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</si>
  <si>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</si>
  <si>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</si>
  <si>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</si>
  <si>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</si>
  <si>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</si>
  <si>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</si>
  <si>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</si>
  <si>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</si>
  <si>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</si>
  <si>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</si>
  <si>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</si>
  <si>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</si>
  <si>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</si>
  <si>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</si>
  <si>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</si>
  <si>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</si>
  <si>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</si>
  <si>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</si>
  <si>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</si>
  <si>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</si>
  <si>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</si>
  <si>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</si>
  <si>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</si>
  <si>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</si>
  <si>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</si>
  <si>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</si>
  <si>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</si>
  <si>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</si>
  <si>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</si>
  <si>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arshad atari</t>
  </si>
  <si>
    <t>silai machine</t>
  </si>
  <si>
    <t>meezan</t>
  </si>
  <si>
    <t>gloves etc</t>
  </si>
  <si>
    <t>stamps</t>
  </si>
  <si>
    <t>Ghulam Abbas</t>
  </si>
  <si>
    <t>Temp</t>
  </si>
  <si>
    <t>ghulam abbas</t>
  </si>
  <si>
    <t>4G</t>
  </si>
  <si>
    <t>nasir opt salary</t>
  </si>
  <si>
    <t>ahmad exp</t>
  </si>
  <si>
    <t>wood</t>
  </si>
  <si>
    <t>khubaib</t>
  </si>
  <si>
    <t>lei 2223</t>
  </si>
  <si>
    <t>omer pankhaman</t>
  </si>
  <si>
    <t>Qadeer driver</t>
  </si>
  <si>
    <t>Part</t>
  </si>
  <si>
    <t>seal</t>
  </si>
  <si>
    <t>DYES</t>
  </si>
  <si>
    <t>petrol+oil</t>
  </si>
  <si>
    <t>optix</t>
  </si>
  <si>
    <t>master abid</t>
  </si>
  <si>
    <t>azam (150)</t>
  </si>
  <si>
    <t>copper</t>
  </si>
  <si>
    <t>1953+1952</t>
  </si>
  <si>
    <t>omer</t>
  </si>
  <si>
    <t>katan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</si>
</sst>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165" fontId="0" fillId="0" borderId="0" xfId="1" applyNumberFormat="1" applyFont="1"/>
    <xf numFmtId="0" fontId="0" fillId="0" borderId="0" xfId="0" applyNumberFormat="1"/>
  </cellXfs>
  <cellStyles count="2">
    <cellStyle name="Comma" xfId="1" builtinId="3"/>
    <cellStyle name="Normal" xfId="0" builtinId="0"/>
  </cellStyles>
  <dxfs count="16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243647</xdr:colOff>
      <xdr:row>230</xdr:row>
      <xdr:rowOff>46711</xdr:rowOff>
    </xdr:from>
    <xdr:to>
      <xdr:col>1</xdr:col>
      <xdr:colOff>984183</xdr:colOff>
      <xdr:row>238</xdr:row>
      <xdr:rowOff>105110</xdr:rowOff>
    </xdr:to>
    <mc:AlternateContent xmlns:mc="http://schemas.openxmlformats.org/markup-compatibility/2006">
      <mc:Choice xmlns:sle15="http://schemas.microsoft.com/office/drawing/2012/slicer"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243647" y="4241726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56423</xdr:rowOff>
    </xdr:from>
    <xdr:to>
      <xdr:col>11</xdr:col>
      <xdr:colOff>66829</xdr:colOff>
      <xdr:row>40</xdr:row>
      <xdr:rowOff>92994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481023</xdr:colOff>
      <xdr:row>7</xdr:row>
      <xdr:rowOff>43181</xdr:rowOff>
    </xdr:from>
    <xdr:to>
      <xdr:col>13</xdr:col>
      <xdr:colOff>342772</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179312</xdr:colOff>
      <xdr:row>12</xdr:row>
      <xdr:rowOff>138748</xdr:rowOff>
    </xdr:from>
    <xdr:to>
      <xdr:col>14</xdr:col>
      <xdr:colOff>478515</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-673115</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4.846036574076" createdVersion="8" refreshedVersion="8" minRefreshableVersion="3" recordCount="225" xr:uid="{46CBB50D-3613-4E5B-8212-DD0313DCD05A}">
  <cacheSource type="worksheet">
    <worksheetSource name="Table1"/>
  </cacheSource>
  <cacheFields count="14">
    <cacheField name="Date" numFmtId="0">
      <sharedItems containsSemiMixedTypes="0" containsNonDate="0" containsDate="1" containsString="0" minDate="2025-11-18T00:00:00" maxDate="2025-12-13T00:00:00"/>
    </cacheField>
    <cacheField name="Party Name" numFmtId="0">
      <sharedItems containsBlank="1" count="31">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m/>
        <s v="YING" u="1"/>
        <s v="Meow" u="1"/>
        <s v="Umer Sb" u="1"/>
        <s v="-" u="1"/>
        <s v="Sajjad" u="1"/>
        <s v="Haji Ejaz" u="1"/>
      </sharedItems>
    </cacheField>
    <cacheField name="Bill Number" numFmtId="0">
      <sharedItems containsBlank="1" containsMixedTypes="1" containsNumber="1" containsInteger="1" minValue="1091" maxValue="1232"/>
    </cacheField>
    <cacheField name="Quality" numFmtId="0">
      <sharedItems containsBlank="1"/>
    </cacheField>
    <cacheField name="Shipment Number" numFmtId="164">
      <sharedItems containsBlank="1" containsMixedTypes="1" containsNumber="1" containsInteger="1" minValue="1558" maxValue="17000" count="32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49567"/>
    </cacheField>
    <cacheField name="shortage %" numFmtId="165">
      <sharedItems containsBlank="1" containsMixedTypes="1" containsNumber="1" minValue="-0.16588581615243925"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4.846036921299"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4.846036921299" createdVersion="8" refreshedVersion="8" minRefreshableVersion="3" recordCount="52" xr:uid="{3E5C2981-ACF5-44A9-8567-B1D65DB3A8D2}">
  <cacheSource type="worksheet">
    <worksheetSource name="Table3"/>
  </cacheSource>
  <cacheFields count="9">
    <cacheField name="Date" numFmtId="14">
      <sharedItems containsSemiMixedTypes="0" containsNonDate="0" containsDate="1" containsString="0" minDate="2025-05-02T00:00:00" maxDate="2025-12-12T00:00:00" count="129">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4">
        <s v="Closing Balance CF"/>
        <m/>
        <s v="TKL 364"/>
        <n v="9662"/>
        <s v="APL"/>
        <s v="C 8947"/>
        <s v="E 3229"/>
        <s v="E 9399"/>
        <s v="TAD 290"/>
        <s v="NAD 668"/>
        <s v="CAR 6957"/>
        <s v="LES 8294"/>
        <s v="LEI 2223"/>
        <s v="C 1605"/>
        <s v="JU 4472"/>
        <s v="TKT 364"/>
        <s v="LEI 9662"/>
        <n v="8618"/>
        <s v="LEJ 9662"/>
        <s v="-"/>
        <s v="LES 3785"/>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4.846037037038" createdVersion="8" refreshedVersion="8" minRefreshableVersion="3" recordCount="16" xr:uid="{AC867DCC-CE64-4D1A-827D-F1F3EE10EE4E}">
  <cacheSource type="worksheet">
    <worksheetSource name="Table8"/>
  </cacheSource>
  <cacheFields count="9">
    <cacheField name="Date" numFmtId="14">
      <sharedItems containsSemiMixedTypes="0" containsNonDate="0" containsDate="1" containsString="0" minDate="2025-05-16T00:00:00" maxDate="2025-12-12T00:00:00" count="48">
        <d v="2025-10-17T00:00:00"/>
        <d v="2025-11-18T00:00:00"/>
        <d v="2025-11-20T00:00:00"/>
        <d v="2025-11-22T00:00:00"/>
        <d v="2025-11-25T00:00:00"/>
        <d v="2025-11-26T00:00:00"/>
        <d v="2025-11-27T00:00:00"/>
        <d v="2025-11-29T00:00:00"/>
        <d v="2025-12-01T00:00:00"/>
        <d v="2025-12-02T00:00:00"/>
        <d v="2025-12-04T00:00:00"/>
        <d v="2025-12-11T00:00:00"/>
        <d v="2025-12-09T00:00:00"/>
        <d v="2025-12-06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u="1"/>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4.846037152776"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29930.50475493784"/>
    </cacheField>
    <cacheField name="Rate" numFmtId="0">
      <sharedItems containsString="0" containsBlank="1" containsNumber="1" minValue="10" maxValue="12"/>
    </cacheField>
    <cacheField name="Total" numFmtId="164">
      <sharedItems containsSemiMixedTypes="0" containsString="0" containsNumber="1" minValue="0" maxValue="2499829.919531821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4.846037384261" createdVersion="8" refreshedVersion="8" minRefreshableVersion="3" recordCount="381" xr:uid="{B5BDFB73-D93A-4A7A-8149-666BC190B09B}">
  <cacheSource type="worksheet">
    <worksheetSource name="Table14"/>
  </cacheSource>
  <cacheFields count="7">
    <cacheField name="Date" numFmtId="14">
      <sharedItems containsNonDate="0" containsDate="1" containsString="0" containsBlank="1" minDate="2025-10-17T00:00:00" maxDate="2025-12-12T00:00:00"/>
    </cacheField>
    <cacheField name="Party" numFmtId="0">
      <sharedItems containsBlank="1" count="73">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8741"/>
    <n v="9822"/>
    <n v="18.210231785764165"/>
    <n v="8981.3460131675201"/>
    <n v="89813.460131675209"/>
    <m/>
  </r>
  <r>
    <d v="2025-11-25T00:00:00"/>
    <x v="10"/>
    <n v="1134"/>
    <s v="Chamki"/>
    <x v="29"/>
    <n v="21089"/>
    <n v="22527"/>
    <n v="2.3237740855342395"/>
    <n v="20598.939283101685"/>
    <n v="205989.39283101686"/>
    <m/>
  </r>
  <r>
    <d v="2025-11-25T00:00:00"/>
    <x v="0"/>
    <n v="1135"/>
    <s v="Chamki"/>
    <x v="28"/>
    <n v="38741"/>
    <n v="8240"/>
    <n v="18.210231785764165"/>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8741"/>
    <n v="2751"/>
    <n v="18.210231785764165"/>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8741"/>
    <n v="2146"/>
    <n v="18.210231785764165"/>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63.783544033593046"/>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8741"/>
    <n v="3196"/>
    <n v="18.210231785764165"/>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8741"/>
    <n v="8497"/>
    <n v="18.210231785764165"/>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s v="NF"/>
    <m/>
    <m/>
    <m/>
  </r>
  <r>
    <d v="2025-12-12T00:00:00"/>
    <x v="18"/>
    <n v="1228"/>
    <s v="Chamki"/>
    <x v="74"/>
    <n v="42406"/>
    <n v="5062"/>
    <s v="NF"/>
    <m/>
    <m/>
    <m/>
  </r>
  <r>
    <d v="2025-12-12T00:00:00"/>
    <x v="18"/>
    <n v="1229"/>
    <s v="Chamki"/>
    <x v="74"/>
    <n v="42406"/>
    <n v="40108"/>
    <s v="NF"/>
    <m/>
    <m/>
    <m/>
  </r>
  <r>
    <d v="2025-12-12T00:00:00"/>
    <x v="19"/>
    <n v="1230"/>
    <s v="Chamki"/>
    <x v="75"/>
    <n v="14691"/>
    <n v="15699"/>
    <s v="NF"/>
    <m/>
    <m/>
    <m/>
  </r>
  <r>
    <d v="2025-12-12T00:00:00"/>
    <x v="5"/>
    <n v="1231"/>
    <s v="Chamki"/>
    <x v="76"/>
    <n v="50443"/>
    <n v="11875"/>
    <s v="NF"/>
    <m/>
    <m/>
    <m/>
  </r>
  <r>
    <d v="2025-12-12T00:00:00"/>
    <x v="20"/>
    <n v="1232"/>
    <s v="katan"/>
    <x v="77"/>
    <n v="49995"/>
    <n v="21629"/>
    <s v="NF"/>
    <m/>
    <m/>
    <m/>
  </r>
  <r>
    <d v="2025-12-12T00:00:00"/>
    <x v="24"/>
    <m/>
    <m/>
    <x v="0"/>
    <m/>
    <m/>
    <e v="#DIV/0!"/>
    <m/>
    <m/>
    <m/>
  </r>
  <r>
    <d v="2025-12-12T00:00:00"/>
    <x v="24"/>
    <m/>
    <m/>
    <x v="0"/>
    <m/>
    <m/>
    <e v="#DIV/0!"/>
    <m/>
    <m/>
    <m/>
  </r>
  <r>
    <d v="2025-12-12T00:00:00"/>
    <x v="2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m/>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29930.50475493784"/>
    <n v="10"/>
    <n v="2499829.9195318213"/>
  </r>
  <r>
    <x v="1"/>
    <n v="105662.94806144843"/>
    <n v="10"/>
    <n v="1267955.3767373813"/>
  </r>
  <r>
    <x v="2"/>
    <n v="193527.79809802488"/>
    <n v="10"/>
    <n v="2061914.7768836871"/>
  </r>
  <r>
    <x v="3"/>
    <n v="0"/>
    <n v="10.5"/>
    <n v="0"/>
  </r>
  <r>
    <x v="4"/>
    <n v="0"/>
    <n v="10"/>
    <n v="0"/>
  </r>
  <r>
    <x v="5"/>
    <n v="146164.95976591075"/>
    <n v="10"/>
    <n v="1461649.5976591075"/>
  </r>
  <r>
    <x v="6"/>
    <n v="47108.632040965625"/>
    <n v="10"/>
    <n v="471086.32040965627"/>
  </r>
  <r>
    <x v="7"/>
    <n v="139682.69934162401"/>
    <n v="10"/>
    <n v="1396826.9934162402"/>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1">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10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m/>
    <x v="1"/>
    <n v="1400"/>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1">
      <pivotArea field="0" grandRow="1" outline="0" collapsedLevelsAreSubtotals="1" axis="axisRow" fieldPosition="0">
        <references count="1">
          <reference field="4294967294" count="1" selected="0">
            <x v="1"/>
          </reference>
        </references>
      </pivotArea>
    </format>
    <format dxfId="12">
      <pivotArea field="0" grandRow="1" outline="0" collapsedLevelsAreSubtotals="1" axis="axisRow" fieldPosition="0">
        <references count="1">
          <reference field="4294967294" count="1" selected="0">
            <x v="0"/>
          </reference>
        </references>
      </pivotArea>
    </format>
    <format dxfId="13">
      <pivotArea collapsedLevelsAreSubtotals="1" fieldPosition="0">
        <references count="2">
          <reference field="4294967294" count="1" selected="0">
            <x v="1"/>
          </reference>
          <reference field="0" count="0"/>
        </references>
      </pivotArea>
    </format>
    <format dxfId="14">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4" firstHeaderRow="0" firstDataRow="1" firstDataCol="1" rowPageCount="1" colPageCount="1"/>
  <pivotFields count="9">
    <pivotField axis="axisRow" numFmtId="14" showAll="0">
      <items count="130">
        <item m="1" x="113"/>
        <item m="1" x="114"/>
        <item m="1" x="115"/>
        <item m="1" x="116"/>
        <item m="1" x="117"/>
        <item m="1" x="118"/>
        <item m="1" x="119"/>
        <item m="1" x="128"/>
        <item m="1" x="109"/>
        <item m="1" x="120"/>
        <item m="1" x="121"/>
        <item m="1" x="122"/>
        <item m="1" x="123"/>
        <item m="1" x="124"/>
        <item m="1" x="125"/>
        <item m="1" x="126"/>
        <item m="1" x="80"/>
        <item m="1" x="81"/>
        <item m="1" x="127"/>
        <item m="1" x="82"/>
        <item m="1" x="79"/>
        <item m="1" x="83"/>
        <item m="1" x="85"/>
        <item m="1" x="86"/>
        <item m="1" x="87"/>
        <item m="1" x="89"/>
        <item m="1" x="90"/>
        <item m="1" x="91"/>
        <item m="1" x="84"/>
        <item m="1" x="88"/>
        <item m="1" x="92"/>
        <item m="1" x="93"/>
        <item m="1" x="94"/>
        <item m="1" x="95"/>
        <item m="1" x="78"/>
        <item m="1" x="96"/>
        <item m="1" x="110"/>
        <item m="1" x="111"/>
        <item m="1" x="112"/>
        <item m="1" x="97"/>
        <item m="1" x="98"/>
        <item m="1" x="99"/>
        <item m="1" x="100"/>
        <item m="1" x="101"/>
        <item m="1" x="102"/>
        <item m="1" x="103"/>
        <item m="1" x="104"/>
        <item m="1" x="105"/>
        <item m="1" x="106"/>
        <item m="1" x="107"/>
        <item m="1" x="108"/>
        <item m="1" x="49"/>
        <item m="1" x="50"/>
        <item m="1" x="51"/>
        <item m="1" x="52"/>
        <item m="1" x="53"/>
        <item m="1" x="54"/>
        <item m="1" x="55"/>
        <item m="1" x="56"/>
        <item m="1" x="58"/>
        <item m="1" x="59"/>
        <item m="1" x="60"/>
        <item m="1" x="57"/>
        <item m="1" x="61"/>
        <item m="1" x="62"/>
        <item m="1" x="63"/>
        <item m="1" x="64"/>
        <item m="1" x="65"/>
        <item m="1" x="66"/>
        <item m="1" x="67"/>
        <item m="1" x="68"/>
        <item m="1" x="69"/>
        <item m="1" x="70"/>
        <item m="1" x="71"/>
        <item m="1" x="72"/>
        <item m="1" x="73"/>
        <item m="1" x="74"/>
        <item m="1" x="75"/>
        <item m="1" x="76"/>
        <item m="1" x="77"/>
        <item x="0"/>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x="1"/>
        <item x="4"/>
        <item x="2"/>
        <item x="3"/>
        <item x="5"/>
        <item x="6"/>
        <item x="7"/>
        <item x="8"/>
        <item x="9"/>
        <item x="10"/>
        <item x="11"/>
        <item x="12"/>
        <item x="13"/>
        <item x="14"/>
        <item x="15"/>
        <item x="16"/>
        <item x="17"/>
        <item x="18"/>
        <item x="19"/>
        <item x="20"/>
        <item x="21"/>
        <item x="22"/>
        <item t="default"/>
      </items>
    </pivotField>
    <pivotField axis="axisPage" showAll="0">
      <items count="12">
        <item x="1"/>
        <item x="0"/>
        <item m="1" x="8"/>
        <item m="1" x="10"/>
        <item x="2"/>
        <item x="3"/>
        <item x="4"/>
        <item m="1" x="9"/>
        <item x="5"/>
        <item x="6"/>
        <item x="7"/>
        <item t="default"/>
      </items>
    </pivotField>
    <pivotField axis="axisRow" showAll="0">
      <items count="75">
        <item m="1" x="64"/>
        <item m="1" x="48"/>
        <item m="1" x="60"/>
        <item m="1" x="30"/>
        <item m="1" x="65"/>
        <item m="1" x="66"/>
        <item m="1" x="61"/>
        <item m="1" x="62"/>
        <item m="1" x="63"/>
        <item m="1" x="41"/>
        <item m="1" x="67"/>
        <item m="1" x="68"/>
        <item m="1" x="69"/>
        <item m="1" x="70"/>
        <item m="1" x="71"/>
        <item m="1" x="72"/>
        <item m="1" x="37"/>
        <item m="1" x="38"/>
        <item m="1" x="73"/>
        <item m="1" x="39"/>
        <item x="0"/>
        <item m="1" x="40"/>
        <item m="1" x="42"/>
        <item m="1" x="43"/>
        <item m="1" x="44"/>
        <item m="1" x="45"/>
        <item m="1" x="46"/>
        <item m="1" x="47"/>
        <item m="1" x="49"/>
        <item m="1" x="50"/>
        <item m="1" x="32"/>
        <item m="1" x="51"/>
        <item m="1" x="52"/>
        <item m="1" x="53"/>
        <item m="1" x="36"/>
        <item m="1" x="54"/>
        <item m="1" x="55"/>
        <item m="1" x="34"/>
        <item m="1" x="56"/>
        <item m="1" x="57"/>
        <item m="1" x="58"/>
        <item m="1" x="59"/>
        <item m="1" x="22"/>
        <item m="1" x="23"/>
        <item m="1" x="24"/>
        <item m="1" x="25"/>
        <item m="1" x="26"/>
        <item m="1" x="27"/>
        <item m="1" x="28"/>
        <item m="1" x="29"/>
        <item m="1" x="31"/>
        <item m="1" x="33"/>
        <item m="1" x="35"/>
        <item m="1" x="21"/>
        <item x="1"/>
        <item x="2"/>
        <item x="3"/>
        <item x="4"/>
        <item x="5"/>
        <item x="6"/>
        <item x="7"/>
        <item x="8"/>
        <item x="9"/>
        <item x="10"/>
        <item x="11"/>
        <item x="13"/>
        <item x="12"/>
        <item x="14"/>
        <item x="15"/>
        <item x="16"/>
        <item x="17"/>
        <item x="18"/>
        <item x="19"/>
        <item x="2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
      <pivotArea dataOnly="0" labelOnly="1" outline="0" fieldPosition="0">
        <references count="1">
          <reference field="1" count="1">
            <x v="1"/>
          </reference>
        </references>
      </pivotArea>
    </format>
    <format dxfId="1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8" firstHeaderRow="0" firstDataRow="1" firstDataCol="1"/>
  <pivotFields count="7">
    <pivotField numFmtId="14" showAll="0"/>
    <pivotField axis="axisRow" showAll="0">
      <items count="74">
        <item x="13"/>
        <item x="9"/>
        <item x="7"/>
        <item m="1" x="59"/>
        <item m="1" x="63"/>
        <item x="12"/>
        <item x="5"/>
        <item x="25"/>
        <item x="6"/>
        <item x="10"/>
        <item x="8"/>
        <item m="1" x="71"/>
        <item m="1" x="58"/>
        <item x="11"/>
        <item m="1" x="55"/>
        <item m="1" x="69"/>
        <item x="2"/>
        <item x="43"/>
        <item x="1"/>
        <item x="15"/>
        <item x="36"/>
        <item x="27"/>
        <item m="1" x="72"/>
        <item m="1" x="54"/>
        <item x="29"/>
        <item m="1" x="70"/>
        <item m="1" x="62"/>
        <item x="32"/>
        <item m="1" x="64"/>
        <item m="1" x="65"/>
        <item m="1" x="66"/>
        <item m="1" x="67"/>
        <item x="37"/>
        <item m="1" x="68"/>
        <item x="42"/>
        <item x="26"/>
        <item m="1" x="48"/>
        <item x="17"/>
        <item m="1" x="57"/>
        <item m="1" x="51"/>
        <item x="18"/>
        <item x="3"/>
        <item x="31"/>
        <item m="1" x="60"/>
        <item x="22"/>
        <item m="1" x="61"/>
        <item m="1" x="45"/>
        <item x="24"/>
        <item x="14"/>
        <item m="1" x="46"/>
        <item m="1" x="47"/>
        <item m="1" x="49"/>
        <item m="1" x="50"/>
        <item m="1" x="52"/>
        <item x="19"/>
        <item x="20"/>
        <item m="1" x="53"/>
        <item m="1" x="56"/>
        <item x="4"/>
        <item x="23"/>
        <item x="0"/>
        <item x="16"/>
        <item x="21"/>
        <item x="28"/>
        <item m="1" x="44"/>
        <item x="33"/>
        <item x="34"/>
        <item x="35"/>
        <item x="38"/>
        <item x="30"/>
        <item x="39"/>
        <item x="40"/>
        <item x="41"/>
        <item t="default"/>
      </items>
    </pivotField>
    <pivotField dataField="1" showAll="0"/>
    <pivotField dataField="1" showAll="0"/>
    <pivotField showAll="0"/>
    <pivotField showAll="0"/>
    <pivotField showAll="0"/>
  </pivotFields>
  <rowFields count="1">
    <field x="1"/>
  </rowFields>
  <rowItems count="45">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t="grand">
      <x/>
    </i>
  </rowItems>
  <colFields count="1">
    <field x="-2"/>
  </colFields>
  <colItems count="2">
    <i>
      <x/>
    </i>
    <i i="1">
      <x v="1"/>
    </i>
  </colItems>
  <dataFields count="2">
    <dataField name="Sum of Credit" fld="3" baseField="0" baseItem="0"/>
    <dataField name="Sum of Debit" fld="2" baseField="0" baseItem="0"/>
  </dataFields>
  <formats count="1">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4" firstHeaderRow="0" firstDataRow="1" firstDataCol="1" rowPageCount="1" colPageCount="1"/>
  <pivotFields count="9">
    <pivotField axis="axisRow" showAll="0">
      <items count="49">
        <item m="1" x="43"/>
        <item m="1" x="44"/>
        <item m="1" x="45"/>
        <item m="1" x="46"/>
        <item m="1" x="47"/>
        <item m="1" x="42"/>
        <item m="1" x="30"/>
        <item m="1" x="31"/>
        <item m="1" x="35"/>
        <item m="1" x="36"/>
        <item m="1" x="32"/>
        <item m="1" x="37"/>
        <item m="1" x="38"/>
        <item m="1" x="39"/>
        <item m="1" x="40"/>
        <item m="1" x="41"/>
        <item m="1" x="29"/>
        <item m="1" x="33"/>
        <item m="1" x="34"/>
        <item m="1" x="22"/>
        <item m="1" x="23"/>
        <item m="1" x="24"/>
        <item m="1" x="25"/>
        <item m="1" x="26"/>
        <item m="1" x="27"/>
        <item m="1" x="28"/>
        <item x="0"/>
        <item m="1" x="14"/>
        <item m="1" x="15"/>
        <item m="1" x="16"/>
        <item m="1" x="17"/>
        <item m="1" x="18"/>
        <item m="1" x="19"/>
        <item m="1" x="20"/>
        <item m="1" x="21"/>
        <item x="1"/>
        <item x="2"/>
        <item x="3"/>
        <item x="4"/>
        <item x="5"/>
        <item x="6"/>
        <item x="7"/>
        <item x="9"/>
        <item x="10"/>
        <item x="8"/>
        <item x="11"/>
        <item x="12"/>
        <item x="13"/>
        <item t="default"/>
      </items>
    </pivotField>
    <pivotField showAll="0"/>
    <pivotField showAll="0"/>
    <pivotField showAll="0"/>
    <pivotField dataField="1" showAll="0"/>
    <pivotField axis="axisPage" showAll="0">
      <items count="8">
        <item x="0"/>
        <item m="1" x="4"/>
        <item m="1" x="6"/>
        <item m="1" x="5"/>
        <item x="1"/>
        <item x="2"/>
        <item x="3"/>
        <item t="default"/>
      </items>
    </pivotField>
    <pivotField showAll="0"/>
    <pivotField dataField="1" showAll="0"/>
    <pivotField showAll="0"/>
  </pivotFields>
  <rowFields count="1">
    <field x="0"/>
  </rowFields>
  <rowItems count="15">
    <i>
      <x v="26"/>
    </i>
    <i>
      <x v="35"/>
    </i>
    <i>
      <x v="36"/>
    </i>
    <i>
      <x v="37"/>
    </i>
    <i>
      <x v="38"/>
    </i>
    <i>
      <x v="39"/>
    </i>
    <i>
      <x v="40"/>
    </i>
    <i>
      <x v="41"/>
    </i>
    <i>
      <x v="42"/>
    </i>
    <i>
      <x v="43"/>
    </i>
    <i>
      <x v="44"/>
    </i>
    <i>
      <x v="45"/>
    </i>
    <i>
      <x v="46"/>
    </i>
    <i>
      <x v="47"/>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2" firstHeaderRow="0" firstDataRow="1" firstDataCol="1" rowPageCount="1" colPageCount="1"/>
  <pivotFields count="14">
    <pivotField showAll="0"/>
    <pivotField axis="axisPage" multipleItemSelectionAllowed="1" showAll="0">
      <items count="32">
        <item m="1" x="28"/>
        <item x="2"/>
        <item x="0"/>
        <item x="1"/>
        <item m="1" x="30"/>
        <item m="1" x="26"/>
        <item x="6"/>
        <item m="1" x="29"/>
        <item x="3"/>
        <item x="4"/>
        <item m="1" x="27"/>
        <item m="1" x="25"/>
        <item x="24"/>
        <item x="5"/>
        <item x="10"/>
        <item x="8"/>
        <item x="9"/>
        <item x="7"/>
        <item x="11"/>
        <item x="12"/>
        <item x="13"/>
        <item x="14"/>
        <item x="15"/>
        <item x="16"/>
        <item x="17"/>
        <item x="18"/>
        <item x="19"/>
        <item x="20"/>
        <item x="21"/>
        <item x="22"/>
        <item x="23"/>
        <item t="default"/>
      </items>
    </pivotField>
    <pivotField showAll="0"/>
    <pivotField showAll="0"/>
    <pivotField axis="axisRow" showAll="0">
      <items count="323">
        <item m="1" x="305"/>
        <item m="1" x="306"/>
        <item m="1" x="304"/>
        <item m="1" x="303"/>
        <item m="1" x="307"/>
        <item m="1" x="309"/>
        <item m="1" x="308"/>
        <item m="1" x="310"/>
        <item m="1" x="311"/>
        <item m="1" x="312"/>
        <item m="1" x="313"/>
        <item m="1" x="314"/>
        <item m="1" x="315"/>
        <item m="1" x="316"/>
        <item m="1" x="241"/>
        <item m="1" x="263"/>
        <item m="1" x="317"/>
        <item m="1" x="318"/>
        <item m="1" x="319"/>
        <item m="1" x="271"/>
        <item m="1" x="270"/>
        <item m="1" x="320"/>
        <item m="1" x="321"/>
        <item m="1" x="280"/>
        <item m="1" x="272"/>
        <item m="1" x="273"/>
        <item m="1" x="274"/>
        <item m="1" x="275"/>
        <item m="1" x="276"/>
        <item m="1" x="277"/>
        <item m="1" x="278"/>
        <item m="1" x="279"/>
        <item m="1" x="281"/>
        <item m="1" x="301"/>
        <item m="1" x="282"/>
        <item m="1" x="302"/>
        <item m="1" x="283"/>
        <item m="1" x="284"/>
        <item m="1" x="285"/>
        <item m="1" x="286"/>
        <item m="1" x="287"/>
        <item m="1" x="217"/>
        <item m="1" x="288"/>
        <item m="1" x="289"/>
        <item m="1" x="290"/>
        <item m="1" x="291"/>
        <item m="1" x="292"/>
        <item m="1" x="293"/>
        <item m="1" x="294"/>
        <item m="1" x="295"/>
        <item m="1" x="296"/>
        <item m="1" x="297"/>
        <item m="1" x="298"/>
        <item m="1" x="299"/>
        <item m="1" x="300"/>
        <item x="0"/>
        <item m="1" x="216"/>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4"/>
        <item m="1" x="265"/>
        <item m="1" x="266"/>
        <item m="1" x="267"/>
        <item m="1" x="268"/>
        <item m="1" x="269"/>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215"/>
        <item m="1" x="196"/>
        <item m="1" x="197"/>
        <item m="1" x="198"/>
        <item m="1" x="199"/>
        <item m="1" x="200"/>
        <item m="1" x="201"/>
        <item m="1" x="202"/>
        <item m="1" x="203"/>
        <item m="1" x="204"/>
        <item m="1" x="205"/>
        <item m="1" x="206"/>
        <item m="1" x="207"/>
        <item m="1" x="208"/>
        <item m="1" x="209"/>
        <item m="1" x="210"/>
        <item m="1" x="211"/>
        <item m="1" x="212"/>
        <item m="1" x="213"/>
        <item m="1" x="214"/>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x="11"/>
        <item m="1" x="13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0">
      <pivotArea type="all" dataOnly="0" outline="0" fieldPosition="0"/>
    </format>
    <format dxfId="1">
      <pivotArea outline="0" collapsedLevelsAreSubtotals="1" fieldPosition="0"/>
    </format>
    <format dxfId="2">
      <pivotArea field="4" type="button" dataOnly="0" labelOnly="1" outline="0" axis="axisRow" fieldPosition="0"/>
    </format>
    <format dxfId="3">
      <pivotArea dataOnly="0" labelOnly="1" fieldPosition="0">
        <references count="1">
          <reference field="4" count="0"/>
        </references>
      </pivotArea>
    </format>
    <format dxfId="4">
      <pivotArea dataOnly="0" labelOnly="1" grandRow="1" outline="0" fieldPosition="0"/>
    </format>
    <format dxfId="5">
      <pivotArea dataOnly="0" labelOnly="1" outline="0" fieldPosition="0">
        <references count="1">
          <reference field="4294967294" count="2">
            <x v="0"/>
            <x v="1"/>
          </reference>
        </references>
      </pivotArea>
    </format>
    <format dxfId="6">
      <pivotArea grandRow="1" outline="0" collapsedLevelsAreSubtotals="1" fieldPosition="0"/>
    </format>
    <format dxfId="7">
      <pivotArea field="4" type="button" dataOnly="0" labelOnly="1" outline="0" axis="axisRow" fieldPosition="0"/>
    </format>
    <format dxfId="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22">
        <i x="50" s="1"/>
        <i x="29" s="1"/>
        <i x="62" s="1"/>
        <i x="22" s="1"/>
        <i x="2" s="1"/>
        <i x="46" s="1"/>
        <i x="11" s="1"/>
        <i x="8" s="1"/>
        <i x="21" s="1"/>
        <i x="4" s="1"/>
        <i x="1" s="1"/>
        <i x="19" s="1"/>
        <i x="12" s="1"/>
        <i x="25" s="1"/>
        <i x="43" s="1"/>
        <i x="17" s="1"/>
        <i x="31" s="1"/>
        <i x="23" s="1"/>
        <i x="20" s="1"/>
        <i x="33" s="1"/>
        <i x="34" s="1"/>
        <i x="5" s="1"/>
        <i x="7" s="1"/>
        <i x="41" s="1"/>
        <i x="14" s="1"/>
        <i x="77" s="1"/>
        <i x="67" s="1"/>
        <i x="55" s="1"/>
        <i x="27" s="1"/>
        <i x="10" s="1"/>
        <i x="44" s="1"/>
        <i x="64" s="1"/>
        <i x="56" s="1"/>
        <i x="52" s="1"/>
        <i x="16" s="1"/>
        <i x="39" s="1"/>
        <i x="38" s="1"/>
        <i x="54" s="1"/>
        <i x="40" s="1"/>
        <i x="13" s="1"/>
        <i x="9" s="1"/>
        <i x="42" s="1"/>
        <i x="6" s="1"/>
        <i x="47" s="1"/>
        <i x="48" s="1"/>
        <i x="53" s="1"/>
        <i x="32" s="1"/>
        <i x="26" s="1"/>
        <i x="61" s="1"/>
        <i x="60" s="1"/>
        <i x="65" s="1"/>
        <i x="15" s="1"/>
        <i x="63" s="1"/>
        <i x="49" s="1"/>
        <i x="28" s="1"/>
        <i x="30" s="1"/>
        <i x="35" s="1"/>
        <i x="36" s="1"/>
        <i x="45" s="1"/>
        <i x="37" s="1"/>
        <i x="57" s="1"/>
        <i x="68" s="1"/>
        <i x="58" s="1"/>
        <i x="75" s="1"/>
        <i x="72" s="1"/>
        <i x="69" s="1"/>
        <i x="76" s="1"/>
        <i x="51" s="1"/>
        <i x="59" s="1"/>
        <i x="73" s="1"/>
        <i x="70" s="1"/>
        <i x="74" s="1"/>
        <i x="66" s="1"/>
        <i x="18" s="1"/>
        <i x="24" s="1"/>
        <i x="3" s="1"/>
        <i x="71" s="1"/>
        <i x="276" s="1" nd="1"/>
        <i x="305" s="1" nd="1"/>
        <i x="306" s="1" nd="1"/>
        <i x="314" s="1" nd="1"/>
        <i x="304" s="1" nd="1"/>
        <i x="303" s="1" nd="1"/>
        <i x="307" s="1" nd="1"/>
        <i x="318" s="1" nd="1"/>
        <i x="310" s="1" nd="1"/>
        <i x="311" s="1" nd="1"/>
        <i x="308" s="1" nd="1"/>
        <i x="309" s="1" nd="1"/>
        <i x="319" s="1" nd="1"/>
        <i x="312" s="1" nd="1"/>
        <i x="313" s="1" nd="1"/>
        <i x="316" s="1" nd="1"/>
        <i x="317" s="1" nd="1"/>
        <i x="315" s="1" nd="1"/>
        <i x="271" s="1" nd="1"/>
        <i x="321" s="1" nd="1"/>
        <i x="270" s="1" nd="1"/>
        <i x="320" s="1" nd="1"/>
        <i x="273" s="1" nd="1"/>
        <i x="234" s="1" nd="1"/>
        <i x="272" s="1" nd="1"/>
        <i x="274" s="1" nd="1"/>
        <i x="280" s="1" nd="1"/>
        <i x="275" s="1" nd="1"/>
        <i x="277" s="1" nd="1"/>
        <i x="293" s="1" nd="1"/>
        <i x="216" s="1" nd="1"/>
        <i x="281" s="1" nd="1"/>
        <i x="221" s="1" nd="1"/>
        <i x="287" s="1" nd="1"/>
        <i x="282" s="1" nd="1"/>
        <i x="285" s="1" nd="1"/>
        <i x="290" s="1" nd="1"/>
        <i x="301" s="1" nd="1"/>
        <i x="283" s="1" nd="1"/>
        <i x="295" s="1" nd="1"/>
        <i x="298" s="1" nd="1"/>
        <i x="289" s="1" nd="1"/>
        <i x="278" s="1" nd="1"/>
        <i x="286" s="1" nd="1"/>
        <i x="279" s="1" nd="1"/>
        <i x="284" s="1" nd="1"/>
        <i x="217" s="1" nd="1"/>
        <i x="288" s="1" nd="1"/>
        <i x="294" s="1" nd="1"/>
        <i x="231" s="1" nd="1"/>
        <i x="291" s="1" nd="1"/>
        <i x="296" s="1" nd="1"/>
        <i x="292" s="1" nd="1"/>
        <i x="258" s="1" nd="1"/>
        <i x="297" s="1" nd="1"/>
        <i x="299" s="1" nd="1"/>
        <i x="219" s="1" nd="1"/>
        <i x="226" s="1" nd="1"/>
        <i x="300" s="1" nd="1"/>
        <i x="223" s="1" nd="1"/>
        <i x="224" s="1" nd="1"/>
        <i x="218" s="1" nd="1"/>
        <i x="222" s="1" nd="1"/>
        <i x="109" s="1" nd="1"/>
        <i x="220" s="1" nd="1"/>
        <i x="229" s="1" nd="1"/>
        <i x="225" s="1" nd="1"/>
        <i x="227" s="1" nd="1"/>
        <i x="230" s="1" nd="1"/>
        <i x="238" s="1" nd="1"/>
        <i x="228" s="1" nd="1"/>
        <i x="237" s="1" nd="1"/>
        <i x="242" s="1" nd="1"/>
        <i x="236" s="1" nd="1"/>
        <i x="239" s="1" nd="1"/>
        <i x="249" s="1" nd="1"/>
        <i x="235" s="1" nd="1"/>
        <i x="232" s="1" nd="1"/>
        <i x="233" s="1" nd="1"/>
        <i x="248" s="1" nd="1"/>
        <i x="105" s="1" nd="1"/>
        <i x="241" s="1" nd="1"/>
        <i x="252" s="1" nd="1"/>
        <i x="247" s="1" nd="1"/>
        <i x="240" s="1" nd="1"/>
        <i x="264" s="1" nd="1"/>
        <i x="245" s="1" nd="1"/>
        <i x="255" s="1" nd="1"/>
        <i x="253" s="1" nd="1"/>
        <i x="243" s="1" nd="1"/>
        <i x="251" s="1" nd="1"/>
        <i x="250" s="1" nd="1"/>
        <i x="246" s="1" nd="1"/>
        <i x="256" s="1" nd="1"/>
        <i x="254" s="1" nd="1"/>
        <i x="257" s="1" nd="1"/>
        <i x="244" s="1" nd="1"/>
        <i x="185" s="1" nd="1"/>
        <i x="259" s="1" nd="1"/>
        <i x="260" s="1" nd="1"/>
        <i x="143" s="1" nd="1"/>
        <i x="145" s="1" nd="1"/>
        <i x="267" s="1" nd="1"/>
        <i x="139" s="1" nd="1"/>
        <i x="186" s="1" nd="1"/>
        <i x="261" s="1" nd="1"/>
        <i x="262" s="1" nd="1"/>
        <i x="142" s="1" nd="1"/>
        <i x="269" s="1" nd="1"/>
        <i x="141" s="1" nd="1"/>
        <i x="156" s="1" nd="1"/>
        <i x="268" s="1" nd="1"/>
        <i x="263" s="1" nd="1"/>
        <i x="160" s="1" nd="1"/>
        <i x="266" s="1" nd="1"/>
        <i x="265" s="1" nd="1"/>
        <i x="181" s="1" nd="1"/>
        <i x="134" s="1" nd="1"/>
        <i x="146" s="1" nd="1"/>
        <i x="182" s="1" nd="1"/>
        <i x="180" s="1" nd="1"/>
        <i x="138" s="1" nd="1"/>
        <i x="140" s="1" nd="1"/>
        <i x="144" s="1" nd="1"/>
        <i x="135" s="1" nd="1"/>
        <i x="170" s="1" nd="1"/>
        <i x="175" s="1" nd="1"/>
        <i x="136" s="1" nd="1"/>
        <i x="137" s="1" nd="1"/>
        <i x="147" s="1" nd="1"/>
        <i x="150" s="1" nd="1"/>
        <i x="157" s="1" nd="1"/>
        <i x="149" s="1" nd="1"/>
        <i x="152" s="1" nd="1"/>
        <i x="151" s="1" nd="1"/>
        <i x="194" s="1" nd="1"/>
        <i x="148" s="1" nd="1"/>
        <i x="173" s="1" nd="1"/>
        <i x="189" s="1" nd="1"/>
        <i x="153" s="1" nd="1"/>
        <i x="178" s="1" nd="1"/>
        <i x="191" s="1" nd="1"/>
        <i x="162" s="1" nd="1"/>
        <i x="203" s="1" nd="1"/>
        <i x="161" s="1" nd="1"/>
        <i x="158" s="1" nd="1"/>
        <i x="154" s="1" nd="1"/>
        <i x="155" s="1" nd="1"/>
        <i x="174" s="1" nd="1"/>
        <i x="163" s="1" nd="1"/>
        <i x="86" s="1" nd="1"/>
        <i x="164" s="1" nd="1"/>
        <i x="159" s="1" nd="1"/>
        <i x="166" s="1" nd="1"/>
        <i x="167" s="1" nd="1"/>
        <i x="196" s="1" nd="1"/>
        <i x="165" s="1" nd="1"/>
        <i x="183" s="1" nd="1"/>
        <i x="171" s="1" nd="1"/>
        <i x="168" s="1" nd="1"/>
        <i x="172" s="1" nd="1"/>
        <i x="169" s="1" nd="1"/>
        <i x="176" s="1" nd="1"/>
        <i x="195" s="1" nd="1"/>
        <i x="190" s="1" nd="1"/>
        <i x="209" s="1" nd="1"/>
        <i x="177" s="1" nd="1"/>
        <i x="79" s="1" nd="1"/>
        <i x="188" s="1" nd="1"/>
        <i x="179" s="1" nd="1"/>
        <i x="204" s="1" nd="1"/>
        <i x="187" s="1" nd="1"/>
        <i x="202" s="1" nd="1"/>
        <i x="87" s="1" nd="1"/>
        <i x="193" s="1" nd="1"/>
        <i x="192" s="1" nd="1"/>
        <i x="208" s="1" nd="1"/>
        <i x="205" s="1" nd="1"/>
        <i x="98" s="1" nd="1"/>
        <i x="213" s="1" nd="1"/>
        <i x="197" s="1" nd="1"/>
        <i x="206" s="1" nd="1"/>
        <i x="211" s="1" nd="1"/>
        <i x="89" s="1" nd="1"/>
        <i x="115" s="1" nd="1"/>
        <i x="215" s="1" nd="1"/>
        <i x="212" s="1" nd="1"/>
        <i x="80" s="1" nd="1"/>
        <i x="100" s="1" nd="1"/>
        <i x="207" s="1" nd="1"/>
        <i x="82" s="1" nd="1"/>
        <i x="198" s="1" nd="1"/>
        <i x="201" s="1" nd="1"/>
        <i x="97" s="1" nd="1"/>
        <i x="210" s="1" nd="1"/>
        <i x="199" s="1" nd="1"/>
        <i x="200" s="1" nd="1"/>
        <i x="84" s="1" nd="1"/>
        <i x="102" s="1" nd="1"/>
        <i x="103" s="1" nd="1"/>
        <i x="116" s="1" nd="1"/>
        <i x="214" s="1" nd="1"/>
        <i x="78" s="1" nd="1"/>
        <i x="101" s="1" nd="1"/>
        <i x="94" s="1" nd="1"/>
        <i x="81" s="1" nd="1"/>
        <i x="85" s="1" nd="1"/>
        <i x="91" s="1" nd="1"/>
        <i x="83" s="1" nd="1"/>
        <i x="107" s="1" nd="1"/>
        <i x="111" s="1" nd="1"/>
        <i x="112" s="1" nd="1"/>
        <i x="104" s="1" nd="1"/>
        <i x="88" s="1" nd="1"/>
        <i x="90" s="1" nd="1"/>
        <i x="92" s="1" nd="1"/>
        <i x="95" s="1" nd="1"/>
        <i x="108" s="1" nd="1"/>
        <i x="93" s="1" nd="1"/>
        <i x="114" s="1" nd="1"/>
        <i x="129" s="1" nd="1"/>
        <i x="96" s="1" nd="1"/>
        <i x="117" s="1" nd="1"/>
        <i x="113" s="1" nd="1"/>
        <i x="99" s="1" nd="1"/>
        <i x="121" s="1" nd="1"/>
        <i x="106" s="1" nd="1"/>
        <i x="130" s="1" nd="1"/>
        <i x="110" s="1" nd="1"/>
        <i x="133" s="1" nd="1"/>
        <i x="120" s="1" nd="1"/>
        <i x="125" s="1" nd="1"/>
        <i x="122" s="1" nd="1"/>
        <i x="124" s="1" nd="1"/>
        <i x="119" s="1" nd="1"/>
        <i x="118" s="1" nd="1"/>
        <i x="123" s="1" nd="1"/>
        <i x="131" s="1" nd="1"/>
        <i x="127" s="1" nd="1"/>
        <i x="126" s="1" nd="1"/>
        <i x="132" s="1" nd="1"/>
        <i x="128" s="1" nd="1"/>
        <i x="184" s="1" nd="1"/>
        <i x="30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60">
      <calculatedColumnFormula>B49</calculatedColumnFormula>
    </tableColumn>
    <tableColumn id="2" xr3:uid="{7EDCC2ED-0339-42B3-9633-FFEA7A3DD9F3}" name="Tiyaar" dataDxfId="159">
      <calculatedColumnFormula>SUMIFS(ledger!G:G, ledger!B:B, B2, ledger!E:E, "&lt;&gt;*RD*") / 1.0936</calculatedColumnFormula>
    </tableColumn>
    <tableColumn id="3" xr3:uid="{CC1535DD-3FE7-4F55-8040-E7643388A78E}" name="Rate"/>
    <tableColumn id="4" xr3:uid="{059CB70B-ADAD-4985-84AA-0D530BAC5567}" name="Total" dataDxfId="15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7" dataDxfId="156">
  <autoFilter ref="B7:E20" xr:uid="{449E5D32-DF9C-4018-96AB-CA98E118D910}"/>
  <tableColumns count="4">
    <tableColumn id="1" xr3:uid="{F663704C-91DD-4BB9-B7EB-EEB0C5EDED6C}" name="Description" dataDxfId="155"/>
    <tableColumn id="2" xr3:uid="{6D94D495-CD0B-4FD3-9771-81D731982A97}" name="Rate" dataDxfId="154" dataCellStyle="Comma"/>
    <tableColumn id="3" xr3:uid="{2D14CEAD-3602-40E7-A488-3584EBC9141E}" name="gazana" dataDxfId="153" dataCellStyle="Comma"/>
    <tableColumn id="4" xr3:uid="{06FEE63C-6480-4079-8426-51BC26B38B34}" name="sum" dataDxfId="15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51" totalsRowDxfId="150"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49" dataDxfId="148" headerRowCellStyle="Comma" dataCellStyle="Comma">
  <autoFilter ref="B2:C5" xr:uid="{136E8F7F-D03F-4198-8335-91A003EA9E45}"/>
  <tableColumns count="2">
    <tableColumn id="1" xr3:uid="{279FA697-9952-479A-AC05-0D4992B41374}" name="Column1" dataDxfId="147" dataCellStyle="Comma"/>
    <tableColumn id="2" xr3:uid="{8A64998B-65EF-41CD-BCB0-3DDB7B359C54}" name="Column2" dataDxfId="14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5"/>
    <tableColumn id="2" xr3:uid="{51D27FA2-8DDF-4369-BAF7-7D1FE90E16A0}" name="Column2" dataDxfId="14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43" totalsRowDxfId="14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4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27" totalsRowCount="1" headerRowDxfId="140" dataDxfId="139" headerRowCellStyle="Comma" dataCellStyle="Comma">
  <autoFilter ref="A1:K226" xr:uid="{11DACEC6-751B-4B1D-817F-5C5BCD38EF6D}"/>
  <tableColumns count="11">
    <tableColumn id="1" xr3:uid="{2FCE3FA8-A48C-4685-8919-AE44C6C71FD9}" name="Date" dataDxfId="33" dataCellStyle="Comma"/>
    <tableColumn id="2" xr3:uid="{5780FD5F-0890-44E6-B59C-8E37A559FE36}" name="Party Name" dataDxfId="32" dataCellStyle="Comma"/>
    <tableColumn id="3" xr3:uid="{5B3ECD85-9174-40AC-BFBD-49CAC97A83D3}" name="Bill Number" dataDxfId="31" dataCellStyle="Comma"/>
    <tableColumn id="4" xr3:uid="{11B50761-04B6-4262-AD4D-7182450037D1}" name="Quality" dataDxfId="30" dataCellStyle="Comma"/>
    <tableColumn id="5" xr3:uid="{2C556969-B713-4967-BD24-466AACCBE5F5}" name="Shipment Number" dataDxfId="29" totalsRowDxfId="28" dataCellStyle="Comma"/>
    <tableColumn id="6" xr3:uid="{F4E1FD2B-9017-4DEB-B772-BF447ECE56F7}" name="Kora/metre" dataDxfId="27" totalsRowDxfId="26" dataCellStyle="Comma"/>
    <tableColumn id="7" xr3:uid="{52ACC1DA-7A76-4A90-B809-3A1AE728E7EA}" name="Tiyaar/gaz" dataDxfId="25" totalsRowDxfId="24" dataCellStyle="Comma"/>
    <tableColumn id="8" xr3:uid="{31A0FF5E-56F0-44D1-9865-73256B964660}" name="shortage %" dataDxfId="23" totalsRowDxfId="22" dataCellStyle="Comma">
      <calculatedColumnFormula>_xlfn.XLOOKUP(Table1[[#This Row],[Shipment Number]], 'pivot '!A:A,'pivot '!G:G, "NF")</calculatedColumnFormula>
    </tableColumn>
    <tableColumn id="9" xr3:uid="{F99075E0-AC8E-094D-BB85-272AD2C6C568}" name="tiyar/meters" totalsRowFunction="custom" dataDxfId="21" totalsRowDxfId="20"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19" totalsRowDxfId="18"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17" totalsRowDxfId="16"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54" totalsRowCount="1" headerRowDxfId="136" headerRowBorderDxfId="135" tableBorderDxfId="134">
  <autoFilter ref="A1:I53" xr:uid="{F8E8C957-ABE7-4E4F-8D4E-7D44E26B334F}"/>
  <tableColumns count="9">
    <tableColumn id="1" xr3:uid="{C2E817D6-AB98-4DDD-8890-736B27F261CD}" name="Date" dataDxfId="133" totalsRowDxfId="132"/>
    <tableColumn id="2" xr3:uid="{CFB51890-CCDC-463C-81C9-3F8BD7469CB9}" name="Party Name"/>
    <tableColumn id="3" xr3:uid="{A113D971-1C9D-4733-99C4-BD0CC4333209}" name="Vehicle Number"/>
    <tableColumn id="4" xr3:uid="{49780304-3DD1-4AE9-98EE-2BC7EB8F3B57}" name="Weight" dataDxfId="131" totalsRowDxfId="130" dataCellStyle="Comma"/>
    <tableColumn id="5" xr3:uid="{FCAF1BC6-1D8C-42AD-8BBC-F924BF2DC7FE}" name="Rate" dataDxfId="129" totalsRowDxfId="128" dataCellStyle="Comma"/>
    <tableColumn id="6" xr3:uid="{8C70A624-4134-410C-9C45-9FDEB51D51BF}" name="Rent" dataDxfId="127" totalsRowDxfId="126" dataCellStyle="Comma"/>
    <tableColumn id="7" xr3:uid="{EBCE10AE-9634-4982-9C95-37ABC8A7078C}" name="Total" totalsRowFunction="sum" dataDxfId="125" totalsRowDxfId="124" dataCellStyle="Comma">
      <calculatedColumnFormula>D2*E2</calculatedColumnFormula>
    </tableColumn>
    <tableColumn id="9" xr3:uid="{D4788559-C94A-44D9-B9AE-E72B214355AC}" name="Paid" totalsRowFunction="sum" dataDxfId="123" totalsRowDxfId="122" dataCellStyle="Comma"/>
    <tableColumn id="8" xr3:uid="{E26F5BF0-1875-4FC6-994D-49F202ED562B}" name="balance" totalsRowFunction="sum" dataDxfId="121" totalsRowDxfId="12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83" totalsRowCount="1">
  <autoFilter ref="A1:G382" xr:uid="{CB032221-B416-47A8-9A76-693DE76CFD04}"/>
  <tableColumns count="7">
    <tableColumn id="1" xr3:uid="{554B1EED-65B6-4E9A-B646-82727FAC40DE}" name="Date" dataDxfId="118" totalsRowDxfId="117"/>
    <tableColumn id="2" xr3:uid="{32259059-42CF-4947-83DE-115AA430BE2B}" name="Party"/>
    <tableColumn id="3" xr3:uid="{A1320223-D55D-483C-91C3-AB19B95CC9D8}" name="Debit" totalsRowFunction="sum" dataDxfId="116" totalsRowDxfId="115" dataCellStyle="Comma"/>
    <tableColumn id="4" xr3:uid="{E9745767-9FF0-4B1C-9052-FF335D1D7588}" name="Credit" totalsRowFunction="sum" dataDxfId="114" totalsRowDxfId="113" dataCellStyle="Comma"/>
    <tableColumn id="5" xr3:uid="{5C88A48E-2467-4E6D-B626-2442B7FD0BE4}" name="Description"/>
    <tableColumn id="6" xr3:uid="{63CA4666-144E-4BE6-8B7C-7CB992BD3041}" name="Mode" totalsRowFunction="custom" dataDxfId="112" totalsRowDxfId="11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10" tableBorderDxfId="109" totalsRowBorderDxfId="108">
  <autoFilter ref="J3:K6" xr:uid="{DCE01694-23ED-48BF-8B92-4186B9ED10A8}"/>
  <tableColumns count="2">
    <tableColumn id="1" xr3:uid="{C8484DAF-2989-4C2F-9AEC-A6917E1C57F6}" name="Type" dataDxfId="107"/>
    <tableColumn id="2" xr3:uid="{B07B7A2A-4D4E-4654-BED6-FE2F0A7BEC34}" name="Amount" dataDxfId="10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5" headerRowBorderDxfId="104" tableBorderDxfId="103" totalsRowBorderDxfId="102">
  <autoFilter ref="M3:O6" xr:uid="{D166BDD1-ACD7-45D7-8AE9-7350373F8CEB}"/>
  <tableColumns count="3">
    <tableColumn id="1" xr3:uid="{64F0205E-DEA7-4571-BA86-E4374A5FEE28}" name="Type" totalsRowLabel="Total" dataDxfId="101" totalsRowDxfId="100"/>
    <tableColumn id="2" xr3:uid="{15FA05F9-789C-4459-9BE0-5C1EC84D3365}" name="amount" totalsRowFunction="custom" dataDxfId="99" totalsRowDxfId="98">
      <totalsRowFormula>SUM(N5:N6)</totalsRowFormula>
    </tableColumn>
    <tableColumn id="3" xr3:uid="{3681D409-90C6-44D0-BDE2-4B5943A516F0}" name="Actual" totalsRowFunction="custom" totalsRowDxfId="97">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6" totalsRowDxfId="95"/>
    <tableColumn id="2" xr3:uid="{5B9D0FEE-4304-4C5C-A05C-5B27CF7841D3}" name="Type"/>
    <tableColumn id="3" xr3:uid="{6A91CA0D-C802-4C6F-9F39-CA53687E8EDE}" name="Description"/>
    <tableColumn id="4" xr3:uid="{A251D40C-AB87-4BB4-85F8-444B20E32FDF}" name="Total" totalsRowFunction="custom" dataDxfId="94" totalsRowDxfId="93"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8" totalsRowCount="1" headerRowDxfId="92" headerRowBorderDxfId="91">
  <autoFilter ref="A1:I17"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0"/>
    <tableColumn id="4" xr3:uid="{1889A312-9B41-4EC4-BD8F-05252F27084A}" name="Price" totalsRowFunction="sum"/>
    <tableColumn id="6" xr3:uid="{8B974B20-F003-4E67-8660-024FA4F324A9}" name="Party"/>
    <tableColumn id="7" xr3:uid="{0A5A5C21-FD61-47DA-9F54-66A6479FA557}" name="Paid" dataDxfId="89">
      <calculatedColumnFormula>SUMIFS(Table14[Debit], Table14[Date], Table8[[#This Row],[Date]], Table14[Party], Table8[[#This Row],[Party]])</calculatedColumnFormula>
    </tableColumn>
    <tableColumn id="8" xr3:uid="{8DCB3B43-2161-4081-82EC-CDB0F4DE4E6F}" name="Balance" totalsRowFunction="sum" dataDxfId="8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0:E57" totalsRowCount="1">
  <autoFilter ref="A30:E5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87" headerRowBorderDxfId="86">
  <autoFilter ref="A4:H19" xr:uid="{A4C80688-A8BA-4BA7-90B4-791CD99446B4}"/>
  <sortState xmlns:xlrd2="http://schemas.microsoft.com/office/spreadsheetml/2017/richdata2" ref="A5:H6">
    <sortCondition ref="A4:A6"/>
  </sortState>
  <tableColumns count="8">
    <tableColumn id="1" xr3:uid="{4A818912-918E-4111-ACFC-BC93FEF7C1AD}" name="Date" dataDxfId="85" totalsRowDxfId="84"/>
    <tableColumn id="8" xr3:uid="{477ACFD5-62AF-4F69-974B-E9B974C11D7D}" name="Party Name" dataDxfId="8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82">
      <calculatedColumnFormula>Table2[[#This Row],[Quantity]]*200*Table2[[#This Row],[Boxes]]</calculatedColumnFormula>
    </tableColumn>
    <tableColumn id="6" xr3:uid="{30432929-CBD4-4BA8-B63F-CD0F6CF6405F}" name="Paid" totalsRowFunction="sum" dataDxfId="81">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80">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9" totalsRowDxfId="78"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7" totalsRowDxfId="76"/>
    <tableColumn id="2" xr3:uid="{053BFC14-4828-417C-9F9F-95B6E232A945}" name="Amount" totalsRowFunction="custom" dataDxfId="75" totalsRowDxfId="7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3" totalsRowDxfId="7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62" totalsRowDxfId="6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60" totalsRowDxfId="5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58">
      <calculatedColumnFormula>Billing!Q5</calculatedColumnFormula>
    </tableColumn>
    <tableColumn id="2" xr3:uid="{7093A59E-B58F-487D-888A-9AA8156B5F9A}" name="Amount Paid" dataDxfId="57">
      <calculatedColumnFormula>Billing!AB5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56"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E108"/>
  <sheetViews>
    <sheetView topLeftCell="R13" zoomScale="109" zoomScaleNormal="80" workbookViewId="0">
      <selection activeCell="AA5" sqref="AA5:AA3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1.33203125" bestFit="1" customWidth="1"/>
    <col min="28" max="28" width="15.5546875" customWidth="1"/>
    <col min="29" max="29" width="13.6640625" customWidth="1"/>
    <col min="31" max="31" width="15.88671875" customWidth="1"/>
    <col min="34" max="34" width="12.109375" customWidth="1"/>
    <col min="35" max="35" width="11.44140625" customWidth="1"/>
  </cols>
  <sheetData>
    <row r="1" spans="2:31" ht="28.8" x14ac:dyDescent="0.55000000000000004">
      <c r="B1" t="s">
        <v>2</v>
      </c>
      <c r="C1" t="s">
        <v>3</v>
      </c>
      <c r="D1" t="s">
        <v>4</v>
      </c>
      <c r="E1" t="s">
        <v>5</v>
      </c>
      <c r="G1" s="9" t="s">
        <v>0</v>
      </c>
    </row>
    <row r="2" spans="2:31" x14ac:dyDescent="0.3">
      <c r="B2" t="str">
        <f t="shared" ref="B2:B18" si="0">B49</f>
        <v>BSC</v>
      </c>
      <c r="C2" s="18">
        <f>SUMIFS(ledger!G:G, ledger!B:B, B2, ledger!E:E, "&lt;&gt;*RD*") / 1.0936</f>
        <v>229930.50475493784</v>
      </c>
      <c r="D2">
        <v>10</v>
      </c>
      <c r="E2" s="14">
        <f>(SUMIFS(ledger!G:G, ledger!B:B, B2, ledger!E:E, "&lt;&gt;*RD*",ledger!D:D, "Silky") / 1.0936)*12 + (SUMIFS(ledger!G:G, ledger!B:B, B2, ledger!E:E, "&lt;&gt;*RD*",ledger!D:D, "Chamki") / 1.0936)*10</f>
        <v>2499829.9195318213</v>
      </c>
      <c r="Q2" t="s">
        <v>1</v>
      </c>
    </row>
    <row r="3" spans="2:31" x14ac:dyDescent="0.3">
      <c r="B3" t="str">
        <f t="shared" si="0"/>
        <v>Ejaz Sahab</v>
      </c>
      <c r="C3" s="18">
        <f>SUMIFS(ledger!G:G, ledger!B:B, B3, ledger!E:E, "&lt;&gt;*RD*") / 1.0936</f>
        <v>105662.94806144843</v>
      </c>
      <c r="D3">
        <v>10</v>
      </c>
      <c r="E3" s="14">
        <f>(SUMIFS(ledger!G:G, ledger!B:B, B3, ledger!E:E, "&lt;&gt;*RD*",ledger!D:D, "Silky") / 1.0936)*12 + (SUMIFS(ledger!G:G, ledger!B:B, B3, ledger!E:E, "&lt;&gt;*RD*",ledger!D:D, "Chamki") / 1.0936)*10</f>
        <v>1267955.3767373813</v>
      </c>
    </row>
    <row r="4" spans="2:31"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190</v>
      </c>
      <c r="Y4" s="23" t="s">
        <v>191</v>
      </c>
      <c r="Z4" s="23" t="s">
        <v>388</v>
      </c>
      <c r="AA4" s="23" t="s">
        <v>16</v>
      </c>
      <c r="AB4" s="23" t="s">
        <v>17</v>
      </c>
      <c r="AC4" s="23" t="s">
        <v>18</v>
      </c>
      <c r="AD4" s="23" t="s">
        <v>19</v>
      </c>
      <c r="AE4" s="23" t="s">
        <v>20</v>
      </c>
    </row>
    <row r="5" spans="2:31"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9">_xlfn.UNIQUE(Table1[Party Name])</f>
        <v>BSC</v>
      </c>
      <c r="R5" s="22" cm="1">
        <f t="array" ref="R5">_xlfn.BYROW(B49,_xlfn.LAMBDA(_xlpm.party,SUMIFS(ledger!G:G,ledger!B:B,_xlpm.party,ledger!E:E,"&lt;&gt;*RD*")))+_xlfn.IFNA(C84,0)</f>
        <v>2456860</v>
      </c>
      <c r="S5" s="22" cm="1">
        <f t="array" ref="S5">_xlfn.BYROW(B49, _xlfn.LAMBDA(_xlpm.party, SUMIFS(ledger!G:G, ledger!B:B, _xlpm.party, ledger!E:E, "&lt;&gt;*RD*") / 1.0936 ))+_xlfn.IFNA(D84,0)</f>
        <v>2246580.1024140455</v>
      </c>
      <c r="T5" s="22" cm="1">
        <f t="array" ref="T5">(_xlfn.BYROW(B49,_xlfn.LAMBDA(_xlpm.party,SUMIFS(ledger!G:G,ledger!B:B,_xlpm.party,ledger!E:E,"&lt;&gt;*RD*",ledger!D:D,"Chamki")+SUMIFS(ledger!G:G, ledger!B:B, _xlpm.party, ledger!E:E, "&lt;&gt;*RD*", ledger!D:D, "Crinkle")))/1.0936)+_xlfn.IFNA(E84,0)</f>
        <v>2025070.4096561815</v>
      </c>
      <c r="U5" s="70" cm="1">
        <f t="array" ref="U5">(_xlfn.BYROW(B49,_xlfn.LAMBDA(_xlpm.party,SUMIFS(ledger!G:G,ledger!B:B,_xlpm.party,ledger!E:E,"&lt;&gt;*RD*",ledger!D:D,"Silky")))/1.0936)+_xlfn.IFNA(F84,0)</f>
        <v>221509.69275786396</v>
      </c>
      <c r="V5" s="22" cm="1">
        <f t="array" ref="V5">(_xlfn.BYROW(B49,_xlfn.LAMBDA(_xlpm.party,
(SUMIFS(ledger!J:J,ledger!B:B,_xlpm.party,ledger!E:E,"&lt;&gt;*RD*",ledger!D:D,"Chamki",ledger!C:C,"&lt;&gt;October Closing CF")+
SUMIFS(ledger!J:J,ledger!B:B,_xlpm.party,ledger!E:E,"&lt;&gt;*RD*",ledger!D:D,"Crinkle",ledger!C:C,"&lt;&gt;October Closing CF")
)+_xlfn.IFNA(G84,0))))</f>
        <v>20250704.096561819</v>
      </c>
      <c r="W5" s="70" cm="1">
        <f t="array" ref="W5">_xlfn.BYROW(B49, _xlfn.LAMBDA(_xlpm.party,
   SUMIFS(ledger!J:J, ledger!B:B, _xlpm.party, ledger!E:E, "&lt;&gt;*RD*", ledger!D:D, "Silky", ledger!C:C, "&lt;&gt;October Closing CF")
)) + _xlfn.IFNA(H84, 0)</f>
        <v>2791270.1170446239</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39">
        <f>V5+W5+X5+Y5+Z5</f>
        <v>23041974.213606443</v>
      </c>
      <c r="AB5" s="22">
        <f>(SUMIF(Table14[Party],Q5,Table14[Credit]))+_xlfn.IFNA(L84,0)</f>
        <v>19750734</v>
      </c>
      <c r="AC5" s="33">
        <f>AA5-AB5</f>
        <v>3291240.2136064433</v>
      </c>
      <c r="AD5" s="21">
        <v>10</v>
      </c>
      <c r="AE5" s="21">
        <v>13</v>
      </c>
    </row>
    <row r="6" spans="2:31"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2691373.4455010975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39">
        <f t="shared" ref="AA6:AA35" si="1">V6+W6+X6+Y6+Z6</f>
        <v>4172829.1880029263</v>
      </c>
      <c r="AB6" s="22">
        <f>(SUMIF(Table14[Party],Q6,Table14[Credit]))+_xlfn.IFNA(L85,0)</f>
        <v>3663904</v>
      </c>
      <c r="AC6" s="33">
        <f>AA6-AB6</f>
        <v>508925.1880029263</v>
      </c>
      <c r="AD6" s="21">
        <v>10</v>
      </c>
      <c r="AE6" s="21">
        <v>13</v>
      </c>
    </row>
    <row r="7" spans="2:31" x14ac:dyDescent="0.3">
      <c r="B7" t="str">
        <f t="shared" si="0"/>
        <v>Sajad Khan</v>
      </c>
      <c r="C7" s="18">
        <f>SUMIFS(ledger!G:G, ledger!B:B, B7, ledger!E:E, "&lt;&gt;*RD*") / 1.0936</f>
        <v>146164.95976591075</v>
      </c>
      <c r="D7">
        <v>10</v>
      </c>
      <c r="E7" s="14" cm="1">
        <f t="array" ref="E7">(SUMIFS(ledger!G:G, ledger!B:B, B7, ledger!E:E, "&lt;&gt;*RD*",ledger!D:D, "Silky") / 1.0936)*12 + (SUMIFS(ledger!G:G, ledger!B:B, B7, ledger!E:E, "&lt;&gt;*RD*",ledger!D:D, "Chamki") / 1.0936)*10 +(SUMIFS(ledger!G:G, ledger!B:B, party, ledger!E:E, "&lt;&gt;*RD*", ledger!D:D, "Crinkle")/ 1.0936)*10</f>
        <v>1461649.5976591075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39">
        <f t="shared" si="1"/>
        <v>6228578.0907095838</v>
      </c>
      <c r="AB7" s="22">
        <f>(SUMIF(Table14[Party],Q7,Table14[Credit]))+_xlfn.IFNA(L86,0)</f>
        <v>5702935</v>
      </c>
      <c r="AC7" s="33">
        <f>AA7-AB7</f>
        <v>525643.09070958383</v>
      </c>
      <c r="AD7" s="21">
        <v>10</v>
      </c>
      <c r="AE7" s="21">
        <v>13</v>
      </c>
    </row>
    <row r="8" spans="2:31"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39">
        <f t="shared" si="1"/>
        <v>1269270.3440380397</v>
      </c>
      <c r="AB8" s="22">
        <f>(SUMIF(Table14[Party],Q8,Table14[Credit]))+_xlfn.IFNA(L87,0)</f>
        <v>1268740</v>
      </c>
      <c r="AC8" s="33">
        <f>AA8-AB8</f>
        <v>530.34403803967871</v>
      </c>
      <c r="AD8" s="21">
        <v>10.5</v>
      </c>
      <c r="AE8" s="21">
        <v>13</v>
      </c>
    </row>
    <row r="9" spans="2:31" x14ac:dyDescent="0.3">
      <c r="B9" t="str">
        <f t="shared" si="0"/>
        <v>Azam</v>
      </c>
      <c r="C9" s="18">
        <f>SUMIFS(ledger!G:G, ledger!B:B, B9, ledger!E:E, "&lt;&gt;*RD*") / 1.0936</f>
        <v>139682.69934162401</v>
      </c>
      <c r="D9">
        <v>10</v>
      </c>
      <c r="E9" s="14">
        <f>(SUMIFS(ledger!G:G, ledger!B:B, B9, ledger!E:E, "&lt;&gt;*RD*",ledger!D:D, "Silky") / 1.0936)*12 + (SUMIFS(ledger!G:G, ledger!B:B, B9, ledger!E:E, "&lt;&gt;*RD*",ledger!D:D, "Chamki") / 1.0936)*10</f>
        <v>1396826.9934162402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39">
        <f t="shared" si="1"/>
        <v>11238804.472567666</v>
      </c>
      <c r="AB9" s="22">
        <f>(SUMIF(Table14[Party],Q9,Table14[Credit]))+_xlfn.IFNA(L88,0)</f>
        <v>10629100</v>
      </c>
      <c r="AC9" s="33">
        <f t="shared" ref="AC9:AC17" si="2">AA9-AB9</f>
        <v>609704.47256766632</v>
      </c>
      <c r="AD9" s="21">
        <v>10</v>
      </c>
      <c r="AE9" s="21">
        <v>13</v>
      </c>
    </row>
    <row r="10" spans="2:31"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764526</v>
      </c>
      <c r="S10" s="22" cm="1">
        <f t="array" ref="S10">_xlfn.BYROW(B54, _xlfn.LAMBDA(_xlpm.party, SUMIFS(ledger!G:G, ledger!B:B, _xlpm.party, ledger!E:E, "&lt;&gt;*RD*") / 1.0936 ))+_xlfn.IFNA(D89,0)</f>
        <v>699091.07534747629</v>
      </c>
      <c r="T10" s="22" cm="1">
        <f t="array" ref="T10">(_xlfn.BYROW(B54,_xlfn.LAMBDA(_xlpm.party,SUMIFS(ledger!G:G,ledger!B:B,_xlpm.party,ledger!E:E,"&lt;&gt;*RD*",ledger!D:D,"Chamki")+SUMIFS(ledger!G:G, ledger!B:B, _xlpm.party, ledger!E:E, "&lt;&gt;*RD*", ledger!D:D, "Crinkle")))/1.0936)+_xlfn.IFNA(E89,0)</f>
        <v>693601.86539868324</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6936018.6539868321</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39">
        <f t="shared" si="1"/>
        <v>7007378.3833211409</v>
      </c>
      <c r="AB10" s="22">
        <f>(SUMIF(Table14[Party],Q10,Table14[Credit]))+_xlfn.IFNA(L89,0)</f>
        <v>6897871</v>
      </c>
      <c r="AC10" s="33">
        <f t="shared" si="2"/>
        <v>109507.38332114089</v>
      </c>
      <c r="AD10" s="21">
        <v>10</v>
      </c>
      <c r="AE10" s="21">
        <v>13</v>
      </c>
    </row>
    <row r="11" spans="2:31"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39">
        <f t="shared" si="1"/>
        <v>1393873.4455010975</v>
      </c>
      <c r="AB11" s="22">
        <f>(SUMIF(Table14[Party],Q11,Table14[Credit]))+_xlfn.IFNA(L90,0)</f>
        <v>1000000</v>
      </c>
      <c r="AC11" s="33">
        <f t="shared" si="2"/>
        <v>393873.44550109748</v>
      </c>
      <c r="AD11" s="21">
        <v>10</v>
      </c>
      <c r="AE11" s="21">
        <v>13</v>
      </c>
    </row>
    <row r="12" spans="2:31"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357257</v>
      </c>
      <c r="S12" s="22" cm="1">
        <f t="array" ref="S12">_xlfn.BYROW(B56, _xlfn.LAMBDA(_xlpm.party, SUMIFS(ledger!G:G, ledger!B:B, _xlpm.party, ledger!E:E, "&lt;&gt;*RD*") / 1.0936 ))+_xlfn.IFNA(D91,0)</f>
        <v>326679.77322604251</v>
      </c>
      <c r="T12" s="22" cm="1">
        <f t="array" ref="T12">(_xlfn.BYROW(B56,_xlfn.LAMBDA(_xlpm.party,SUMIFS(ledger!G:G,ledger!B:B,_xlpm.party,ledger!E:E,"&lt;&gt;*RD*",ledger!D:D,"Chamki")+SUMIFS(ledger!G:G, ledger!B:B, _xlpm.party, ledger!E:E, "&lt;&gt;*RD*", ledger!D:D, "Crinkle")))/1.0936)+_xlfn.IFNA(E91,0)</f>
        <v>301491.4045354792</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3014914.0453547919</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39">
        <f t="shared" si="1"/>
        <v>3342362.8383321147</v>
      </c>
      <c r="AB12" s="22">
        <f>(SUMIF(Table14[Party],Q12,Table14[Credit]))+_xlfn.IFNA(L91,0)</f>
        <v>3322620</v>
      </c>
      <c r="AC12" s="33">
        <f t="shared" si="2"/>
        <v>19742.838332114741</v>
      </c>
      <c r="AD12" s="21">
        <v>10</v>
      </c>
      <c r="AE12" s="21">
        <v>13</v>
      </c>
    </row>
    <row r="13" spans="2:31" x14ac:dyDescent="0.3">
      <c r="B13" t="str">
        <f t="shared" si="0"/>
        <v>Badshah Fabrics</v>
      </c>
      <c r="C13" s="18">
        <f>SUMIFS(ledger!G:G, ledger!B:B, B13, ledger!E:E, "&lt;&gt;*RD*") / 1.0936</f>
        <v>68178.493050475503</v>
      </c>
      <c r="E13" s="14">
        <f>(SUMIFS(ledger!G:G, ledger!B:B, B13, ledger!E:E, "&lt;&gt;*RD*",ledger!D:D, "Silky") / 1.0936)*12 + (SUMIFS(ledger!G:G, ledger!B:B, B13, ledger!E:E, "&lt;&gt;*RD*",ledger!D:D, "Chamki") / 1.0936)*10</f>
        <v>789903.07242136076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39">
        <f t="shared" si="1"/>
        <v>641274.68910021964</v>
      </c>
      <c r="AB13" s="22">
        <f>(SUMIF(Table14[Party],Q13,Table14[Credit]))+_xlfn.IFNA(L92,0)</f>
        <v>640190</v>
      </c>
      <c r="AC13" s="33">
        <f t="shared" si="2"/>
        <v>1084.6891002196353</v>
      </c>
      <c r="AD13" s="21">
        <v>10</v>
      </c>
      <c r="AE13" s="21">
        <v>13</v>
      </c>
    </row>
    <row r="14" spans="2:31"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39">
        <f t="shared" si="1"/>
        <v>255724.21360643749</v>
      </c>
      <c r="AB14" s="22">
        <f>(SUMIF(Table14[Party],Q14,Table14[Credit]))+_xlfn.IFNA(L93,0)</f>
        <v>130000</v>
      </c>
      <c r="AC14" s="33">
        <f t="shared" si="2"/>
        <v>125724.21360643749</v>
      </c>
      <c r="AD14" s="21">
        <v>12</v>
      </c>
      <c r="AE14" s="21">
        <v>13</v>
      </c>
    </row>
    <row r="15" spans="2:31"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39">
        <f t="shared" si="1"/>
        <v>1854562.9114850038</v>
      </c>
      <c r="AB15" s="22">
        <f>(SUMIF(Table14[Party],Q15,Table14[Credit]))+_xlfn.IFNA(L94,0)</f>
        <v>1705980</v>
      </c>
      <c r="AC15" s="33">
        <f t="shared" si="2"/>
        <v>148582.91148500377</v>
      </c>
      <c r="AD15" s="21">
        <v>10</v>
      </c>
      <c r="AE15" s="21">
        <v>13</v>
      </c>
    </row>
    <row r="16" spans="2:31"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1460624.5427944404</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39">
        <f t="shared" si="1"/>
        <v>5019722.933430871</v>
      </c>
      <c r="AB16" s="22">
        <f>(SUMIF(Table14[Party],Q16,Table14[Credit]))+_xlfn.IFNA(L95,0)</f>
        <v>4925761</v>
      </c>
      <c r="AC16" s="33">
        <f t="shared" si="2"/>
        <v>93961.933430870995</v>
      </c>
      <c r="AD16" s="21">
        <v>10</v>
      </c>
      <c r="AE16" s="21">
        <v>13</v>
      </c>
    </row>
    <row r="17" spans="2:31"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39">
        <f t="shared" si="1"/>
        <v>0</v>
      </c>
      <c r="AB17" s="22">
        <f>(SUMIF(Table14[Party],Q17,Table14[Credit]))+_xlfn.IFNA(L96,0)</f>
        <v>0</v>
      </c>
      <c r="AC17" s="33">
        <f t="shared" si="2"/>
        <v>0</v>
      </c>
      <c r="AD17" s="21">
        <v>10</v>
      </c>
      <c r="AE17" s="21">
        <v>13</v>
      </c>
    </row>
    <row r="18" spans="2:31" x14ac:dyDescent="0.3">
      <c r="B18" t="str">
        <f t="shared" si="0"/>
        <v>Faizan</v>
      </c>
      <c r="C18" s="18">
        <f>SUMIFS(ledger!G:G, ledger!B:B, B18, ledger!E:E, "&lt;&gt;*RD*") / 1.0936</f>
        <v>198235.18653986833</v>
      </c>
      <c r="E18" s="14">
        <f>(SUMIFS(ledger!G:G, ledger!B:B, B18, ledger!E:E, "&lt;&gt;*RD*",ledger!D:D, "Silky") / 1.0936)*12 + (SUMIFS(ledger!G:G, ledger!B:B, B18, ledger!E:E, "&lt;&gt;*RD*",ledger!D:D, "Chamki") / 1.0936)*10</f>
        <v>2378822.2384784198</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39">
        <f t="shared" si="1"/>
        <v>483851.49963423557</v>
      </c>
      <c r="AB18" s="22">
        <f>(SUMIF(Table14[Party],Q18,Table14[Credit]))+_xlfn.IFNA(L97,0)</f>
        <v>480000</v>
      </c>
      <c r="AC18" s="33">
        <f t="shared" ref="AC18:AC20" si="3">AA18-AB18</f>
        <v>3851.4996342355735</v>
      </c>
      <c r="AD18" s="21">
        <v>10</v>
      </c>
      <c r="AE18" s="21">
        <v>13</v>
      </c>
    </row>
    <row r="19" spans="2:31"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39">
        <f t="shared" si="1"/>
        <v>89155.084125822978</v>
      </c>
      <c r="AB19" s="22">
        <f>(SUMIF(Table14[Party],Q19,Table14[Credit]))+_xlfn.IFNA(L98,0)</f>
        <v>95000</v>
      </c>
      <c r="AC19" s="33">
        <f t="shared" si="3"/>
        <v>-5844.9158741770225</v>
      </c>
      <c r="AD19" s="21">
        <v>10</v>
      </c>
      <c r="AE19" s="21">
        <v>13</v>
      </c>
    </row>
    <row r="20" spans="2:31"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39">
        <f t="shared" si="1"/>
        <v>594404.71836137539</v>
      </c>
      <c r="AB20" s="22">
        <f>(SUMIF(Table14[Party],Q20,Table14[Credit]))+_xlfn.IFNA(L99,0)</f>
        <v>594405</v>
      </c>
      <c r="AC20" s="33">
        <f t="shared" si="3"/>
        <v>-0.28163862461224198</v>
      </c>
      <c r="AD20" s="21">
        <v>10</v>
      </c>
      <c r="AE20" s="21">
        <v>13</v>
      </c>
    </row>
    <row r="21" spans="2:31" x14ac:dyDescent="0.3">
      <c r="B21" s="40" t="s">
        <v>29</v>
      </c>
      <c r="C21" s="41">
        <f>SUM(K49:K78)</f>
        <v>17742669.166057061</v>
      </c>
      <c r="D21" t="s">
        <v>30</v>
      </c>
      <c r="Q21" s="101"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5179636.9787856629</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39">
        <f t="shared" si="1"/>
        <v>5224187.0885149976</v>
      </c>
      <c r="AB21" s="22">
        <f>(SUMIF(Table14[Party],Q21,Table14[Credit]))+_xlfn.IFNA(L100,0)</f>
        <v>4915571</v>
      </c>
      <c r="AC21" s="33">
        <f t="shared" ref="AC21:AC35" si="4">AA21-AB21</f>
        <v>308616.08851499762</v>
      </c>
      <c r="AD21" s="21">
        <v>10</v>
      </c>
      <c r="AE21" s="21">
        <v>13</v>
      </c>
    </row>
    <row r="22" spans="2:31"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39">
        <f t="shared" si="1"/>
        <v>836016.82516459411</v>
      </c>
      <c r="AB22" s="22">
        <f>(SUMIF(Table14[Party],Q22,Table14[Credit]))+_xlfn.IFNA(L101,0)</f>
        <v>835660</v>
      </c>
      <c r="AC22" s="33">
        <f t="shared" si="4"/>
        <v>356.82516459410544</v>
      </c>
      <c r="AD22" s="21">
        <v>10</v>
      </c>
      <c r="AE22" s="21">
        <v>13</v>
      </c>
    </row>
    <row r="23" spans="2:31" x14ac:dyDescent="0.3">
      <c r="B23" s="24" t="s">
        <v>31</v>
      </c>
      <c r="C23" s="37">
        <f>SUM(K49:K71)</f>
        <v>17618108.083394296</v>
      </c>
      <c r="D23" t="s">
        <v>32</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2139465.9839063645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39">
        <f t="shared" si="1"/>
        <v>2709309.619604975</v>
      </c>
      <c r="AB23" s="22">
        <f>(SUMIF(Table14[Party],Q23,Table14[Credit]))+_xlfn.IFNA(L102,0)</f>
        <v>2300000</v>
      </c>
      <c r="AC23" s="33">
        <f t="shared" si="4"/>
        <v>409309.61960497499</v>
      </c>
      <c r="AD23" s="21">
        <v>10</v>
      </c>
      <c r="AE23" s="21">
        <v>13</v>
      </c>
    </row>
    <row r="24" spans="2:31" x14ac:dyDescent="0.3">
      <c r="Q24" t="str">
        <v>Salman Zaffar</v>
      </c>
      <c r="R24" s="22" cm="1">
        <f t="array" ref="R24">_xlfn.BYROW(B68,_xlfn.LAMBDA(_xlpm.party,SUMIFS(ledger!G:G,ledger!B:B,_xlpm.party,ledger!E:E,"&lt;&gt;*RD*")))+_xlfn.IFNA(C103,0)</f>
        <v>55541</v>
      </c>
      <c r="S24" s="22" cm="1">
        <f t="array" ref="S24">_xlfn.BYROW(B68, _xlfn.LAMBDA(_xlpm.party, SUMIFS(ledger!G:G, ledger!B:B, _xlpm.party, ledger!E:E, "&lt;&gt;*RD*") / 1.0936 ))+_xlfn.IFNA(D103,0)</f>
        <v>50787.307973664967</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143553.40160936359</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60274.323335771769</v>
      </c>
      <c r="AA24" s="39">
        <f t="shared" si="1"/>
        <v>612146.12289685453</v>
      </c>
      <c r="AB24" s="22">
        <f>(SUMIF(Table14[Party],Q24,Table14[Credit]))+_xlfn.IFNA(L103,0)</f>
        <v>0</v>
      </c>
      <c r="AC24" s="33">
        <f t="shared" si="4"/>
        <v>612146.12289685453</v>
      </c>
      <c r="AD24" s="21">
        <v>10</v>
      </c>
      <c r="AE24" s="21">
        <v>13</v>
      </c>
    </row>
    <row r="25" spans="2:31" x14ac:dyDescent="0.3">
      <c r="Q25" t="str">
        <v>Shahid Qasayi</v>
      </c>
      <c r="R25" s="22" cm="1">
        <f t="array" ref="R25">_xlfn.BYROW(B69,_xlfn.LAMBDA(_xlpm.party,SUMIFS(ledger!G:G,ledger!B:B,_xlpm.party,ledger!E:E,"&lt;&gt;*RD*")))+_xlfn.IFNA(C104,0)</f>
        <v>145748</v>
      </c>
      <c r="S25" s="22" cm="1">
        <f t="array" ref="S25">_xlfn.BYROW(B69, _xlfn.LAMBDA(_xlpm.party, SUMIFS(ledger!G:G, ledger!B:B, _xlpm.party, ledger!E:E, "&lt;&gt;*RD*") / 1.0936 ))+_xlfn.IFNA(D104,0)</f>
        <v>133273.59180687639</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39">
        <f t="shared" si="1"/>
        <v>1134957.9370885149</v>
      </c>
      <c r="AB25" s="22">
        <f>(SUMIF(Table14[Party],Q25,Table14[Credit]))+_xlfn.IFNA(L104,0)</f>
        <v>1103325</v>
      </c>
      <c r="AC25" s="33">
        <f t="shared" si="4"/>
        <v>31632.937088514911</v>
      </c>
      <c r="AD25" s="21">
        <v>10</v>
      </c>
      <c r="AE25" s="21">
        <v>13</v>
      </c>
    </row>
    <row r="26" spans="2:31"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39">
        <f t="shared" si="1"/>
        <v>424323.335771763</v>
      </c>
      <c r="AB26" s="22">
        <f>(SUMIF(Table14[Party],Q26,Table14[Credit]))+_xlfn.IFNA(L105,0)</f>
        <v>424323</v>
      </c>
      <c r="AC26" s="33">
        <f t="shared" si="4"/>
        <v>0.33577176299877465</v>
      </c>
      <c r="AD26" s="21">
        <v>10</v>
      </c>
      <c r="AE26" s="21">
        <v>13</v>
      </c>
    </row>
    <row r="27" spans="2:31" x14ac:dyDescent="0.3">
      <c r="Q27" t="str">
        <v>ibraheem behraam</v>
      </c>
      <c r="R27" s="22" cm="1">
        <f t="array" ref="R27">_xlfn.BYROW(B71,_xlfn.LAMBDA(_xlpm.party,SUMIFS(ledger!G:G,ledger!B:B,_xlpm.party,ledger!E:E,"&lt;&gt;*RD*")))+_xlfn.IFNA(C106,0)</f>
        <v>35948</v>
      </c>
      <c r="S27" s="22" cm="1">
        <f t="array" ref="S27">_xlfn.BYROW(B71, _xlfn.LAMBDA(_xlpm.party, SUMIFS(ledger!G:G, ledger!B:B, _xlpm.party, ledger!E:E, "&lt;&gt;*RD*") / 1.0936 ))+_xlfn.IFNA(D106,0)</f>
        <v>32871.250914411125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32871.250914411125</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427326.26188734459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39">
        <f t="shared" si="1"/>
        <v>427326.26188734459</v>
      </c>
      <c r="AB27" s="22">
        <f>(SUMIF(Table14[Party],Q27,Table14[Credit]))+_xlfn.IFNA(L106,0)</f>
        <v>337000</v>
      </c>
      <c r="AC27" s="33">
        <f t="shared" si="4"/>
        <v>90326.26188734459</v>
      </c>
      <c r="AD27" s="21">
        <v>10</v>
      </c>
      <c r="AE27" s="21">
        <v>13</v>
      </c>
    </row>
    <row r="28" spans="2:31"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39">
        <f t="shared" si="1"/>
        <v>124561.08266276518</v>
      </c>
      <c r="AB28" s="22">
        <f>(SUMIF(Table14[Party],Q28,Table14[Credit]))+_xlfn.IFNA(L107,0)</f>
        <v>124560</v>
      </c>
      <c r="AC28" s="33">
        <f t="shared" si="4"/>
        <v>1.0826627651840681</v>
      </c>
      <c r="AD28" s="21">
        <v>10</v>
      </c>
      <c r="AE28" s="21">
        <v>13</v>
      </c>
    </row>
    <row r="29" spans="2:31" x14ac:dyDescent="0.3">
      <c r="Q29">
        <v>0</v>
      </c>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39">
        <f t="shared" si="1"/>
        <v>0</v>
      </c>
      <c r="AB29" s="22">
        <f>(SUMIF(Table14[Party],Q29,Table14[Credit]))+_xlfn.IFNA(L108,0)</f>
        <v>0</v>
      </c>
      <c r="AC29" s="33">
        <f t="shared" si="4"/>
        <v>0</v>
      </c>
      <c r="AD29" s="21">
        <v>10</v>
      </c>
      <c r="AE29" s="21">
        <v>13</v>
      </c>
    </row>
    <row r="30" spans="2:31"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39">
        <f t="shared" si="1"/>
        <v>0</v>
      </c>
      <c r="AB30" s="22">
        <f>(SUMIF(Table14[Party],Q30,Table14[Credit]))+_xlfn.IFNA(L109,0)</f>
        <v>0</v>
      </c>
      <c r="AC30" s="33">
        <f t="shared" si="4"/>
        <v>0</v>
      </c>
      <c r="AD30" s="21">
        <v>10</v>
      </c>
      <c r="AE30" s="21">
        <v>13</v>
      </c>
    </row>
    <row r="31" spans="2:31"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39">
        <f t="shared" si="1"/>
        <v>0</v>
      </c>
      <c r="AB31" s="22">
        <f>(SUMIF(Table14[Party],Q31,Table14[Credit]))+_xlfn.IFNA(L110,0)</f>
        <v>0</v>
      </c>
      <c r="AC31" s="33">
        <f t="shared" si="4"/>
        <v>0</v>
      </c>
      <c r="AD31" s="21">
        <v>10</v>
      </c>
      <c r="AE31" s="21">
        <v>13</v>
      </c>
    </row>
    <row r="32" spans="2:31"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39">
        <f t="shared" si="1"/>
        <v>0</v>
      </c>
      <c r="AB32" s="22">
        <f>(SUMIF(Table14[Party],Q32,Table14[Credit]))+_xlfn.IFNA(L111,0)</f>
        <v>0</v>
      </c>
      <c r="AC32" s="33">
        <f t="shared" si="4"/>
        <v>0</v>
      </c>
      <c r="AD32" s="21">
        <v>10</v>
      </c>
      <c r="AE32" s="21">
        <v>13</v>
      </c>
    </row>
    <row r="33" spans="2:31"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39">
        <f t="shared" si="1"/>
        <v>0</v>
      </c>
      <c r="AB33" s="22">
        <f>(SUMIF(Table14[Party],Q33,Table14[Credit]))+_xlfn.IFNA(L112,0)</f>
        <v>0</v>
      </c>
      <c r="AC33" s="33">
        <f t="shared" si="4"/>
        <v>0</v>
      </c>
      <c r="AD33" s="21">
        <v>10</v>
      </c>
      <c r="AE33" s="21">
        <v>13</v>
      </c>
    </row>
    <row r="34" spans="2:31"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39">
        <f t="shared" si="1"/>
        <v>0</v>
      </c>
      <c r="AB34" s="22">
        <f>(SUMIF(Table14[Party],Q34,Table14[Credit]))+_xlfn.IFNA(L113,0)</f>
        <v>0</v>
      </c>
      <c r="AC34" s="33">
        <f t="shared" si="4"/>
        <v>0</v>
      </c>
      <c r="AD34" s="21">
        <v>10</v>
      </c>
      <c r="AE34" s="21">
        <v>13</v>
      </c>
    </row>
    <row r="35" spans="2:31"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39">
        <f t="shared" si="1"/>
        <v>0</v>
      </c>
      <c r="AB35" s="22">
        <f>(SUMIF(Table14[Party],Q35,Table14[Credit]))+_xlfn.IFNA(L114,0)</f>
        <v>0</v>
      </c>
      <c r="AC35" s="33">
        <f t="shared" si="4"/>
        <v>0</v>
      </c>
      <c r="AD35" s="21">
        <v>10</v>
      </c>
      <c r="AE35" s="21">
        <v>13</v>
      </c>
    </row>
    <row r="47" spans="2:31" x14ac:dyDescent="0.3">
      <c r="B47" t="s">
        <v>156</v>
      </c>
    </row>
    <row r="48" spans="2:31" x14ac:dyDescent="0.3">
      <c r="B48" s="21"/>
      <c r="C48" s="23" t="s">
        <v>10</v>
      </c>
      <c r="D48" s="23" t="s">
        <v>11</v>
      </c>
      <c r="E48" s="23" t="s">
        <v>12</v>
      </c>
      <c r="F48" s="23" t="s">
        <v>13</v>
      </c>
      <c r="G48" s="23" t="s">
        <v>14</v>
      </c>
      <c r="H48" s="23" t="s">
        <v>15</v>
      </c>
      <c r="I48" s="23" t="s">
        <v>190</v>
      </c>
      <c r="J48" s="23" t="s">
        <v>191</v>
      </c>
      <c r="K48" s="23" t="s">
        <v>16</v>
      </c>
      <c r="L48" s="23" t="s">
        <v>17</v>
      </c>
      <c r="M48" s="23" t="s">
        <v>18</v>
      </c>
      <c r="N48" s="23" t="s">
        <v>19</v>
      </c>
      <c r="O48" s="23" t="s">
        <v>20</v>
      </c>
    </row>
    <row r="49" spans="1:23" x14ac:dyDescent="0.3">
      <c r="A49" t="s">
        <v>33</v>
      </c>
      <c r="B49" s="24" t="str" cm="1">
        <f t="array" ref="B49:B73">_xlfn.UNIQUE(Table1[Party Name])</f>
        <v>BSC</v>
      </c>
      <c r="C49" s="22" cm="1">
        <f t="array" ref="C49:C73">_xlfn.BYROW(_xlfn.ANCHORARRAY(B49),_xlfn.LAMBDA(_xlpm.party,SUMIFS(ledger!G:G,ledger!B:B,_xlpm.party,ledger!E:E,"&lt;&gt;*RD*")))</f>
        <v>251452</v>
      </c>
      <c r="D49" s="22" cm="1">
        <f t="array" ref="D49:D73">_xlfn.BYROW(_xlfn.ANCHORARRAY(B49), _xlfn.LAMBDA(_xlpm.party, SUMIFS(ledger!G:G, ledger!B:B, _xlpm.party, ledger!E:E, "&lt;&gt;*RD*") / 1.0936 ))</f>
        <v>229930.50475493784</v>
      </c>
      <c r="E49" s="63" cm="1">
        <f t="array" ref="E49:E73">(_xlfn.BYROW(_xlfn.ANCHORARRAY(B49),_xlfn.LAMBDA(_xlpm.party,SUMIFS(ledger!G:G,ledger!B:B,_xlpm.party,ledger!E:E,"&lt;&gt;*RD*",ledger!D:D,"Chamki")+SUMIFS(ledger!G:G, ledger!B:B, _xlpm.party, ledger!E:E, "&lt;&gt;*RD*", ledger!D:D, "Crinkle")))/1.0936)</f>
        <v>129668.06876371618</v>
      </c>
      <c r="F49" s="63" cm="1">
        <f t="array" ref="F49:F73">(_xlfn.BYROW(_xlfn.ANCHORARRAY(B49),_xlfn.LAMBDA(_xlpm.party,SUMIFS(ledger!G:G,ledger!B:B,_xlpm.party,ledger!E:E,"&lt;&gt;*RD*",ledger!D:D,"Silky")))/1.0936)</f>
        <v>100262.43599122166</v>
      </c>
      <c r="G49" s="22" cm="1">
        <f t="array" ref="G49">(_xlfn.BYROW(B49,_xlfn.LAMBDA(_xlpm.party,
(SUMIFS(ledger!J:J,ledger!B:B,_xlpm.party,ledger!E:E,"&lt;&gt;*RD*",ledger!D:D,"Chamki",ledger!C:C,"&lt;&gt;October Closing CF")+
SUMIFS(ledger!J:J,ledger!B:B,_xlpm.party,ledger!E:E,"&lt;&gt;*RD*",ledger!D:D,"Crinkle",ledger!C:C,"&lt;&gt;October Closing CF")
))))</f>
        <v>1296680.6876371622</v>
      </c>
      <c r="H49" s="22" cm="1">
        <f t="array" ref="H49">_xlfn.BYROW(B49, _xlfn.LAMBDA(_xlpm.party,
   SUMIFS(ledger!J:J, ledger!B:B, _xlpm.party, ledger!E:E, "&lt;&gt;*RD*", ledger!D:D, "Silky", ledger!C:C, "&lt;&gt;October Closing CF")
))</f>
        <v>1303411.6678858816</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2600092.3555230438</v>
      </c>
      <c r="L49" s="22">
        <f>(SUMIF(Table14[Party],B49,Table14[Credit]))</f>
        <v>1339058</v>
      </c>
      <c r="M49" s="37">
        <f>K49-L49</f>
        <v>1261034.3555230438</v>
      </c>
      <c r="N49" s="21">
        <v>10</v>
      </c>
      <c r="O49" s="21">
        <v>12</v>
      </c>
    </row>
    <row r="50" spans="1:23" x14ac:dyDescent="0.3">
      <c r="B50" s="24" t="str">
        <v>Ejaz Sahab</v>
      </c>
      <c r="C50" s="22">
        <v>115553</v>
      </c>
      <c r="D50" s="22">
        <v>105662.94806144843</v>
      </c>
      <c r="E50" s="63">
        <v>0</v>
      </c>
      <c r="F50" s="63">
        <v>105662.94806144843</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1373618.3247988296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78" si="5">G50+H50+I50+J50</f>
        <v>1373618.3247988296</v>
      </c>
      <c r="L50" s="22">
        <f>(SUMIF(Table14[Party],B50,Table14[Credit]))</f>
        <v>500000</v>
      </c>
      <c r="M50" s="37">
        <f>K50-L50</f>
        <v>873618.32479882962</v>
      </c>
      <c r="N50" s="21">
        <v>10</v>
      </c>
      <c r="O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5"/>
        <v>2125233.1748354062</v>
      </c>
      <c r="L51" s="22">
        <f>(SUMIF(Table14[Party],B51,Table14[Credit]))</f>
        <v>1600000</v>
      </c>
      <c r="M51" s="37">
        <f>K51-L51</f>
        <v>525233.17483540624</v>
      </c>
      <c r="N51" s="21">
        <v>10</v>
      </c>
      <c r="O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5"/>
        <v>0</v>
      </c>
      <c r="L52" s="22">
        <f>(SUMIF(Table14[Party],B52,Table14[Credit]))</f>
        <v>0</v>
      </c>
      <c r="M52" s="37">
        <f t="shared" ref="M52:M55" si="6">K52-L52</f>
        <v>0</v>
      </c>
      <c r="N52" s="21">
        <v>10.5</v>
      </c>
      <c r="O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5"/>
        <v>0</v>
      </c>
      <c r="L53" s="22">
        <f>(SUMIF(Table14[Party],B53,Table14[Credit]))</f>
        <v>0</v>
      </c>
      <c r="M53" s="37">
        <f t="shared" si="6"/>
        <v>0</v>
      </c>
      <c r="N53" s="21">
        <v>10</v>
      </c>
      <c r="O53" s="21">
        <v>12</v>
      </c>
    </row>
    <row r="54" spans="1:23" x14ac:dyDescent="0.3">
      <c r="B54" s="24" t="str">
        <v>Sajad Khan</v>
      </c>
      <c r="C54" s="22">
        <v>159846</v>
      </c>
      <c r="D54" s="22">
        <v>146164.95976591075</v>
      </c>
      <c r="E54" s="63">
        <v>146164.95976591075</v>
      </c>
      <c r="F54" s="63">
        <v>0</v>
      </c>
      <c r="G54" s="22" cm="1">
        <f t="array" ref="G54">(_xlfn.BYROW(B54,_xlfn.LAMBDA(_xlpm.party,
(SUMIFS(ledger!J:J,ledger!B:B,_xlpm.party,ledger!E:E,"&lt;&gt;*RD*",ledger!D:D,"Chamki",ledger!C:C,"&lt;&gt;October Closing CF")+
SUMIFS(ledger!J:J,ledger!B:B,_xlpm.party,ledger!E:E,"&lt;&gt;*RD*",ledger!D:D,"Crinkle",ledger!C:C,"&lt;&gt;October Closing CF")
))))</f>
        <v>1461649.5976591078</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5"/>
        <v>1461649.5976591078</v>
      </c>
      <c r="L54" s="22">
        <f>(SUMIF(Table14[Party],B54,Table14[Credit]))</f>
        <v>1353061</v>
      </c>
      <c r="M54" s="37">
        <f t="shared" si="6"/>
        <v>108588.59765910776</v>
      </c>
      <c r="N54" s="21">
        <v>10</v>
      </c>
      <c r="O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5"/>
        <v>471086.32040965627</v>
      </c>
      <c r="L55" s="22">
        <f>(SUMIF(Table14[Party],B55,Table14[Credit]))</f>
        <v>100000</v>
      </c>
      <c r="M55" s="37">
        <f t="shared" si="6"/>
        <v>371086.32040965627</v>
      </c>
      <c r="N55" s="21">
        <v>10</v>
      </c>
      <c r="O55" s="21">
        <v>12</v>
      </c>
    </row>
    <row r="56" spans="1:23" x14ac:dyDescent="0.3">
      <c r="B56" s="24" t="str">
        <v>Azam</v>
      </c>
      <c r="C56" s="22">
        <v>152757</v>
      </c>
      <c r="D56" s="22">
        <v>139682.69934162401</v>
      </c>
      <c r="E56" s="63">
        <v>139682.69934162401</v>
      </c>
      <c r="F56" s="63">
        <v>0</v>
      </c>
      <c r="G56" s="22" cm="1">
        <f t="array" ref="G56">(_xlfn.BYROW(B56,_xlfn.LAMBDA(_xlpm.party,
(SUMIFS(ledger!J:J,ledger!B:B,_xlpm.party,ledger!E:E,"&lt;&gt;*RD*",ledger!D:D,"Chamki",ledger!C:C,"&lt;&gt;October Closing CF")+
SUMIFS(ledger!J:J,ledger!B:B,_xlpm.party,ledger!E:E,"&lt;&gt;*RD*",ledger!D:D,"Crinkle",ledger!C:C,"&lt;&gt;October Closing CF")
))))</f>
        <v>1396826.99341624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5"/>
        <v>1396826.99341624</v>
      </c>
      <c r="L56" s="22">
        <f>(SUMIF(Table14[Party],B56,Table14[Credit]))</f>
        <v>1705000</v>
      </c>
      <c r="M56" s="37">
        <f t="shared" ref="M56:M78" si="7">K56-L56</f>
        <v>-308173.00658376003</v>
      </c>
      <c r="N56" s="21">
        <v>10</v>
      </c>
      <c r="O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5"/>
        <v>0</v>
      </c>
      <c r="L57" s="22">
        <f>SUMIF(Table14[Party], B57, Table14[Credit])</f>
        <v>10040</v>
      </c>
      <c r="M57" s="37">
        <f t="shared" si="7"/>
        <v>-10040</v>
      </c>
      <c r="N57" s="21">
        <v>10</v>
      </c>
      <c r="O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5"/>
        <v>0</v>
      </c>
      <c r="L58" s="22">
        <f>SUMIF(Table14[Party], B58, Table14[Credit])</f>
        <v>130000</v>
      </c>
      <c r="M58" s="37">
        <f t="shared" si="7"/>
        <v>-130000</v>
      </c>
      <c r="N58" s="21">
        <v>12</v>
      </c>
      <c r="O58" s="21">
        <v>12</v>
      </c>
      <c r="U58" s="4" t="s">
        <v>21</v>
      </c>
      <c r="V58" s="5">
        <v>229930.50475493784</v>
      </c>
      <c r="W58" s="18">
        <v>2499829.9195318213</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5"/>
        <v>643050.47549378208</v>
      </c>
      <c r="L59" s="22">
        <f>SUMIF(Table14[Party], B59, Table14[Credit])</f>
        <v>505980</v>
      </c>
      <c r="M59" s="37">
        <f t="shared" si="7"/>
        <v>137070.47549378208</v>
      </c>
      <c r="N59" s="21">
        <v>10</v>
      </c>
      <c r="O59" s="21">
        <v>12</v>
      </c>
      <c r="U59" s="4" t="s">
        <v>22</v>
      </c>
      <c r="V59" s="5">
        <v>105662.94806144843</v>
      </c>
      <c r="W59" s="18">
        <v>1267955.3767373813</v>
      </c>
    </row>
    <row r="60" spans="1:23" x14ac:dyDescent="0.3">
      <c r="B60" s="24" t="str">
        <v>Badshah Fabrics</v>
      </c>
      <c r="C60" s="22">
        <v>74560</v>
      </c>
      <c r="D60" s="22">
        <v>68178.493050475503</v>
      </c>
      <c r="E60" s="63">
        <v>14119.422092172643</v>
      </c>
      <c r="F60" s="63">
        <v>54059.070958302858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702767.92245793715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5"/>
        <v>843962.14337966358</v>
      </c>
      <c r="L60" s="22">
        <f>SUMIF(Table14[Party], B60, Table14[Credit])</f>
        <v>925217</v>
      </c>
      <c r="M60" s="37">
        <f t="shared" si="7"/>
        <v>-81254.856620336417</v>
      </c>
      <c r="N60" s="21">
        <v>10</v>
      </c>
      <c r="O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5"/>
        <v>0</v>
      </c>
      <c r="L61" s="22">
        <f>SUMIF(Table14[Party], B61, Table14[Credit])</f>
        <v>0</v>
      </c>
      <c r="M61" s="37">
        <f t="shared" si="7"/>
        <v>0</v>
      </c>
      <c r="N61" s="21">
        <v>10</v>
      </c>
      <c r="O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5"/>
        <v>0</v>
      </c>
      <c r="L62" s="22">
        <f>SUMIF(Table14[Party], B62, Table14[Credit])</f>
        <v>0</v>
      </c>
      <c r="M62" s="37">
        <f t="shared" si="7"/>
        <v>0</v>
      </c>
      <c r="N62" s="21">
        <v>10</v>
      </c>
      <c r="O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5"/>
        <v>0</v>
      </c>
      <c r="L63" s="22">
        <f>SUMIF(Table14[Party], B63, Table14[Credit])</f>
        <v>0</v>
      </c>
      <c r="M63" s="37">
        <f t="shared" si="7"/>
        <v>0</v>
      </c>
      <c r="N63" s="21">
        <v>10</v>
      </c>
      <c r="O63" s="21">
        <v>12</v>
      </c>
      <c r="U63" s="4" t="s">
        <v>25</v>
      </c>
      <c r="V63" s="5">
        <v>146164.95976591075</v>
      </c>
      <c r="W63" s="18">
        <v>1461649.5976591075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5"/>
        <v>0</v>
      </c>
      <c r="L64" s="22">
        <f>SUMIF(Table14[Party], B81, Table14[Credit])</f>
        <v>0</v>
      </c>
      <c r="M64" s="37">
        <f t="shared" si="7"/>
        <v>0</v>
      </c>
      <c r="N64" s="21">
        <v>10</v>
      </c>
      <c r="O64" s="21">
        <v>12</v>
      </c>
      <c r="U64" s="4" t="s">
        <v>26</v>
      </c>
      <c r="V64" s="5">
        <v>47108.632040965625</v>
      </c>
      <c r="W64" s="18">
        <v>471086.32040965627</v>
      </c>
    </row>
    <row r="65" spans="2:23" x14ac:dyDescent="0.3">
      <c r="B65" t="str">
        <v>Faizan</v>
      </c>
      <c r="C65" s="22">
        <v>216790</v>
      </c>
      <c r="D65" s="22">
        <v>198235.18653986833</v>
      </c>
      <c r="E65" s="63">
        <v>0</v>
      </c>
      <c r="F65" s="63">
        <v>198235.18653986833</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2577057.4250182887</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5"/>
        <v>2577057.4250182887</v>
      </c>
      <c r="L65" s="22">
        <f>SUMIF(Table14[Party], B65, Table14[Credit])</f>
        <v>2000000</v>
      </c>
      <c r="M65" s="37">
        <f t="shared" si="7"/>
        <v>577057.42501828866</v>
      </c>
      <c r="N65" s="21">
        <v>10</v>
      </c>
      <c r="O65" s="21">
        <v>13</v>
      </c>
      <c r="U65" s="4" t="s">
        <v>153</v>
      </c>
      <c r="V65" s="5">
        <v>139682.69934162401</v>
      </c>
      <c r="W65" s="18">
        <v>1396826.9934162402</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5"/>
        <v>0</v>
      </c>
      <c r="L66" s="22">
        <f>SUMIF(Table14[Party], B66, Table14[Credit])</f>
        <v>0</v>
      </c>
      <c r="M66" s="37">
        <f t="shared" si="7"/>
        <v>0</v>
      </c>
      <c r="N66" s="21">
        <v>10</v>
      </c>
      <c r="O66" s="21">
        <v>12</v>
      </c>
      <c r="U66" s="4" t="s">
        <v>35</v>
      </c>
      <c r="V66" s="5">
        <v>0</v>
      </c>
      <c r="W66" s="18">
        <v>0</v>
      </c>
    </row>
    <row r="67" spans="2:23" x14ac:dyDescent="0.3">
      <c r="B67" t="str">
        <v>Amjad sohail</v>
      </c>
      <c r="C67" s="22">
        <v>173560</v>
      </c>
      <c r="D67" s="22">
        <v>158705.1938551573</v>
      </c>
      <c r="E67" s="63">
        <v>158705.1938551573</v>
      </c>
      <c r="F67" s="63">
        <v>0</v>
      </c>
      <c r="G67" s="22" cm="1">
        <f t="array" ref="G67">(_xlfn.BYROW(B67,_xlfn.LAMBDA(_xlpm.party,
(SUMIFS(ledger!J:J,ledger!B:B,_xlpm.party,ledger!E:E,"&lt;&gt;*RD*",ledger!D:D,"Chamki",ledger!C:C,"&lt;&gt;October Closing CF")+
SUMIFS(ledger!J:J,ledger!B:B,_xlpm.party,ledger!E:E,"&lt;&gt;*RD*",ledger!D:D,"Crinkle",ledger!C:C,"&lt;&gt;October Closing CF")
))))</f>
        <v>1587051.9385515728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5"/>
        <v>1587051.9385515728</v>
      </c>
      <c r="L67" s="22">
        <f>SUMIF(Table14[Party], B67, Table14[Credit])</f>
        <v>1500000</v>
      </c>
      <c r="M67" s="37">
        <f t="shared" si="7"/>
        <v>87051.93855157285</v>
      </c>
      <c r="N67" s="21">
        <v>10</v>
      </c>
      <c r="O67" s="21">
        <v>12</v>
      </c>
      <c r="U67" s="4" t="s">
        <v>149</v>
      </c>
      <c r="V67" s="5">
        <v>0</v>
      </c>
      <c r="W67" s="18">
        <v>0</v>
      </c>
    </row>
    <row r="68" spans="2:23" x14ac:dyDescent="0.3">
      <c r="B68" t="str">
        <v>Salman Zaffar</v>
      </c>
      <c r="C68" s="22">
        <v>55541</v>
      </c>
      <c r="D68" s="22">
        <v>50787.307973664967</v>
      </c>
      <c r="E68" s="63">
        <v>14355.340160936359</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143553.40160936359</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5"/>
        <v>551871.79956108273</v>
      </c>
      <c r="L68" s="22">
        <f>SUMIF(Table14[Party], B68, Table14[Credit])</f>
        <v>0</v>
      </c>
      <c r="M68" s="37">
        <f t="shared" si="7"/>
        <v>551871.79956108273</v>
      </c>
      <c r="N68" s="21">
        <v>10</v>
      </c>
      <c r="O68" s="21">
        <v>12</v>
      </c>
      <c r="U68" s="4" t="s">
        <v>27</v>
      </c>
      <c r="V68" s="5">
        <v>64305.047549378207</v>
      </c>
      <c r="W68" s="18">
        <v>643050.47549378208</v>
      </c>
    </row>
    <row r="69" spans="2:23" x14ac:dyDescent="0.3">
      <c r="B69" t="str">
        <v>Shahid Qasayi</v>
      </c>
      <c r="C69" s="22">
        <v>145748</v>
      </c>
      <c r="D69" s="22">
        <v>133273.59180687639</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5"/>
        <v>1134957.9370885149</v>
      </c>
      <c r="L69" s="22">
        <f>SUMIF(Table14[Party], B69, Table14[Credit])</f>
        <v>1103325</v>
      </c>
      <c r="M69" s="37">
        <f t="shared" si="7"/>
        <v>31632.937088514911</v>
      </c>
      <c r="N69" s="21">
        <v>10</v>
      </c>
      <c r="O69" s="21">
        <v>12</v>
      </c>
      <c r="U69" s="4" t="s">
        <v>167</v>
      </c>
      <c r="V69" s="5">
        <v>68178.493050475503</v>
      </c>
      <c r="W69" s="18">
        <v>789903.07242136076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39">
        <f t="shared" si="5"/>
        <v>424323.335771763</v>
      </c>
      <c r="L70" s="22">
        <f>SUMIF(Table14[Party], B70, Table14[Credit])</f>
        <v>424323</v>
      </c>
      <c r="M70" s="37">
        <f t="shared" si="7"/>
        <v>0.33577176299877465</v>
      </c>
      <c r="U70" s="4" t="s">
        <v>169</v>
      </c>
      <c r="V70" s="5">
        <v>0</v>
      </c>
      <c r="W70" s="18">
        <v>0</v>
      </c>
    </row>
    <row r="71" spans="2:23" x14ac:dyDescent="0.3">
      <c r="B71" t="str">
        <v>ibraheem behraam</v>
      </c>
      <c r="C71">
        <v>35948</v>
      </c>
      <c r="D71">
        <v>32871.250914411125</v>
      </c>
      <c r="E71">
        <v>0</v>
      </c>
      <c r="F71">
        <v>32871.250914411125</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427326.26188734459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39">
        <f t="shared" si="5"/>
        <v>427326.26188734459</v>
      </c>
      <c r="L71" s="22">
        <f>SUMIF(Table14[Party], B71, Table14[Credit])</f>
        <v>337000</v>
      </c>
      <c r="M71" s="37">
        <f t="shared" si="7"/>
        <v>90326.26188734459</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39">
        <f t="shared" si="5"/>
        <v>124561.08266276518</v>
      </c>
      <c r="L72" s="22">
        <f>SUMIF(Table14[Party], B72, Table14[Credit])</f>
        <v>124560</v>
      </c>
      <c r="M72" s="37">
        <f t="shared" si="7"/>
        <v>1.0826627651840681</v>
      </c>
      <c r="U72" s="4" t="s">
        <v>177</v>
      </c>
      <c r="V72" s="5">
        <v>0</v>
      </c>
      <c r="W72" s="18">
        <v>0</v>
      </c>
    </row>
    <row r="73" spans="2:23" x14ac:dyDescent="0.3">
      <c r="B73">
        <v>0</v>
      </c>
      <c r="C73">
        <v>0</v>
      </c>
      <c r="D73">
        <v>0</v>
      </c>
      <c r="E73">
        <v>0</v>
      </c>
      <c r="F73">
        <v>0</v>
      </c>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39">
        <f t="shared" si="5"/>
        <v>0</v>
      </c>
      <c r="L73" s="22">
        <f>SUMIF(Table14[Party], B73, Table14[Credit])</f>
        <v>0</v>
      </c>
      <c r="M73" s="37">
        <f t="shared" si="7"/>
        <v>0</v>
      </c>
      <c r="U73" s="4" t="s">
        <v>179</v>
      </c>
      <c r="V73" s="5">
        <v>0</v>
      </c>
      <c r="W73" s="18">
        <v>0</v>
      </c>
    </row>
    <row r="74" spans="2:23"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39">
        <f t="shared" si="5"/>
        <v>0</v>
      </c>
      <c r="L74" s="22">
        <f>SUMIF(Table14[Party], B74, Table14[Credit])</f>
        <v>0</v>
      </c>
      <c r="M74" s="37">
        <f t="shared" si="7"/>
        <v>0</v>
      </c>
      <c r="U74" s="4" t="s">
        <v>184</v>
      </c>
      <c r="V74" s="5">
        <v>198235.18653986833</v>
      </c>
      <c r="W74" s="18">
        <v>2378822.2384784198</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39">
        <f t="shared" si="5"/>
        <v>0</v>
      </c>
      <c r="L75" s="22">
        <f>SUMIF(Table14[Party], B75, Table14[Credit])</f>
        <v>0</v>
      </c>
      <c r="M75" s="37">
        <f t="shared" si="7"/>
        <v>0</v>
      </c>
      <c r="U75" s="4" t="s">
        <v>28</v>
      </c>
      <c r="V75" s="14">
        <v>1192796.2692026335</v>
      </c>
      <c r="W75" s="14">
        <v>12971038.771031456</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39">
        <f t="shared" si="5"/>
        <v>0</v>
      </c>
      <c r="L76" s="22">
        <f>SUMIF(Table14[Party], B76, Table14[Credit])</f>
        <v>0</v>
      </c>
      <c r="M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39">
        <f t="shared" si="5"/>
        <v>0</v>
      </c>
      <c r="L77" s="22">
        <f>SUMIF(Table14[Party], B77, Table14[Credit])</f>
        <v>0</v>
      </c>
      <c r="M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39">
        <f t="shared" si="5"/>
        <v>0</v>
      </c>
      <c r="L78" s="22">
        <f>SUMIF(Table14[Party], B78, Table14[Credit])</f>
        <v>0</v>
      </c>
      <c r="M78" s="37">
        <f t="shared" si="7"/>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8">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8">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row r="108" spans="2:15" x14ac:dyDescent="0.3">
      <c r="B108">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8"/>
  <sheetViews>
    <sheetView topLeftCell="A4"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8">_xlfn.UNIQUE(Table1[Party Name])</f>
        <v>BSC</v>
      </c>
    </row>
    <row r="5" spans="2:10" x14ac:dyDescent="0.3">
      <c r="J5" t="str">
        <v>Ejaz Sahab</v>
      </c>
    </row>
    <row r="6" spans="2:10" ht="21" x14ac:dyDescent="0.4">
      <c r="B6" s="64" t="s">
        <v>196</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55541</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50787.307973664967</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14355.340160936359</v>
      </c>
      <c r="E12" s="92">
        <f ca="1">Table21[[#This Row],[gazana]]*Table21[[#This Row],[Rate]]</f>
        <v>143553.40160936359</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31409.107534747625</v>
      </c>
      <c r="E14" s="66">
        <f ca="1">Table21[[#This Row],[gazana]]*Table21[[#This Row],[Rate]]</f>
        <v>376909.29041697149</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520462.69202633505</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OFFSET(Billing!AB5, 0, 0, ROWS(_xlfn.ANCHORARRAY(Billing!Q5))), "Not Found")</f>
        <v>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OFFSET(Billing!AC5, 0, 0, ROWS(_xlfn.ANCHORARRAY(Billing!Q5))), "Not Found")</f>
        <v>612146.12289685453</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v>0</v>
      </c>
    </row>
  </sheetData>
  <conditionalFormatting sqref="E20">
    <cfRule type="cellIs" dxfId="54" priority="1" operator="lessThan">
      <formula>20000</formula>
    </cfRule>
    <cfRule type="cellIs" dxfId="5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10" sqref="C10"/>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5967000</v>
      </c>
      <c r="D4" t="s">
        <v>219</v>
      </c>
    </row>
    <row r="5" spans="1:4" x14ac:dyDescent="0.3">
      <c r="B5" t="s">
        <v>48</v>
      </c>
      <c r="C5" s="11">
        <f>SUM(Table8[Price])+Table2325[[#Totals],[total]]</f>
        <v>1506520</v>
      </c>
    </row>
    <row r="6" spans="1:4" x14ac:dyDescent="0.3">
      <c r="B6" t="s">
        <v>49</v>
      </c>
      <c r="C6" s="11">
        <f>SUM(Table2[Price])+Finish!J30</f>
        <v>852000</v>
      </c>
      <c r="D6" t="s">
        <v>218</v>
      </c>
    </row>
    <row r="7" spans="1:4" x14ac:dyDescent="0.3">
      <c r="B7" t="s">
        <v>50</v>
      </c>
      <c r="C7" s="11">
        <f>SUMIFS(Table14[Debit], Table14[Party],Table12[[#This Row],[Type]])</f>
        <v>14620</v>
      </c>
    </row>
    <row r="8" spans="1:4" x14ac:dyDescent="0.3">
      <c r="B8" t="s">
        <v>51</v>
      </c>
      <c r="C8" s="11">
        <f>Electricity!E3</f>
        <v>0</v>
      </c>
    </row>
    <row r="9" spans="1:4" x14ac:dyDescent="0.3">
      <c r="B9" t="s">
        <v>52</v>
      </c>
      <c r="C9" s="11">
        <f>SUMIFS(Table14[Debit], Table14[Party],Table12[[#This Row],[Type]])+SUMIFS(Table14[Debit], Table14[Party],"Advance Salary")</f>
        <v>660850</v>
      </c>
    </row>
    <row r="10" spans="1:4" x14ac:dyDescent="0.3">
      <c r="B10" t="s">
        <v>53</v>
      </c>
      <c r="C10" s="11">
        <f>Table5[[#Totals],[Amount]]</f>
        <v>125170</v>
      </c>
    </row>
    <row r="11" spans="1:4" x14ac:dyDescent="0.3">
      <c r="B11" t="s">
        <v>54</v>
      </c>
      <c r="C11" s="11">
        <f>Table13[[#Totals],[Debit]]</f>
        <v>160740</v>
      </c>
    </row>
    <row r="12" spans="1:4" x14ac:dyDescent="0.3">
      <c r="B12" t="s">
        <v>55</v>
      </c>
      <c r="C12" s="11">
        <f>Table15[[#Totals],[Amount]]</f>
        <v>326064</v>
      </c>
    </row>
    <row r="13" spans="1:4" x14ac:dyDescent="0.3">
      <c r="C13" s="11"/>
    </row>
    <row r="14" spans="1:4" x14ac:dyDescent="0.3">
      <c r="C14" s="14">
        <f>SUM(Table12[Amount])</f>
        <v>9612964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17618108.083394296</v>
      </c>
    </row>
    <row r="4" spans="1:3" x14ac:dyDescent="0.3">
      <c r="B4" s="11" t="s">
        <v>44</v>
      </c>
      <c r="C4" s="11">
        <f>Table12[[#Totals],[Amount]]</f>
        <v>9612964</v>
      </c>
    </row>
    <row r="5" spans="1:3" x14ac:dyDescent="0.3">
      <c r="A5" s="6"/>
      <c r="B5" s="15" t="s">
        <v>68</v>
      </c>
      <c r="C5" s="15">
        <f>C3-C4</f>
        <v>8005144.0833942965</v>
      </c>
    </row>
    <row r="10" spans="1:3" ht="15" thickBot="1" x14ac:dyDescent="0.35">
      <c r="B10" t="s">
        <v>66</v>
      </c>
      <c r="C10" s="14" t="s">
        <v>67</v>
      </c>
    </row>
    <row r="11" spans="1:3" x14ac:dyDescent="0.3">
      <c r="B11" s="56" t="s">
        <v>0</v>
      </c>
      <c r="C11" s="57">
        <f>C3</f>
        <v>17618108.083394296</v>
      </c>
    </row>
    <row r="12" spans="1:3" x14ac:dyDescent="0.3">
      <c r="B12" s="58" t="s">
        <v>69</v>
      </c>
      <c r="C12" s="59">
        <f>SUM(Table14[Credit])</f>
        <v>15334540</v>
      </c>
    </row>
    <row r="13" spans="1:3" ht="15" thickBot="1" x14ac:dyDescent="0.35">
      <c r="B13" s="74" t="s">
        <v>94</v>
      </c>
      <c r="C13" s="73">
        <f>(C11-C12)</f>
        <v>2283568.0833942965</v>
      </c>
    </row>
    <row r="14" spans="1:3" ht="15" thickBot="1" x14ac:dyDescent="0.35">
      <c r="B14" s="58"/>
      <c r="C14" s="59"/>
    </row>
    <row r="15" spans="1:3" x14ac:dyDescent="0.3">
      <c r="B15" s="56" t="s">
        <v>44</v>
      </c>
      <c r="C15" s="57">
        <f>C4</f>
        <v>9612964</v>
      </c>
    </row>
    <row r="16" spans="1:3" x14ac:dyDescent="0.3">
      <c r="B16" s="58" t="s">
        <v>70</v>
      </c>
      <c r="C16" s="59">
        <f>SUM(Table14[Debit])</f>
        <v>15283023</v>
      </c>
    </row>
    <row r="17" spans="2:6" ht="15" thickBot="1" x14ac:dyDescent="0.35">
      <c r="B17" s="74" t="s">
        <v>71</v>
      </c>
      <c r="C17" s="73">
        <f>C15-C16</f>
        <v>-5670059</v>
      </c>
    </row>
    <row r="18" spans="2:6" ht="15" thickBot="1" x14ac:dyDescent="0.35">
      <c r="B18" s="58"/>
      <c r="C18" s="59"/>
    </row>
    <row r="19" spans="2:6" ht="15" thickBot="1" x14ac:dyDescent="0.35">
      <c r="B19" s="75" t="s">
        <v>72</v>
      </c>
      <c r="C19" s="76">
        <f>Table18[[#Totals],[amount]]</f>
        <v>53167</v>
      </c>
    </row>
    <row r="20" spans="2:6" ht="15" thickBot="1" x14ac:dyDescent="0.35">
      <c r="B20" s="71"/>
      <c r="C20" s="72"/>
    </row>
    <row r="21" spans="2:6" ht="15" thickBot="1" x14ac:dyDescent="0.35">
      <c r="B21" s="60" t="s">
        <v>73</v>
      </c>
      <c r="C21" s="61">
        <f>(C13-C17)+C19</f>
        <v>8006794.0833942965</v>
      </c>
      <c r="E21" s="79" t="s">
        <v>74</v>
      </c>
      <c r="F21" s="80">
        <f>C5*0.05</f>
        <v>400257.20416971482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8180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160740</v>
      </c>
      <c r="E38">
        <f>SUBTOTAL(109,Table13[Credit])</f>
        <v>0</v>
      </c>
      <c r="F38">
        <f>Table13[[#Totals],[Debit]]-Table13[[#Totals],[Credit]]</f>
        <v>160740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27"/>
  <sheetViews>
    <sheetView tabSelected="1" topLeftCell="A211" zoomScale="91" zoomScaleNormal="82" workbookViewId="0">
      <selection activeCell="F223" sqref="F22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v>38741</v>
      </c>
      <c r="G124" s="11">
        <v>9822</v>
      </c>
      <c r="H124" s="133">
        <f>_xlfn.XLOOKUP(Table1[[#This Row],[Shipment Number]], 'pivot '!A:A,'pivot '!G:G, "NF")</f>
        <v>18.210231785764165</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v>38741</v>
      </c>
      <c r="G126" s="11">
        <v>8240</v>
      </c>
      <c r="H126" s="133">
        <f>_xlfn.XLOOKUP(Table1[[#This Row],[Shipment Number]], 'pivot '!A:A,'pivot '!G:G, "NF")</f>
        <v>18.210231785764165</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299</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4.3752867744535422</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4.3752867744535422</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3">
        <f>_xlfn.XLOOKUP(Table1[[#This Row],[Shipment Number]], 'pivot '!A:A,'pivot '!G:G, "NF")</f>
        <v>3.9061461227392442</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297</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297</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3.9550976135880944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v>38741</v>
      </c>
      <c r="G148" s="11">
        <v>2751</v>
      </c>
      <c r="H148" s="133">
        <f>_xlfn.XLOOKUP(Table1[[#This Row],[Shipment Number]], 'pivot '!A:A,'pivot '!G:G, "NF")</f>
        <v>18.210231785764165</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3.9550976135880944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0.69859889853668733</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1.2207388441843392</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184</v>
      </c>
      <c r="C160" s="126">
        <v>1169</v>
      </c>
      <c r="D160" s="126" t="s">
        <v>87</v>
      </c>
      <c r="E160" s="11">
        <v>1939</v>
      </c>
      <c r="F160" s="11">
        <v>26689</v>
      </c>
      <c r="G160" s="11">
        <v>2412</v>
      </c>
      <c r="H160" s="133">
        <f>_xlfn.XLOOKUP(Table1[[#This Row],[Shipment Number]], 'pivot '!A:A,'pivot '!G:G, "NF")</f>
        <v>3.9061461227392442</v>
      </c>
      <c r="I160" s="111">
        <f>Table1[[#This Row],[Tiyaar/gaz]]/1.0936</f>
        <v>2205.5596196049746</v>
      </c>
      <c r="J160" s="99" cm="1">
        <f t="array" ref="J1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28672.275054864669</v>
      </c>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299</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3.9550976135880944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188</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242</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299</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188</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188</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242</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v>38741</v>
      </c>
      <c r="G176" s="11">
        <v>2146</v>
      </c>
      <c r="H176" s="133">
        <f>_xlfn.XLOOKUP(Table1[[#This Row],[Shipment Number]], 'pivot '!A:A,'pivot '!G:G, "NF")</f>
        <v>18.210231785764165</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242</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356</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196</v>
      </c>
      <c r="C185" s="126">
        <v>1194</v>
      </c>
      <c r="D185" s="126" t="s">
        <v>385</v>
      </c>
      <c r="E185" s="11">
        <v>1961</v>
      </c>
      <c r="F185" s="11">
        <v>13869</v>
      </c>
      <c r="G185" s="11">
        <v>5493</v>
      </c>
      <c r="H185" s="133">
        <f>_xlfn.XLOOKUP(Table1[[#This Row],[Shipment Number]], 'pivot '!A:A,'pivot '!G:G, "NF")</f>
        <v>63.783544033593046</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242</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t="s">
        <v>21</v>
      </c>
      <c r="C193" s="126">
        <v>1202</v>
      </c>
      <c r="D193" s="126" t="s">
        <v>85</v>
      </c>
      <c r="E193" s="11">
        <v>1934</v>
      </c>
      <c r="F193" s="11">
        <v>38741</v>
      </c>
      <c r="G193" s="11">
        <v>3196</v>
      </c>
      <c r="H193" s="133">
        <f>_xlfn.XLOOKUP(Table1[[#This Row],[Shipment Number]], 'pivot '!A:A,'pivot '!G:G, "NF")</f>
        <v>18.210231785764165</v>
      </c>
      <c r="I193" s="111">
        <f>Table1[[#This Row],[Tiyaar/gaz]]/1.0936</f>
        <v>2922.4579370885153</v>
      </c>
      <c r="J193" s="99" cm="1">
        <f t="array" ref="J1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29224.579370885152</v>
      </c>
      <c r="K193" s="126"/>
    </row>
    <row r="194" spans="1:11" x14ac:dyDescent="0.3">
      <c r="A194" s="127">
        <v>45999</v>
      </c>
      <c r="B194" s="126" t="s">
        <v>242</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242</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242</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242</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5797</v>
      </c>
      <c r="H205" s="133">
        <f>_xlfn.XLOOKUP(Table1[[#This Row],[Shipment Number]], 'pivot '!A:A,'pivot '!G:G, "NF")</f>
        <v>2.78461865777561</v>
      </c>
      <c r="I205" s="111">
        <f>Table1[[#This Row],[Tiyaar/gaz]]/1.0936</f>
        <v>5300.8412582297005</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53008.412582297009</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2.78461865777561</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v>38741</v>
      </c>
      <c r="G207" s="11">
        <v>8497</v>
      </c>
      <c r="H207" s="133">
        <f>_xlfn.XLOOKUP(Table1[[#This Row],[Shipment Number]], 'pivot '!A:A,'pivot '!G:G, "NF")</f>
        <v>18.210231785764165</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s="127">
        <v>46001</v>
      </c>
      <c r="B209" s="126" t="s">
        <v>184</v>
      </c>
      <c r="C209" s="126">
        <v>1218</v>
      </c>
      <c r="D209" s="126" t="s">
        <v>87</v>
      </c>
      <c r="E209" s="11">
        <v>1942</v>
      </c>
      <c r="F209" s="11">
        <v>46746</v>
      </c>
      <c r="G209" s="11">
        <v>49567</v>
      </c>
      <c r="H209" s="133">
        <f>_xlfn.XLOOKUP(Table1[[#This Row],[Shipment Number]], 'pivot '!A:A,'pivot '!G:G, "NF")</f>
        <v>3.0406538584479392</v>
      </c>
      <c r="I209" s="111">
        <f>Table1[[#This Row],[Tiyaar/gaz]]/1.0936</f>
        <v>45324.615947329927</v>
      </c>
      <c r="J209" s="99" cm="1">
        <f t="array" ref="J2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589220.007315289</v>
      </c>
      <c r="K209" s="126"/>
    </row>
    <row r="210" spans="1:11" x14ac:dyDescent="0.3">
      <c r="A210" s="127">
        <v>46002</v>
      </c>
      <c r="B210" s="126" t="s">
        <v>184</v>
      </c>
      <c r="C210" s="126">
        <v>1219</v>
      </c>
      <c r="D210" s="126" t="s">
        <v>87</v>
      </c>
      <c r="E210" s="11">
        <v>1946</v>
      </c>
      <c r="F210" s="11">
        <v>38879</v>
      </c>
      <c r="G210" s="11">
        <v>40771</v>
      </c>
      <c r="H210" s="133">
        <f>_xlfn.XLOOKUP(Table1[[#This Row],[Shipment Number]], 'pivot '!A:A,'pivot '!G:G, "NF")</f>
        <v>4.1090158118731779</v>
      </c>
      <c r="I210" s="111">
        <f>Table1[[#This Row],[Tiyaar/gaz]]/1.0936</f>
        <v>37281.455742501836</v>
      </c>
      <c r="J210" s="99" cm="1">
        <f t="array" ref="J2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484658.92465252389</v>
      </c>
      <c r="K210" s="126"/>
    </row>
    <row r="211" spans="1:11" x14ac:dyDescent="0.3">
      <c r="A211" s="127">
        <v>46002</v>
      </c>
      <c r="B211" s="126" t="s">
        <v>22</v>
      </c>
      <c r="C211" s="126">
        <v>1220</v>
      </c>
      <c r="D211" s="126" t="s">
        <v>87</v>
      </c>
      <c r="E211" s="11">
        <v>1968</v>
      </c>
      <c r="F211" s="11">
        <v>17879</v>
      </c>
      <c r="G211" s="11">
        <v>18944</v>
      </c>
      <c r="H211" s="133">
        <f>_xlfn.XLOOKUP(Table1[[#This Row],[Shipment Number]], 'pivot '!A:A,'pivot '!G:G, "NF")</f>
        <v>3.1120071431981984</v>
      </c>
      <c r="I211" s="111">
        <f>Table1[[#This Row],[Tiyaar/gaz]]/1.0936</f>
        <v>17322.604242867594</v>
      </c>
      <c r="J211" s="99" cm="1">
        <f t="array" ref="J2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225193.85515727871</v>
      </c>
      <c r="K211" s="126"/>
    </row>
    <row r="212" spans="1:11" x14ac:dyDescent="0.3">
      <c r="A212" s="127">
        <v>46002</v>
      </c>
      <c r="B212" s="126" t="s">
        <v>22</v>
      </c>
      <c r="C212" s="126">
        <v>1221</v>
      </c>
      <c r="D212" s="126" t="s">
        <v>87</v>
      </c>
      <c r="E212" s="11" t="s">
        <v>415</v>
      </c>
      <c r="F212" s="11">
        <v>12958</v>
      </c>
      <c r="G212" s="11">
        <v>13748</v>
      </c>
      <c r="H212" s="133">
        <f>_xlfn.XLOOKUP(Table1[[#This Row],[Shipment Number]], 'pivot '!A:A,'pivot '!G:G, "NF")</f>
        <v>2.9840710966147554</v>
      </c>
      <c r="I212" s="111">
        <f>Table1[[#This Row],[Tiyaar/gaz]]/1.0936</f>
        <v>12571.32406730066</v>
      </c>
      <c r="J212" s="99" cm="1">
        <f t="array" ref="J2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163427.21287490858</v>
      </c>
      <c r="K212" s="126"/>
    </row>
    <row r="213" spans="1:11" x14ac:dyDescent="0.3">
      <c r="A213" s="127">
        <v>46002</v>
      </c>
      <c r="B213" s="126" t="s">
        <v>22</v>
      </c>
      <c r="C213" s="126">
        <v>1222</v>
      </c>
      <c r="D213" s="126" t="s">
        <v>87</v>
      </c>
      <c r="E213" s="11">
        <v>1945</v>
      </c>
      <c r="F213" s="11">
        <v>18112</v>
      </c>
      <c r="G213" s="11">
        <v>19394</v>
      </c>
      <c r="H213" s="133">
        <f>_xlfn.XLOOKUP(Table1[[#This Row],[Shipment Number]], 'pivot '!A:A,'pivot '!G:G, "NF")</f>
        <v>2.0865213862343239</v>
      </c>
      <c r="I213" s="111">
        <f>Table1[[#This Row],[Tiyaar/gaz]]/1.0936</f>
        <v>17734.08924652524</v>
      </c>
      <c r="J213" s="99" cm="1">
        <f t="array" ref="J2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230543.16020482813</v>
      </c>
      <c r="K213" s="126"/>
    </row>
    <row r="214" spans="1:11" x14ac:dyDescent="0.3">
      <c r="A214" s="127">
        <v>46002</v>
      </c>
      <c r="B214" s="126" t="s">
        <v>167</v>
      </c>
      <c r="C214" s="126">
        <v>1223</v>
      </c>
      <c r="D214" s="126" t="s">
        <v>87</v>
      </c>
      <c r="E214" s="11">
        <v>1888</v>
      </c>
      <c r="F214" s="11">
        <v>12000</v>
      </c>
      <c r="G214" s="11">
        <v>3560</v>
      </c>
      <c r="H214" s="133">
        <f>_xlfn.XLOOKUP(Table1[[#This Row],[Shipment Number]], 'pivot '!A:A,'pivot '!G:G, "NF")</f>
        <v>4.3752867744535422</v>
      </c>
      <c r="I214" s="111">
        <f>Table1[[#This Row],[Tiyaar/gaz]]/1.0936</f>
        <v>3255.3035844915876</v>
      </c>
      <c r="J214" s="99" cm="1">
        <f t="array" ref="J2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42318.946598390641</v>
      </c>
      <c r="K214" s="126"/>
    </row>
    <row r="215" spans="1:11" x14ac:dyDescent="0.3">
      <c r="A215" s="127">
        <v>46002</v>
      </c>
      <c r="B215" s="126" t="s">
        <v>22</v>
      </c>
      <c r="C215" s="126">
        <v>1224</v>
      </c>
      <c r="D215" s="126" t="s">
        <v>87</v>
      </c>
      <c r="E215" s="11">
        <v>1915</v>
      </c>
      <c r="F215" s="11">
        <v>20458</v>
      </c>
      <c r="G215" s="11">
        <v>2383</v>
      </c>
      <c r="H215" s="133">
        <f>_xlfn.XLOOKUP(Table1[[#This Row],[Shipment Number]], 'pivot '!A:A,'pivot '!G:G, "NF")</f>
        <v>3.9550976135880944</v>
      </c>
      <c r="I215" s="111">
        <f>Table1[[#This Row],[Tiyaar/gaz]]/1.0936</f>
        <v>2179.0416971470377</v>
      </c>
      <c r="J215" s="99" cm="1">
        <f t="array" ref="J2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28327.542062911489</v>
      </c>
      <c r="K215" s="126"/>
    </row>
    <row r="216" spans="1:11" x14ac:dyDescent="0.3">
      <c r="A216" s="127">
        <v>46002</v>
      </c>
      <c r="B216" s="126" t="s">
        <v>21</v>
      </c>
      <c r="C216" s="126">
        <v>1225</v>
      </c>
      <c r="D216" s="126" t="s">
        <v>87</v>
      </c>
      <c r="E216" s="11">
        <v>1921</v>
      </c>
      <c r="F216" s="11">
        <v>12000</v>
      </c>
      <c r="G216" s="11">
        <v>793</v>
      </c>
      <c r="H216" s="133">
        <f>_xlfn.XLOOKUP(Table1[[#This Row],[Shipment Number]], 'pivot '!A:A,'pivot '!G:G, "NF")</f>
        <v>1.2207388441843392</v>
      </c>
      <c r="I216" s="111">
        <f>Table1[[#This Row],[Tiyaar/gaz]]/1.0936</f>
        <v>725.12801755669352</v>
      </c>
      <c r="J216" s="99" cm="1">
        <f t="array" ref="J2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9426.6642282370158</v>
      </c>
      <c r="K216" s="126"/>
    </row>
    <row r="217" spans="1:11" x14ac:dyDescent="0.3">
      <c r="A217" s="127">
        <v>46002</v>
      </c>
      <c r="B217" s="126" t="s">
        <v>21</v>
      </c>
      <c r="C217" s="126">
        <v>1226</v>
      </c>
      <c r="D217" s="126" t="s">
        <v>87</v>
      </c>
      <c r="E217" s="11">
        <v>1870</v>
      </c>
      <c r="F217" s="11">
        <v>12087</v>
      </c>
      <c r="G217" s="11">
        <v>1119</v>
      </c>
      <c r="H217" s="133">
        <f>_xlfn.XLOOKUP(Table1[[#This Row],[Shipment Number]], 'pivot '!A:A,'pivot '!G:G, "NF")</f>
        <v>0.69859889853668733</v>
      </c>
      <c r="I217" s="111">
        <f>Table1[[#This Row],[Tiyaar/gaz]]/1.0936</f>
        <v>1023.226042428676</v>
      </c>
      <c r="J217" s="99" cm="1">
        <f t="array" ref="J2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13301.938551572788</v>
      </c>
      <c r="K217" s="126"/>
    </row>
    <row r="218" spans="1:11" x14ac:dyDescent="0.3">
      <c r="A218" s="127">
        <v>46003</v>
      </c>
      <c r="B218" s="126" t="s">
        <v>297</v>
      </c>
      <c r="C218" s="126">
        <v>1227</v>
      </c>
      <c r="D218" s="126" t="s">
        <v>87</v>
      </c>
      <c r="E218" s="11">
        <v>1962</v>
      </c>
      <c r="F218" s="11">
        <v>36110</v>
      </c>
      <c r="G218" s="11">
        <v>7398</v>
      </c>
      <c r="H218" s="133">
        <f>_xlfn.XLOOKUP(Table1[[#This Row],[Shipment Number]], 'pivot '!A:A,'pivot '!G:G, "NF")</f>
        <v>81.266093990219673</v>
      </c>
      <c r="I218" s="111">
        <f>Table1[[#This Row],[Tiyaar/gaz]]/1.0936</f>
        <v>6764.813460131676</v>
      </c>
      <c r="J218" s="99" cm="1">
        <f t="array" ref="J2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87942.57498171179</v>
      </c>
      <c r="K218" s="126"/>
    </row>
    <row r="219" spans="1:11" x14ac:dyDescent="0.3">
      <c r="A219" s="127">
        <v>46003</v>
      </c>
      <c r="B219" s="126" t="s">
        <v>188</v>
      </c>
      <c r="C219" s="126">
        <v>1228</v>
      </c>
      <c r="D219" s="126" t="s">
        <v>85</v>
      </c>
      <c r="E219" s="11">
        <v>1970</v>
      </c>
      <c r="F219" s="11">
        <v>42406</v>
      </c>
      <c r="G219" s="11">
        <v>5062</v>
      </c>
      <c r="H219" s="133">
        <f>_xlfn.XLOOKUP(Table1[[#This Row],[Shipment Number]], 'pivot '!A:A,'pivot '!G:G, "NF")</f>
        <v>2.598806168855532</v>
      </c>
      <c r="I219" s="111">
        <f>Table1[[#This Row],[Tiyaar/gaz]]/1.0936</f>
        <v>4628.7490855888809</v>
      </c>
      <c r="J219" s="99" cm="1">
        <f t="array" ref="J2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46287.490855888813</v>
      </c>
      <c r="K219" s="126"/>
    </row>
    <row r="220" spans="1:11" x14ac:dyDescent="0.3">
      <c r="A220" s="127">
        <v>46003</v>
      </c>
      <c r="B220" s="126" t="s">
        <v>188</v>
      </c>
      <c r="C220" s="126">
        <v>1229</v>
      </c>
      <c r="D220" s="126" t="s">
        <v>85</v>
      </c>
      <c r="E220" s="11">
        <v>1970</v>
      </c>
      <c r="F220" s="11">
        <v>42406</v>
      </c>
      <c r="G220" s="11">
        <v>40108</v>
      </c>
      <c r="H220" s="133">
        <f>_xlfn.XLOOKUP(Table1[[#This Row],[Shipment Number]], 'pivot '!A:A,'pivot '!G:G, "NF")</f>
        <v>2.598806168855532</v>
      </c>
      <c r="I220" s="111">
        <f>Table1[[#This Row],[Tiyaar/gaz]]/1.0936</f>
        <v>36675.201170446235</v>
      </c>
      <c r="J220" s="99" cm="1">
        <f t="array" ref="J2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366752.01170446235</v>
      </c>
      <c r="K220" s="126"/>
    </row>
    <row r="221" spans="1:11" x14ac:dyDescent="0.3">
      <c r="A221" s="127">
        <v>46003</v>
      </c>
      <c r="B221" s="126" t="s">
        <v>196</v>
      </c>
      <c r="C221" s="126">
        <v>1230</v>
      </c>
      <c r="D221" s="126" t="s">
        <v>85</v>
      </c>
      <c r="E221" s="11">
        <v>1944</v>
      </c>
      <c r="F221" s="11">
        <v>14691</v>
      </c>
      <c r="G221" s="11">
        <v>15699</v>
      </c>
      <c r="H221" s="133">
        <f>_xlfn.XLOOKUP(Table1[[#This Row],[Shipment Number]], 'pivot '!A:A,'pivot '!G:G, "NF")</f>
        <v>2.2847991223445661</v>
      </c>
      <c r="I221" s="111">
        <f>Table1[[#This Row],[Tiyaar/gaz]]/1.0936</f>
        <v>14355.340160936359</v>
      </c>
      <c r="J221" s="99" cm="1">
        <f t="array" ref="J2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143553.40160936359</v>
      </c>
      <c r="K221" s="126"/>
    </row>
    <row r="222" spans="1:11" x14ac:dyDescent="0.3">
      <c r="A222" s="127">
        <v>46003</v>
      </c>
      <c r="B222" s="126" t="s">
        <v>25</v>
      </c>
      <c r="C222" s="126">
        <v>1231</v>
      </c>
      <c r="D222" s="126" t="s">
        <v>85</v>
      </c>
      <c r="E222" s="11">
        <v>1955</v>
      </c>
      <c r="F222" s="11">
        <v>50443</v>
      </c>
      <c r="G222" s="11">
        <v>11875</v>
      </c>
      <c r="H222" s="133">
        <f>_xlfn.XLOOKUP(Table1[[#This Row],[Shipment Number]], 'pivot '!A:A,'pivot '!G:G, "NF")</f>
        <v>78.473461053137953</v>
      </c>
      <c r="I222" s="111">
        <f>Table1[[#This Row],[Tiyaar/gaz]]/1.0936</f>
        <v>10858.632040965618</v>
      </c>
      <c r="J222" s="99" cm="1">
        <f t="array" ref="J2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108586.32040965618</v>
      </c>
      <c r="K222" s="126"/>
    </row>
    <row r="223" spans="1:11" x14ac:dyDescent="0.3">
      <c r="A223" s="127">
        <v>46003</v>
      </c>
      <c r="B223" s="126" t="s">
        <v>242</v>
      </c>
      <c r="C223" s="126">
        <v>1232</v>
      </c>
      <c r="D223" s="126" t="s">
        <v>417</v>
      </c>
      <c r="E223" s="11">
        <v>1902</v>
      </c>
      <c r="F223" s="11">
        <v>49995</v>
      </c>
      <c r="G223" s="11">
        <v>21629</v>
      </c>
      <c r="H223" s="133">
        <f>_xlfn.XLOOKUP(Table1[[#This Row],[Shipment Number]], 'pivot '!A:A,'pivot '!G:G, "NF")</f>
        <v>60.440447848735126</v>
      </c>
      <c r="I223" s="111">
        <f>Table1[[#This Row],[Tiyaar/gaz]]/1.0936</f>
        <v>19777.798098024872</v>
      </c>
      <c r="J223" s="99" t="e" cm="1">
        <f t="array" ref="J2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#N/A</v>
      </c>
      <c r="K223" s="126"/>
    </row>
    <row r="224" spans="1:11" x14ac:dyDescent="0.3">
      <c r="A224" s="127">
        <v>46003</v>
      </c>
      <c r="B224" s="126"/>
      <c r="C224" s="126"/>
      <c r="D224" s="126"/>
      <c r="E224" s="11"/>
      <c r="F224" s="11"/>
      <c r="G224" s="11"/>
      <c r="H224" s="133" t="e">
        <f>_xlfn.XLOOKUP(Table1[[#This Row],[Shipment Number]], 'pivot '!A:A,'pivot '!G:G, "NF")</f>
        <v>#DIV/0!</v>
      </c>
      <c r="I224" s="134"/>
      <c r="J224" s="134"/>
      <c r="K224" s="126"/>
    </row>
    <row r="225" spans="1:11" x14ac:dyDescent="0.3">
      <c r="A225" s="127">
        <v>46003</v>
      </c>
      <c r="B225" s="126"/>
      <c r="C225" s="126"/>
      <c r="D225" s="126"/>
      <c r="E225" s="11"/>
      <c r="F225" s="11"/>
      <c r="G225" s="11"/>
      <c r="H225" s="133" t="e">
        <f>_xlfn.XLOOKUP(Table1[[#This Row],[Shipment Number]], 'pivot '!A:A,'pivot '!G:G, "NF")</f>
        <v>#DIV/0!</v>
      </c>
      <c r="I225" s="134"/>
      <c r="J225" s="134"/>
      <c r="K225" s="126"/>
    </row>
    <row r="226" spans="1:11" x14ac:dyDescent="0.3">
      <c r="A226" s="127">
        <v>46003</v>
      </c>
      <c r="B226" s="126"/>
      <c r="C226" s="126"/>
      <c r="D226" s="126"/>
      <c r="E226" s="11"/>
      <c r="F226" s="11"/>
      <c r="G226" s="11"/>
      <c r="H226" s="133" t="e">
        <f>_xlfn.XLOOKUP(Table1[[#This Row],[Shipment Number]], 'pivot '!A:A,'pivot '!G:G, "NF")</f>
        <v>#DIV/0!</v>
      </c>
      <c r="I226" s="134"/>
      <c r="J226" s="134"/>
      <c r="K226" s="126"/>
    </row>
    <row r="227" spans="1:11" x14ac:dyDescent="0.3">
      <c r="A227"/>
      <c r="B227"/>
      <c r="C227"/>
      <c r="D227"/>
      <c r="E227" s="14"/>
      <c r="F227" s="14"/>
      <c r="G227" s="14"/>
      <c r="H227" s="43"/>
      <c r="I227" s="94" cm="1">
        <f t="array" aca="1" ref="I227" ca="1">SUMPRODUCT( SUBTOTAL(109, OFFSET(Table1[tiyar/meters], ROW(Table1[tiyar/meters])-MIN(ROW(Table1[tiyar/meters])), 0, 1)), --(Table1[Bill Number]&lt;&gt;"October Closing CF") )</f>
        <v>1623322.0555961966</v>
      </c>
      <c r="J227" s="43" t="e" cm="1">
        <f t="array" aca="1" ref="J227" ca="1">SUMPRODUCT( SUBTOTAL(109, OFFSET(Table1[billing], ROW(Table1[billing])-MIN(ROW(Table1[billing])), 0, 1)), --(Table1[Bill Number]&lt;&gt;"October Closing CF") )</f>
        <v>#N/A</v>
      </c>
      <c r="K227" s="14" t="e">
        <f>SUMIFS(Table1[billing], Table1[Bill Number], "&lt;&gt;October Closing CF")</f>
        <v>#N/A</v>
      </c>
    </row>
  </sheetData>
  <phoneticPr fontId="7" alignment="center"/>
  <conditionalFormatting sqref="H2:H226">
    <cfRule type="cellIs" dxfId="5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74"/>
  <sheetViews>
    <sheetView topLeftCell="A48" zoomScale="145" zoomScaleNormal="90" workbookViewId="0">
      <selection activeCell="H57" sqref="H57"/>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x14ac:dyDescent="0.3">
      <c r="A2" s="85">
        <v>45947</v>
      </c>
      <c r="B2" s="82" t="s">
        <v>95</v>
      </c>
      <c r="C2" s="82" t="s">
        <v>96</v>
      </c>
      <c r="D2" s="83"/>
      <c r="E2" s="83"/>
      <c r="F2" s="83"/>
      <c r="G2" s="83">
        <f>D2*E2</f>
        <v>0</v>
      </c>
      <c r="H2" s="11"/>
      <c r="I2" s="84">
        <v>2567858</v>
      </c>
    </row>
    <row r="3" spans="1:16" x14ac:dyDescent="0.3">
      <c r="A3" s="85">
        <v>45947</v>
      </c>
      <c r="B3" s="82" t="s">
        <v>97</v>
      </c>
      <c r="C3" s="82" t="s">
        <v>96</v>
      </c>
      <c r="D3" s="83"/>
      <c r="E3" s="83"/>
      <c r="F3" s="83"/>
      <c r="G3" s="83">
        <f>D3*E3</f>
        <v>0</v>
      </c>
      <c r="H3" s="11">
        <v>0</v>
      </c>
      <c r="I3" s="84">
        <v>0</v>
      </c>
    </row>
    <row r="4" spans="1:16" x14ac:dyDescent="0.3">
      <c r="A4" s="85">
        <v>45947</v>
      </c>
      <c r="B4" s="82" t="s">
        <v>150</v>
      </c>
      <c r="C4" s="82" t="s">
        <v>96</v>
      </c>
      <c r="D4" s="11"/>
      <c r="E4" s="11"/>
      <c r="F4" s="11"/>
      <c r="G4" s="11">
        <f>D4*E4</f>
        <v>0</v>
      </c>
      <c r="H4" s="11">
        <v>0</v>
      </c>
      <c r="I4" s="87">
        <v>76420</v>
      </c>
    </row>
    <row r="5" spans="1:16" ht="15" thickBot="1" x14ac:dyDescent="0.35">
      <c r="A5" s="85">
        <v>45947</v>
      </c>
      <c r="B5" s="82" t="s">
        <v>170</v>
      </c>
      <c r="C5" s="82" t="s">
        <v>96</v>
      </c>
      <c r="D5" s="11"/>
      <c r="E5" s="11"/>
      <c r="F5" s="11"/>
      <c r="G5" s="11">
        <f t="shared" ref="G5:G6" si="0">D5*E5</f>
        <v>0</v>
      </c>
      <c r="H5" s="11"/>
      <c r="I5" s="87">
        <v>350775</v>
      </c>
    </row>
    <row r="6" spans="1:16" ht="15" thickTop="1" x14ac:dyDescent="0.3">
      <c r="A6" s="85">
        <v>45947</v>
      </c>
      <c r="B6" s="95" t="s">
        <v>178</v>
      </c>
      <c r="C6" s="82" t="s">
        <v>96</v>
      </c>
      <c r="D6" s="11"/>
      <c r="E6" s="11"/>
      <c r="F6" s="11"/>
      <c r="G6" s="11">
        <f t="shared" si="0"/>
        <v>0</v>
      </c>
      <c r="H6" s="11"/>
      <c r="I6" s="11">
        <v>-1000</v>
      </c>
      <c r="K6" s="17">
        <f>SUM(Table3[Total])</f>
        <v>5400000</v>
      </c>
      <c r="L6" s="3" t="s">
        <v>2</v>
      </c>
      <c r="M6" t="s">
        <v>88</v>
      </c>
    </row>
    <row r="7" spans="1:16" x14ac:dyDescent="0.3">
      <c r="A7" s="85">
        <v>45979</v>
      </c>
      <c r="B7" s="95" t="s">
        <v>193</v>
      </c>
      <c r="C7" s="82" t="s">
        <v>96</v>
      </c>
      <c r="D7" s="11"/>
      <c r="E7" s="11"/>
      <c r="F7" s="11"/>
      <c r="G7" s="11">
        <f>D7*E7</f>
        <v>0</v>
      </c>
      <c r="H7" s="11"/>
      <c r="I7" s="11">
        <v>330400</v>
      </c>
    </row>
    <row r="8" spans="1:16"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95</v>
      </c>
      <c r="C20" t="s">
        <v>284</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x14ac:dyDescent="0.3">
      <c r="A21" s="1">
        <v>45987</v>
      </c>
      <c r="B21" t="s">
        <v>178</v>
      </c>
      <c r="C21" t="s">
        <v>280</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x14ac:dyDescent="0.3">
      <c r="A22" s="1">
        <v>45988</v>
      </c>
      <c r="B22" t="s">
        <v>95</v>
      </c>
      <c r="C22" t="s">
        <v>292</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v>45989</v>
      </c>
      <c r="B24" t="s">
        <v>95</v>
      </c>
      <c r="C24" t="s">
        <v>310</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270</v>
      </c>
      <c r="M27" s="14">
        <v>470</v>
      </c>
      <c r="N27" s="14">
        <v>380700</v>
      </c>
      <c r="O27" s="14">
        <v>107800</v>
      </c>
      <c r="P27" s="14">
        <v>272900</v>
      </c>
    </row>
    <row r="28" spans="1:16"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271</v>
      </c>
      <c r="M28" s="14">
        <v>206</v>
      </c>
      <c r="N28" s="14">
        <v>157590</v>
      </c>
      <c r="O28" s="14"/>
      <c r="P28" s="14">
        <v>157590</v>
      </c>
    </row>
    <row r="29" spans="1:16" x14ac:dyDescent="0.3">
      <c r="A29" s="1">
        <v>45994</v>
      </c>
      <c r="B29" t="s">
        <v>344</v>
      </c>
      <c r="C29" t="s">
        <v>342</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x14ac:dyDescent="0.3">
      <c r="A30" s="1">
        <v>45995</v>
      </c>
      <c r="B30" t="s">
        <v>344</v>
      </c>
      <c r="C30" t="s">
        <v>374</v>
      </c>
      <c r="D30" s="11">
        <v>195</v>
      </c>
      <c r="E30" s="11">
        <v>830</v>
      </c>
      <c r="F30" s="11"/>
      <c r="G30" s="11">
        <f>D30*E30</f>
        <v>161850</v>
      </c>
      <c r="H30" s="11">
        <f>SUMIFS(Table14[Debit], Table14[Date], Table3[[#This Row],[Date]], Table14[Party], Table3[[#This Row],[Party Name]])</f>
        <v>170000</v>
      </c>
      <c r="I30" s="11">
        <f>(D30*E30)-Table3[[#This Row],[Paid]]</f>
        <v>-8150</v>
      </c>
      <c r="L30" s="42" t="s">
        <v>284</v>
      </c>
      <c r="M30" s="14">
        <v>281</v>
      </c>
      <c r="N30" s="14">
        <v>227610</v>
      </c>
      <c r="O30" s="14">
        <v>347823</v>
      </c>
      <c r="P30" s="14">
        <v>-120213</v>
      </c>
    </row>
    <row r="31" spans="1:16" x14ac:dyDescent="0.3">
      <c r="A31" s="1">
        <v>45995</v>
      </c>
      <c r="B31" t="s">
        <v>95</v>
      </c>
      <c r="C31" t="s">
        <v>355</v>
      </c>
      <c r="D31" s="11">
        <v>471</v>
      </c>
      <c r="E31" s="11">
        <v>810</v>
      </c>
      <c r="F31" s="11">
        <v>118000</v>
      </c>
      <c r="G31" s="11">
        <f>D31*E31</f>
        <v>381510</v>
      </c>
      <c r="H31" s="11">
        <f>SUMIFS(Table14[Debit], Table14[Date], Table3[[#This Row],[Date]], Table14[Party], Table3[[#This Row],[Party Name]])</f>
        <v>418188</v>
      </c>
      <c r="I31" s="11">
        <f>(D31*E31)-Table3[[#This Row],[Paid]]</f>
        <v>-36678</v>
      </c>
      <c r="L31" s="42" t="s">
        <v>280</v>
      </c>
      <c r="M31" s="14">
        <v>384</v>
      </c>
      <c r="N31" s="14">
        <v>299520</v>
      </c>
      <c r="O31" s="14">
        <v>100000</v>
      </c>
      <c r="P31" s="14">
        <v>199520</v>
      </c>
    </row>
    <row r="32" spans="1:16" x14ac:dyDescent="0.3">
      <c r="A32" s="1">
        <v>45996</v>
      </c>
      <c r="B32" t="s">
        <v>344</v>
      </c>
      <c r="C32" t="s">
        <v>375</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x14ac:dyDescent="0.3">
      <c r="A33" s="1">
        <v>45997</v>
      </c>
      <c r="B33" t="s">
        <v>95</v>
      </c>
      <c r="C33" t="s">
        <v>372</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x14ac:dyDescent="0.3">
      <c r="A34" s="1">
        <v>45997</v>
      </c>
      <c r="B34" t="s">
        <v>344</v>
      </c>
      <c r="C34" t="s">
        <v>374</v>
      </c>
      <c r="D34" s="11">
        <v>188</v>
      </c>
      <c r="E34" s="11">
        <v>810</v>
      </c>
      <c r="F34" s="11"/>
      <c r="G34" s="11">
        <f t="shared" si="8"/>
        <v>152280</v>
      </c>
      <c r="H34" s="11">
        <f>SUMIFS(Table14[Debit], Table14[Date], Table3[[#This Row],[Date]], Table14[Party], Table3[[#This Row],[Party Name]])</f>
        <v>128500</v>
      </c>
      <c r="I34" s="11">
        <f>(D34*E34)-Table3[[#This Row],[Paid]]</f>
        <v>23780</v>
      </c>
      <c r="L34" s="42" t="s">
        <v>292</v>
      </c>
      <c r="M34" s="14">
        <v>496</v>
      </c>
      <c r="N34" s="14">
        <v>401760</v>
      </c>
      <c r="O34" s="14">
        <v>106000</v>
      </c>
      <c r="P34" s="14">
        <v>295760</v>
      </c>
    </row>
    <row r="35" spans="1:16" x14ac:dyDescent="0.3">
      <c r="A35" s="1">
        <v>45997</v>
      </c>
      <c r="B35" t="s">
        <v>170</v>
      </c>
      <c r="C35" t="s">
        <v>373</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310</v>
      </c>
      <c r="M36" s="14">
        <v>287</v>
      </c>
      <c r="N36" s="14">
        <v>232470</v>
      </c>
      <c r="O36" s="14">
        <v>46100</v>
      </c>
      <c r="P36" s="14">
        <v>186370</v>
      </c>
    </row>
    <row r="37" spans="1:16" x14ac:dyDescent="0.3">
      <c r="A37" s="1">
        <v>45997</v>
      </c>
      <c r="B37" t="s">
        <v>371</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x14ac:dyDescent="0.3">
      <c r="A38" s="1">
        <v>45996</v>
      </c>
      <c r="B38" t="s">
        <v>371</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x14ac:dyDescent="0.3">
      <c r="A39" s="1">
        <v>45997</v>
      </c>
      <c r="B39" t="s">
        <v>371</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x14ac:dyDescent="0.3">
      <c r="A40" s="1">
        <v>45996</v>
      </c>
      <c r="B40" t="s">
        <v>170</v>
      </c>
      <c r="C40" t="s">
        <v>376</v>
      </c>
      <c r="D40" s="11">
        <v>139</v>
      </c>
      <c r="E40" s="11">
        <v>580</v>
      </c>
      <c r="F40" s="11"/>
      <c r="G40" s="11">
        <f>D40*E40</f>
        <v>80620</v>
      </c>
      <c r="H40" s="11"/>
      <c r="I40" s="11">
        <f>(D40*E40)-Table3[[#This Row],[Paid]]</f>
        <v>80620</v>
      </c>
      <c r="L40" s="42" t="s">
        <v>224</v>
      </c>
      <c r="M40" s="14">
        <v>433</v>
      </c>
      <c r="N40" s="14">
        <v>350730</v>
      </c>
      <c r="O40" s="14">
        <v>300204</v>
      </c>
      <c r="P40" s="14">
        <v>50526</v>
      </c>
    </row>
    <row r="41" spans="1:16"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x14ac:dyDescent="0.3">
      <c r="A43" s="1">
        <v>45998</v>
      </c>
      <c r="B43" t="s">
        <v>344</v>
      </c>
      <c r="C43" t="s">
        <v>384</v>
      </c>
      <c r="D43" s="11">
        <v>191</v>
      </c>
      <c r="E43" s="11">
        <v>810</v>
      </c>
      <c r="F43" s="11"/>
      <c r="G43" s="11">
        <f t="shared" si="9"/>
        <v>154710</v>
      </c>
      <c r="H43" s="11"/>
      <c r="I43" s="11">
        <f>(D43*E43)-Table3[[#This Row],[Paid]]</f>
        <v>154710</v>
      </c>
      <c r="L43" s="26">
        <v>45994</v>
      </c>
      <c r="M43" s="14">
        <v>225</v>
      </c>
      <c r="N43" s="14">
        <v>186750</v>
      </c>
      <c r="O43" s="14">
        <v>300768</v>
      </c>
      <c r="P43" s="14">
        <v>-114018</v>
      </c>
    </row>
    <row r="44" spans="1:16" x14ac:dyDescent="0.3">
      <c r="A44" s="1">
        <v>45999</v>
      </c>
      <c r="B44" t="s">
        <v>371</v>
      </c>
      <c r="C44">
        <v>8618</v>
      </c>
      <c r="D44" s="11">
        <v>172</v>
      </c>
      <c r="E44" s="11">
        <v>580</v>
      </c>
      <c r="F44" s="11"/>
      <c r="G44" s="11">
        <f t="shared" si="9"/>
        <v>99760</v>
      </c>
      <c r="H44" s="11">
        <f>SUMIFS(Table14[Debit], Table14[Date], Table3[[#This Row],[Date]], Table14[Party], Table3[[#This Row],[Party Name]])</f>
        <v>120000</v>
      </c>
      <c r="I44" s="11">
        <f>(D44*E44)-Table3[[#This Row],[Paid]]</f>
        <v>-20240</v>
      </c>
      <c r="L44" s="42" t="s">
        <v>104</v>
      </c>
      <c r="M44" s="14"/>
      <c r="N44" s="14">
        <v>0</v>
      </c>
      <c r="O44" s="14">
        <v>250768</v>
      </c>
      <c r="P44" s="14">
        <v>-250768</v>
      </c>
    </row>
    <row r="45" spans="1:16"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342</v>
      </c>
      <c r="M45" s="14">
        <v>225</v>
      </c>
      <c r="N45" s="14">
        <v>186750</v>
      </c>
      <c r="O45" s="14">
        <v>50000</v>
      </c>
      <c r="P45" s="14">
        <v>136750</v>
      </c>
    </row>
    <row r="46" spans="1:16" x14ac:dyDescent="0.3">
      <c r="A46" s="1">
        <v>46000</v>
      </c>
      <c r="B46" t="s">
        <v>371</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355</v>
      </c>
      <c r="M47" s="14">
        <v>471</v>
      </c>
      <c r="N47" s="14">
        <v>381510</v>
      </c>
      <c r="O47" s="14">
        <v>418188</v>
      </c>
      <c r="P47" s="14">
        <v>-36678</v>
      </c>
    </row>
    <row r="48" spans="1:16" x14ac:dyDescent="0.3">
      <c r="A48" s="1">
        <v>46000</v>
      </c>
      <c r="B48" t="s">
        <v>344</v>
      </c>
      <c r="C48" t="s">
        <v>404</v>
      </c>
      <c r="D48" s="11">
        <v>170</v>
      </c>
      <c r="E48" s="11">
        <v>810</v>
      </c>
      <c r="F48" s="11"/>
      <c r="G48" s="11">
        <f t="shared" si="9"/>
        <v>137700</v>
      </c>
      <c r="H48" s="11">
        <f>SUMIFS(Table14[Debit], Table14[Date], Table3[[#This Row],[Date]], Table14[Party], Table3[[#This Row],[Party Name]])</f>
        <v>100000</v>
      </c>
      <c r="I48" s="11">
        <f>(D48*E48)-Table3[[#This Row],[Paid]]</f>
        <v>37700</v>
      </c>
      <c r="L48" s="42" t="s">
        <v>374</v>
      </c>
      <c r="M48" s="14">
        <v>195</v>
      </c>
      <c r="N48" s="14">
        <v>161850</v>
      </c>
      <c r="O48" s="14">
        <v>170000</v>
      </c>
      <c r="P48" s="14">
        <v>-8150</v>
      </c>
    </row>
    <row r="49" spans="1:16" x14ac:dyDescent="0.3">
      <c r="A49" s="1">
        <v>46001</v>
      </c>
      <c r="B49" t="s">
        <v>371</v>
      </c>
      <c r="D49" s="11"/>
      <c r="E49" s="11"/>
      <c r="F49" s="11"/>
      <c r="G49" s="11">
        <f t="shared" ref="G49:G52" si="10">D49*E49</f>
        <v>0</v>
      </c>
      <c r="H49" s="11">
        <f>SUMIFS(Table14[Debit], Table14[Date], Table3[[#This Row],[Date]], Table14[Party], Table3[[#This Row],[Party Name]])</f>
        <v>102000</v>
      </c>
      <c r="I49" s="11">
        <f>(D49*E49)-Table3[[#This Row],[Paid]]</f>
        <v>-102000</v>
      </c>
      <c r="L49" s="26">
        <v>45996</v>
      </c>
      <c r="M49" s="14">
        <v>581</v>
      </c>
      <c r="N49" s="14">
        <v>418210</v>
      </c>
      <c r="O49" s="14">
        <v>40450</v>
      </c>
      <c r="P49" s="14">
        <v>377760</v>
      </c>
    </row>
    <row r="50" spans="1:16" x14ac:dyDescent="0.3">
      <c r="A50" s="1">
        <v>46001</v>
      </c>
      <c r="B50" t="s">
        <v>344</v>
      </c>
      <c r="D50" s="11"/>
      <c r="E50" s="11"/>
      <c r="F50" s="11"/>
      <c r="G50" s="11">
        <f t="shared" si="10"/>
        <v>0</v>
      </c>
      <c r="H50" s="11">
        <f>SUMIFS(Table14[Debit], Table14[Date], Table3[[#This Row],[Date]], Table14[Party], Table3[[#This Row],[Party Name]])</f>
        <v>125000</v>
      </c>
      <c r="I50" s="11">
        <f>(D50*E50)-Table3[[#This Row],[Paid]]</f>
        <v>-125000</v>
      </c>
      <c r="L50" s="42" t="s">
        <v>375</v>
      </c>
      <c r="M50" s="14">
        <v>215</v>
      </c>
      <c r="N50" s="14">
        <v>174150</v>
      </c>
      <c r="O50" s="14">
        <v>40450</v>
      </c>
      <c r="P50" s="14">
        <v>133700</v>
      </c>
    </row>
    <row r="51" spans="1:16" x14ac:dyDescent="0.3">
      <c r="A51" s="1">
        <v>46000</v>
      </c>
      <c r="B51" t="s">
        <v>170</v>
      </c>
      <c r="C51" t="s">
        <v>376</v>
      </c>
      <c r="D51" s="11">
        <v>138</v>
      </c>
      <c r="E51" s="11">
        <v>580</v>
      </c>
      <c r="F51" s="11"/>
      <c r="G51" s="11">
        <f t="shared" si="10"/>
        <v>80040</v>
      </c>
      <c r="H51" s="11">
        <f>SUMIFS(Table14[Debit], Table14[Date], Table3[[#This Row],[Date]], Table14[Party], Table3[[#This Row],[Party Name]])</f>
        <v>0</v>
      </c>
      <c r="I51" s="11">
        <f>(D51*E51)-Table3[[#This Row],[Paid]]</f>
        <v>80040</v>
      </c>
      <c r="L51" s="42">
        <v>8618</v>
      </c>
      <c r="M51" s="14">
        <v>227</v>
      </c>
      <c r="N51" s="14">
        <v>163440</v>
      </c>
      <c r="O51" s="14">
        <v>0</v>
      </c>
      <c r="P51" s="14">
        <v>163440</v>
      </c>
    </row>
    <row r="52" spans="1:16" x14ac:dyDescent="0.3">
      <c r="A52" s="1">
        <v>46002</v>
      </c>
      <c r="B52" t="s">
        <v>344</v>
      </c>
      <c r="C52" t="s">
        <v>374</v>
      </c>
      <c r="D52" s="11">
        <v>186</v>
      </c>
      <c r="E52" s="11">
        <v>810</v>
      </c>
      <c r="F52" s="11"/>
      <c r="G52" s="11">
        <f t="shared" si="10"/>
        <v>150660</v>
      </c>
      <c r="H52" s="11">
        <f>SUMIFS(Table14[Debit], Table14[Date], Table3[[#This Row],[Date]], Table14[Party], Table3[[#This Row],[Party Name]])</f>
        <v>90000</v>
      </c>
      <c r="I52" s="11">
        <f>(D52*E52)-Table3[[#This Row],[Paid]]</f>
        <v>60660</v>
      </c>
      <c r="L52" s="42" t="s">
        <v>376</v>
      </c>
      <c r="M52" s="14">
        <v>139</v>
      </c>
      <c r="N52" s="14">
        <v>80620</v>
      </c>
      <c r="O52" s="14"/>
      <c r="P52" s="14">
        <v>80620</v>
      </c>
    </row>
    <row r="53" spans="1:16" x14ac:dyDescent="0.3">
      <c r="A53" s="1">
        <v>46002</v>
      </c>
      <c r="B53" t="s">
        <v>170</v>
      </c>
      <c r="D53" s="11"/>
      <c r="E53" s="11"/>
      <c r="F53" s="11"/>
      <c r="G53" s="11">
        <f>D53*E53</f>
        <v>0</v>
      </c>
      <c r="H53" s="11">
        <f>SUMIFS(Table14[Debit], Table14[Date], Table3[[#This Row],[Date]], Table14[Party], Table3[[#This Row],[Party Name]])</f>
        <v>150500</v>
      </c>
      <c r="I53" s="11">
        <f>(D53*E53)-Table3[[#This Row],[Paid]]</f>
        <v>-150500</v>
      </c>
      <c r="L53" s="26">
        <v>45997</v>
      </c>
      <c r="M53" s="14">
        <v>828</v>
      </c>
      <c r="N53" s="14">
        <v>581890</v>
      </c>
      <c r="O53" s="14">
        <v>629010</v>
      </c>
      <c r="P53" s="14">
        <v>-47120</v>
      </c>
    </row>
    <row r="54" spans="1:16" x14ac:dyDescent="0.3">
      <c r="A54" s="1"/>
      <c r="D54" s="14"/>
      <c r="E54" s="14"/>
      <c r="F54" s="14"/>
      <c r="G54" s="14">
        <f>SUBTOTAL(109,Table3[Total])</f>
        <v>5400000</v>
      </c>
      <c r="H54" s="14">
        <f>SUBTOTAL(109,Table3[Paid])</f>
        <v>5575863</v>
      </c>
      <c r="I54" s="14">
        <f>SUBTOTAL(109,Table3[balance])</f>
        <v>3148590</v>
      </c>
      <c r="L54" s="42" t="s">
        <v>104</v>
      </c>
      <c r="M54" s="14"/>
      <c r="N54" s="14">
        <v>0</v>
      </c>
      <c r="O54" s="14">
        <v>50000</v>
      </c>
      <c r="P54" s="14">
        <v>-50000</v>
      </c>
    </row>
    <row r="55" spans="1:16" x14ac:dyDescent="0.3">
      <c r="L55" s="42" t="s">
        <v>374</v>
      </c>
      <c r="M55" s="14">
        <v>188</v>
      </c>
      <c r="N55" s="14">
        <v>152280</v>
      </c>
      <c r="O55" s="14">
        <v>128500</v>
      </c>
      <c r="P55" s="14">
        <v>23780</v>
      </c>
    </row>
    <row r="56" spans="1:16" x14ac:dyDescent="0.3">
      <c r="L56" s="42" t="s">
        <v>372</v>
      </c>
      <c r="M56" s="14">
        <v>61</v>
      </c>
      <c r="N56" s="14">
        <v>49410</v>
      </c>
      <c r="O56" s="14">
        <v>200510</v>
      </c>
      <c r="P56" s="14">
        <v>-151100</v>
      </c>
    </row>
    <row r="57" spans="1:16" x14ac:dyDescent="0.3">
      <c r="L57" s="42" t="s">
        <v>373</v>
      </c>
      <c r="M57" s="14">
        <v>134</v>
      </c>
      <c r="N57" s="14">
        <v>77720</v>
      </c>
      <c r="O57" s="14">
        <v>150000</v>
      </c>
      <c r="P57" s="14">
        <v>-72280</v>
      </c>
    </row>
    <row r="58" spans="1:16" x14ac:dyDescent="0.3">
      <c r="L58" s="42">
        <v>8618</v>
      </c>
      <c r="M58" s="14">
        <v>317</v>
      </c>
      <c r="N58" s="14">
        <v>228240</v>
      </c>
      <c r="O58" s="14">
        <v>100000</v>
      </c>
      <c r="P58" s="14">
        <v>128240</v>
      </c>
    </row>
    <row r="59" spans="1:16" x14ac:dyDescent="0.3">
      <c r="L59" s="42" t="s">
        <v>98</v>
      </c>
      <c r="M59" s="14">
        <v>128</v>
      </c>
      <c r="N59" s="14">
        <v>74240</v>
      </c>
      <c r="O59" s="14"/>
      <c r="P59" s="14">
        <v>74240</v>
      </c>
    </row>
    <row r="60" spans="1:16" x14ac:dyDescent="0.3">
      <c r="L60" s="26">
        <v>45998</v>
      </c>
      <c r="M60" s="14">
        <v>337</v>
      </c>
      <c r="N60" s="14">
        <v>239390</v>
      </c>
      <c r="O60" s="14"/>
      <c r="P60" s="14">
        <v>239390</v>
      </c>
    </row>
    <row r="61" spans="1:16" x14ac:dyDescent="0.3">
      <c r="L61" s="42" t="s">
        <v>98</v>
      </c>
      <c r="M61" s="14">
        <v>146</v>
      </c>
      <c r="N61" s="14">
        <v>84680</v>
      </c>
      <c r="O61" s="14"/>
      <c r="P61" s="14">
        <v>84680</v>
      </c>
    </row>
    <row r="62" spans="1:16" x14ac:dyDescent="0.3">
      <c r="L62" s="42" t="s">
        <v>384</v>
      </c>
      <c r="M62" s="14">
        <v>191</v>
      </c>
      <c r="N62" s="14">
        <v>154710</v>
      </c>
      <c r="O62" s="14"/>
      <c r="P62" s="14">
        <v>154710</v>
      </c>
    </row>
    <row r="63" spans="1:16" x14ac:dyDescent="0.3">
      <c r="L63" s="26">
        <v>45999</v>
      </c>
      <c r="M63" s="14">
        <v>172</v>
      </c>
      <c r="N63" s="14">
        <v>99760</v>
      </c>
      <c r="O63" s="14">
        <v>120000</v>
      </c>
      <c r="P63" s="14">
        <v>-20240</v>
      </c>
    </row>
    <row r="64" spans="1:16" x14ac:dyDescent="0.3">
      <c r="L64" s="42">
        <v>8618</v>
      </c>
      <c r="M64" s="14">
        <v>172</v>
      </c>
      <c r="N64" s="14">
        <v>99760</v>
      </c>
      <c r="O64" s="14">
        <v>120000</v>
      </c>
      <c r="P64" s="14">
        <v>-20240</v>
      </c>
    </row>
    <row r="65" spans="12:16" x14ac:dyDescent="0.3">
      <c r="L65" s="26">
        <v>46000</v>
      </c>
      <c r="M65" s="14">
        <v>308</v>
      </c>
      <c r="N65" s="14">
        <v>217740</v>
      </c>
      <c r="O65" s="14">
        <v>470050</v>
      </c>
      <c r="P65" s="14">
        <v>-252310</v>
      </c>
    </row>
    <row r="66" spans="12:16" x14ac:dyDescent="0.3">
      <c r="L66" s="42" t="s">
        <v>104</v>
      </c>
      <c r="M66" s="14"/>
      <c r="N66" s="14">
        <v>0</v>
      </c>
      <c r="O66" s="14">
        <v>370050</v>
      </c>
      <c r="P66" s="14">
        <v>-370050</v>
      </c>
    </row>
    <row r="67" spans="12:16" x14ac:dyDescent="0.3">
      <c r="L67" s="42" t="s">
        <v>374</v>
      </c>
      <c r="M67" s="14">
        <v>170</v>
      </c>
      <c r="N67" s="14">
        <v>137700</v>
      </c>
      <c r="O67" s="14">
        <v>100000</v>
      </c>
      <c r="P67" s="14">
        <v>37700</v>
      </c>
    </row>
    <row r="68" spans="12:16" x14ac:dyDescent="0.3">
      <c r="L68" s="42" t="s">
        <v>376</v>
      </c>
      <c r="M68" s="14">
        <v>138</v>
      </c>
      <c r="N68" s="14">
        <v>80040</v>
      </c>
      <c r="O68" s="14">
        <v>0</v>
      </c>
      <c r="P68" s="14">
        <v>80040</v>
      </c>
    </row>
    <row r="69" spans="12:16" x14ac:dyDescent="0.3">
      <c r="L69" s="26">
        <v>46001</v>
      </c>
      <c r="M69" s="14"/>
      <c r="N69" s="14">
        <v>0</v>
      </c>
      <c r="O69" s="14">
        <v>227000</v>
      </c>
      <c r="P69" s="14">
        <v>-227000</v>
      </c>
    </row>
    <row r="70" spans="12:16" x14ac:dyDescent="0.3">
      <c r="L70" s="42" t="s">
        <v>104</v>
      </c>
      <c r="M70" s="14"/>
      <c r="N70" s="14">
        <v>0</v>
      </c>
      <c r="O70" s="14">
        <v>227000</v>
      </c>
      <c r="P70" s="14">
        <v>-227000</v>
      </c>
    </row>
    <row r="71" spans="12:16" x14ac:dyDescent="0.3">
      <c r="L71" s="26">
        <v>46002</v>
      </c>
      <c r="M71" s="14">
        <v>186</v>
      </c>
      <c r="N71" s="14">
        <v>150660</v>
      </c>
      <c r="O71" s="14">
        <v>240500</v>
      </c>
      <c r="P71" s="14">
        <v>-89840</v>
      </c>
    </row>
    <row r="72" spans="12:16" x14ac:dyDescent="0.3">
      <c r="L72" s="42" t="s">
        <v>104</v>
      </c>
      <c r="M72" s="14"/>
      <c r="N72" s="14">
        <v>0</v>
      </c>
      <c r="O72" s="14">
        <v>150500</v>
      </c>
      <c r="P72" s="14">
        <v>-150500</v>
      </c>
    </row>
    <row r="73" spans="12:16" x14ac:dyDescent="0.3">
      <c r="L73" s="42" t="s">
        <v>374</v>
      </c>
      <c r="M73" s="14">
        <v>186</v>
      </c>
      <c r="N73" s="14">
        <v>150660</v>
      </c>
      <c r="O73" s="14">
        <v>90000</v>
      </c>
      <c r="P73" s="14">
        <v>60660</v>
      </c>
    </row>
    <row r="74" spans="12:16" x14ac:dyDescent="0.3">
      <c r="L74" s="26" t="s">
        <v>28</v>
      </c>
      <c r="M74" s="14">
        <v>7044</v>
      </c>
      <c r="N74" s="14">
        <v>5400000</v>
      </c>
      <c r="O74" s="14">
        <v>5575863</v>
      </c>
      <c r="P74" s="14">
        <v>3148590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383"/>
  <sheetViews>
    <sheetView topLeftCell="A364" zoomScale="104" workbookViewId="0">
      <selection activeCell="F224" sqref="F22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-673115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15283023</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15334540</v>
      </c>
      <c r="M5" s="45" t="s">
        <v>109</v>
      </c>
      <c r="N5" s="46">
        <f>(SUMIFS(Table14[Credit],Table14[Mode],"Bank")-SUMIFS(Table14[Debit],Table14[Mode],"Bank")-SUMIFS(Table14[Withdrawal],Table14[Mode],"Transfer"))</f>
        <v>664083</v>
      </c>
      <c r="O5">
        <v>360000</v>
      </c>
    </row>
    <row r="6" spans="1:16" x14ac:dyDescent="0.3">
      <c r="A6" s="38">
        <v>45980</v>
      </c>
      <c r="B6" t="s">
        <v>206</v>
      </c>
      <c r="C6" s="97">
        <v>2000</v>
      </c>
      <c r="D6" s="97"/>
      <c r="E6" t="s">
        <v>207</v>
      </c>
      <c r="F6" s="124" t="s">
        <v>110</v>
      </c>
      <c r="J6" s="52" t="s">
        <v>43</v>
      </c>
      <c r="K6" s="53">
        <f>(K5-K4)</f>
        <v>51517</v>
      </c>
      <c r="M6" s="45" t="s">
        <v>110</v>
      </c>
      <c r="N6" s="46">
        <f>((SUMIFS(Table14[Credit],Table14[Mode],"Cash")-SUMIFS(Table14[Debit],Table14[Mode],"Cash"))+SUMIFS(Table14[Withdrawal],Table14[Party],"Cash",Table14[Mode],"Transfer"))</f>
        <v>-610916</v>
      </c>
      <c r="O6">
        <v>50000</v>
      </c>
    </row>
    <row r="7" spans="1:16" x14ac:dyDescent="0.3">
      <c r="A7" s="38">
        <v>45980</v>
      </c>
      <c r="B7" t="s">
        <v>193</v>
      </c>
      <c r="C7" s="11">
        <v>4000</v>
      </c>
      <c r="D7" s="11"/>
      <c r="E7" t="s">
        <v>207</v>
      </c>
      <c r="F7" s="124" t="s">
        <v>110</v>
      </c>
      <c r="M7" s="48" t="s">
        <v>5</v>
      </c>
      <c r="N7" s="49">
        <f>SUM(N5:N6)</f>
        <v>53167</v>
      </c>
      <c r="O7" s="90">
        <f>SUM(O5,O6)</f>
        <v>410000</v>
      </c>
      <c r="P7" s="14">
        <f>Table18[[#Totals],[amount]]-Table18[[#Totals],[Actual]]</f>
        <v>-356833</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29">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356</v>
      </c>
      <c r="C116" s="11"/>
      <c r="D116" s="11">
        <v>100000</v>
      </c>
      <c r="E116" t="s">
        <v>228</v>
      </c>
      <c r="F116" s="124" t="s">
        <v>109</v>
      </c>
    </row>
    <row r="117" spans="1:6" x14ac:dyDescent="0.3">
      <c r="A117" s="125">
        <v>45987</v>
      </c>
      <c r="B117" t="s">
        <v>95</v>
      </c>
      <c r="C117" s="11">
        <v>302123</v>
      </c>
      <c r="D117" s="11"/>
      <c r="E117" t="s">
        <v>276</v>
      </c>
      <c r="F117" s="124" t="s">
        <v>109</v>
      </c>
    </row>
    <row r="118" spans="1:6" x14ac:dyDescent="0.3">
      <c r="A118" s="125">
        <v>45987</v>
      </c>
      <c r="B118" t="s">
        <v>183</v>
      </c>
      <c r="C118" s="11"/>
      <c r="D118" s="11">
        <v>2000</v>
      </c>
      <c r="E118" t="s">
        <v>277</v>
      </c>
      <c r="F118" s="124" t="s">
        <v>109</v>
      </c>
    </row>
    <row r="119" spans="1:6" x14ac:dyDescent="0.3">
      <c r="A119" s="125">
        <v>45987</v>
      </c>
      <c r="B119" t="s">
        <v>54</v>
      </c>
      <c r="C119" s="11">
        <v>2000</v>
      </c>
      <c r="D119" s="11"/>
      <c r="E119" t="s">
        <v>277</v>
      </c>
      <c r="F119" s="124" t="s">
        <v>109</v>
      </c>
    </row>
    <row r="120" spans="1:6" x14ac:dyDescent="0.3">
      <c r="A120" s="125">
        <v>45987</v>
      </c>
      <c r="B120" t="s">
        <v>54</v>
      </c>
      <c r="C120" s="11">
        <v>1500</v>
      </c>
      <c r="D120" s="11"/>
      <c r="E120" t="s">
        <v>278</v>
      </c>
      <c r="F120" s="124" t="s">
        <v>109</v>
      </c>
    </row>
    <row r="121" spans="1:6" x14ac:dyDescent="0.3">
      <c r="A121" s="125">
        <v>45987</v>
      </c>
      <c r="B121" t="s">
        <v>21</v>
      </c>
      <c r="C121" s="11"/>
      <c r="D121" s="11">
        <v>1500</v>
      </c>
      <c r="E121" t="s">
        <v>278</v>
      </c>
      <c r="F121" s="124" t="s">
        <v>109</v>
      </c>
    </row>
    <row r="122" spans="1:6" x14ac:dyDescent="0.3">
      <c r="A122" s="125">
        <v>45987</v>
      </c>
      <c r="B122" t="s">
        <v>212</v>
      </c>
      <c r="C122" s="11"/>
      <c r="D122" s="11"/>
      <c r="E122" t="s">
        <v>279</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280</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281</v>
      </c>
      <c r="F127" s="124" t="s">
        <v>109</v>
      </c>
    </row>
    <row r="128" spans="1:6" x14ac:dyDescent="0.3">
      <c r="A128" s="125">
        <v>45987</v>
      </c>
      <c r="B128" t="s">
        <v>55</v>
      </c>
      <c r="C128" s="11">
        <v>1950</v>
      </c>
      <c r="D128" s="11"/>
      <c r="E128" t="s">
        <v>282</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283</v>
      </c>
      <c r="F132" s="124" t="s">
        <v>109</v>
      </c>
    </row>
    <row r="133" spans="1:6" x14ac:dyDescent="0.3">
      <c r="A133" s="125">
        <v>45987</v>
      </c>
      <c r="B133" t="s">
        <v>95</v>
      </c>
      <c r="C133" s="11">
        <v>45700</v>
      </c>
      <c r="D133" s="11"/>
      <c r="E133" t="s">
        <v>284</v>
      </c>
      <c r="F133" s="124" t="s">
        <v>109</v>
      </c>
    </row>
    <row r="134" spans="1:6" x14ac:dyDescent="0.3">
      <c r="A134" s="125">
        <v>45987</v>
      </c>
      <c r="B134" t="s">
        <v>183</v>
      </c>
      <c r="C134" s="11">
        <v>620</v>
      </c>
      <c r="D134" s="11"/>
      <c r="F134" s="124" t="s">
        <v>109</v>
      </c>
    </row>
    <row r="135" spans="1:6" x14ac:dyDescent="0.3">
      <c r="A135" s="125">
        <v>45988</v>
      </c>
      <c r="B135" t="s">
        <v>286</v>
      </c>
      <c r="C135" s="11">
        <v>15000</v>
      </c>
      <c r="D135" s="11"/>
      <c r="E135" t="s">
        <v>287</v>
      </c>
      <c r="F135" s="124" t="s">
        <v>109</v>
      </c>
    </row>
    <row r="136" spans="1:6" x14ac:dyDescent="0.3">
      <c r="A136" s="125">
        <v>45988</v>
      </c>
      <c r="B136" t="s">
        <v>286</v>
      </c>
      <c r="C136" s="11">
        <v>10000</v>
      </c>
      <c r="D136" s="11"/>
      <c r="E136" t="s">
        <v>288</v>
      </c>
      <c r="F136" s="124" t="s">
        <v>109</v>
      </c>
    </row>
    <row r="137" spans="1:6" x14ac:dyDescent="0.3">
      <c r="A137" s="125">
        <v>45988</v>
      </c>
      <c r="B137" t="s">
        <v>247</v>
      </c>
      <c r="C137" s="11">
        <v>3600</v>
      </c>
      <c r="D137" s="11"/>
      <c r="E137" t="s">
        <v>289</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290</v>
      </c>
      <c r="F140" s="124" t="s">
        <v>109</v>
      </c>
    </row>
    <row r="141" spans="1:6" x14ac:dyDescent="0.3">
      <c r="A141" s="125">
        <v>45988</v>
      </c>
      <c r="B141" t="s">
        <v>212</v>
      </c>
      <c r="C141" s="11"/>
      <c r="D141" s="11"/>
      <c r="E141" t="s">
        <v>291</v>
      </c>
      <c r="F141" s="124" t="s">
        <v>109</v>
      </c>
    </row>
    <row r="142" spans="1:6" x14ac:dyDescent="0.3">
      <c r="A142" s="125">
        <v>45988</v>
      </c>
      <c r="B142" t="s">
        <v>95</v>
      </c>
      <c r="C142" s="97">
        <v>106000</v>
      </c>
      <c r="D142" s="97"/>
      <c r="E142" t="s">
        <v>292</v>
      </c>
      <c r="F142" s="124" t="s">
        <v>109</v>
      </c>
    </row>
    <row r="143" spans="1:6" x14ac:dyDescent="0.3">
      <c r="A143" s="125">
        <v>45988</v>
      </c>
      <c r="B143" t="s">
        <v>183</v>
      </c>
      <c r="C143" s="11"/>
      <c r="D143" s="11">
        <v>3600</v>
      </c>
      <c r="E143" t="s">
        <v>289</v>
      </c>
      <c r="F143" s="124" t="s">
        <v>109</v>
      </c>
    </row>
    <row r="144" spans="1:6" x14ac:dyDescent="0.3">
      <c r="A144" s="125">
        <v>45988</v>
      </c>
      <c r="B144" t="s">
        <v>183</v>
      </c>
      <c r="C144" s="11"/>
      <c r="D144" s="11">
        <v>1600</v>
      </c>
      <c r="E144" t="s">
        <v>293</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294</v>
      </c>
      <c r="F146" s="124" t="s">
        <v>109</v>
      </c>
    </row>
    <row r="147" spans="1:6" x14ac:dyDescent="0.3">
      <c r="A147" s="125">
        <v>45988</v>
      </c>
      <c r="B147" t="s">
        <v>295</v>
      </c>
      <c r="C147" s="11"/>
      <c r="D147" s="11">
        <v>90000</v>
      </c>
      <c r="E147" t="s">
        <v>296</v>
      </c>
      <c r="F147" s="124" t="s">
        <v>109</v>
      </c>
    </row>
    <row r="148" spans="1:6" x14ac:dyDescent="0.3">
      <c r="A148" s="125">
        <v>45988</v>
      </c>
      <c r="B148" t="s">
        <v>297</v>
      </c>
      <c r="C148" s="11"/>
      <c r="D148" s="11">
        <v>100000</v>
      </c>
      <c r="E148" t="s">
        <v>228</v>
      </c>
      <c r="F148" s="124" t="s">
        <v>109</v>
      </c>
    </row>
    <row r="149" spans="1:6" x14ac:dyDescent="0.3">
      <c r="A149" s="125">
        <v>45988</v>
      </c>
      <c r="B149" t="s">
        <v>21</v>
      </c>
      <c r="C149" s="11"/>
      <c r="D149" s="11">
        <v>4500</v>
      </c>
      <c r="E149" t="s">
        <v>298</v>
      </c>
      <c r="F149" s="124" t="s">
        <v>109</v>
      </c>
    </row>
    <row r="150" spans="1:6" x14ac:dyDescent="0.3">
      <c r="A150" s="125">
        <v>45988</v>
      </c>
      <c r="B150" t="s">
        <v>54</v>
      </c>
      <c r="C150" s="11">
        <v>4500</v>
      </c>
      <c r="D150" s="11"/>
      <c r="E150" t="s">
        <v>298</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302</v>
      </c>
      <c r="F153" s="124" t="s">
        <v>109</v>
      </c>
    </row>
    <row r="154" spans="1:6" x14ac:dyDescent="0.3">
      <c r="A154" s="38">
        <v>45988</v>
      </c>
      <c r="B154" t="s">
        <v>303</v>
      </c>
      <c r="C154" s="97">
        <v>85000</v>
      </c>
      <c r="D154" s="97"/>
      <c r="E154" t="s">
        <v>304</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305</v>
      </c>
      <c r="F157" s="124" t="s">
        <v>109</v>
      </c>
    </row>
    <row r="158" spans="1:6" x14ac:dyDescent="0.3">
      <c r="A158" s="125">
        <v>45989</v>
      </c>
      <c r="B158" t="s">
        <v>183</v>
      </c>
      <c r="C158" s="11"/>
      <c r="D158" s="11">
        <v>5000</v>
      </c>
      <c r="E158" t="s">
        <v>306</v>
      </c>
      <c r="F158" s="124" t="s">
        <v>109</v>
      </c>
    </row>
    <row r="159" spans="1:6" x14ac:dyDescent="0.3">
      <c r="A159" s="125">
        <v>45989</v>
      </c>
      <c r="B159" t="s">
        <v>21</v>
      </c>
      <c r="C159" s="11"/>
      <c r="D159" s="11">
        <v>50000</v>
      </c>
      <c r="E159" t="s">
        <v>307</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310</v>
      </c>
      <c r="F163" s="124" t="s">
        <v>109</v>
      </c>
      <c r="J163" s="3" t="s">
        <v>6</v>
      </c>
      <c r="K163" t="s">
        <v>119</v>
      </c>
      <c r="L163" t="s">
        <v>120</v>
      </c>
    </row>
    <row r="164" spans="1:12" x14ac:dyDescent="0.3">
      <c r="A164" s="125">
        <v>45989</v>
      </c>
      <c r="B164" t="s">
        <v>237</v>
      </c>
      <c r="C164" s="11"/>
      <c r="D164" s="11">
        <v>100000</v>
      </c>
      <c r="F164" s="124" t="s">
        <v>109</v>
      </c>
      <c r="J164" s="4" t="s">
        <v>220</v>
      </c>
      <c r="K164" s="14"/>
      <c r="L164" s="14">
        <v>509000</v>
      </c>
    </row>
    <row r="165" spans="1:12" x14ac:dyDescent="0.3">
      <c r="A165" s="125">
        <v>45989</v>
      </c>
      <c r="B165" t="s">
        <v>237</v>
      </c>
      <c r="C165" s="11"/>
      <c r="D165" s="11">
        <v>47500</v>
      </c>
      <c r="F165" s="124" t="s">
        <v>109</v>
      </c>
      <c r="J165" s="4" t="s">
        <v>9</v>
      </c>
      <c r="K165" s="14">
        <v>1600000</v>
      </c>
      <c r="L165" s="14"/>
    </row>
    <row r="166" spans="1:12" x14ac:dyDescent="0.3">
      <c r="A166" s="125">
        <v>45989</v>
      </c>
      <c r="B166" t="s">
        <v>21</v>
      </c>
      <c r="C166" s="11"/>
      <c r="D166" s="11">
        <v>25000</v>
      </c>
      <c r="F166" s="124" t="s">
        <v>109</v>
      </c>
      <c r="J166" s="4" t="s">
        <v>21</v>
      </c>
      <c r="K166" s="14">
        <v>1339058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308</v>
      </c>
      <c r="F168" s="124" t="s">
        <v>109</v>
      </c>
      <c r="J168" s="4" t="s">
        <v>95</v>
      </c>
      <c r="K168" s="14"/>
      <c r="L168" s="14">
        <v>3708413</v>
      </c>
    </row>
    <row r="169" spans="1:12" x14ac:dyDescent="0.3">
      <c r="A169" s="125">
        <v>45988</v>
      </c>
      <c r="B169" t="s">
        <v>183</v>
      </c>
      <c r="C169" s="11">
        <v>1000</v>
      </c>
      <c r="D169" s="11"/>
      <c r="F169" s="124" t="s">
        <v>109</v>
      </c>
      <c r="J169" s="4" t="s">
        <v>247</v>
      </c>
      <c r="K169" s="14"/>
      <c r="L169" s="14">
        <v>14620</v>
      </c>
    </row>
    <row r="170" spans="1:12" x14ac:dyDescent="0.3">
      <c r="A170" s="125">
        <v>45989</v>
      </c>
      <c r="B170" t="s">
        <v>247</v>
      </c>
      <c r="C170" s="11">
        <v>500</v>
      </c>
      <c r="D170" s="11"/>
      <c r="E170" t="s">
        <v>309</v>
      </c>
      <c r="F170" s="124" t="s">
        <v>109</v>
      </c>
      <c r="J170" s="4" t="s">
        <v>55</v>
      </c>
      <c r="K170" s="14"/>
      <c r="L170" s="14">
        <v>326064</v>
      </c>
    </row>
    <row r="171" spans="1:12" x14ac:dyDescent="0.3">
      <c r="A171" s="125">
        <v>45990</v>
      </c>
      <c r="B171" t="s">
        <v>183</v>
      </c>
      <c r="C171" s="11"/>
      <c r="D171" s="11">
        <v>10310</v>
      </c>
      <c r="E171" t="s">
        <v>114</v>
      </c>
      <c r="F171" s="124" t="s">
        <v>109</v>
      </c>
      <c r="J171" s="4" t="s">
        <v>114</v>
      </c>
      <c r="K171" s="14"/>
      <c r="L171" s="14">
        <v>125170</v>
      </c>
    </row>
    <row r="172" spans="1:12" x14ac:dyDescent="0.3">
      <c r="A172" s="125">
        <v>45990</v>
      </c>
      <c r="B172" t="s">
        <v>114</v>
      </c>
      <c r="C172" s="11">
        <v>10310</v>
      </c>
      <c r="D172" s="11"/>
      <c r="E172" t="s">
        <v>311</v>
      </c>
      <c r="F172" s="124" t="s">
        <v>109</v>
      </c>
      <c r="J172" s="4" t="s">
        <v>212</v>
      </c>
      <c r="K172" s="14"/>
      <c r="L172" s="14">
        <v>151850</v>
      </c>
    </row>
    <row r="173" spans="1:12" x14ac:dyDescent="0.3">
      <c r="A173" s="125">
        <v>45990</v>
      </c>
      <c r="B173" t="s">
        <v>54</v>
      </c>
      <c r="C173" s="11">
        <v>16100</v>
      </c>
      <c r="D173" s="11"/>
      <c r="E173" t="s">
        <v>232</v>
      </c>
      <c r="F173" s="124" t="s">
        <v>109</v>
      </c>
      <c r="J173" s="4" t="s">
        <v>54</v>
      </c>
      <c r="K173" s="14"/>
      <c r="L173" s="14">
        <v>160740</v>
      </c>
    </row>
    <row r="174" spans="1:12" x14ac:dyDescent="0.3">
      <c r="A174" s="125">
        <v>45990</v>
      </c>
      <c r="B174" t="s">
        <v>54</v>
      </c>
      <c r="C174" s="11">
        <v>3000</v>
      </c>
      <c r="D174" s="11"/>
      <c r="E174" t="s">
        <v>232</v>
      </c>
      <c r="F174" s="124" t="s">
        <v>109</v>
      </c>
      <c r="J174" s="4" t="s">
        <v>186</v>
      </c>
      <c r="K174" s="14"/>
      <c r="L174" s="14">
        <v>146970</v>
      </c>
    </row>
    <row r="175" spans="1:12" x14ac:dyDescent="0.3">
      <c r="A175" s="125">
        <v>45990</v>
      </c>
      <c r="B175" t="s">
        <v>21</v>
      </c>
      <c r="C175" s="11"/>
      <c r="D175" s="11">
        <v>13500</v>
      </c>
      <c r="E175" t="s">
        <v>232</v>
      </c>
      <c r="F175" s="124" t="s">
        <v>109</v>
      </c>
      <c r="J175" s="4" t="s">
        <v>397</v>
      </c>
      <c r="K175" s="14"/>
      <c r="L175" s="14">
        <v>2000</v>
      </c>
    </row>
    <row r="176" spans="1:12" x14ac:dyDescent="0.3">
      <c r="A176" s="125">
        <v>45990</v>
      </c>
      <c r="B176" t="s">
        <v>21</v>
      </c>
      <c r="C176" s="11"/>
      <c r="D176" s="11">
        <v>19000</v>
      </c>
      <c r="E176" t="s">
        <v>290</v>
      </c>
      <c r="F176" s="124" t="s">
        <v>109</v>
      </c>
      <c r="J176" s="4" t="s">
        <v>183</v>
      </c>
      <c r="K176" s="14">
        <v>127092</v>
      </c>
      <c r="L176" s="14">
        <v>16070</v>
      </c>
    </row>
    <row r="177" spans="1:12" x14ac:dyDescent="0.3">
      <c r="A177" s="125">
        <v>45990</v>
      </c>
      <c r="B177" t="s">
        <v>220</v>
      </c>
      <c r="C177" s="97">
        <v>20000</v>
      </c>
      <c r="D177" s="97"/>
      <c r="E177" t="s">
        <v>290</v>
      </c>
      <c r="F177" s="124" t="s">
        <v>109</v>
      </c>
      <c r="J177" s="4" t="s">
        <v>227</v>
      </c>
      <c r="K177" s="14">
        <v>500000</v>
      </c>
      <c r="L177" s="14"/>
    </row>
    <row r="178" spans="1:12" x14ac:dyDescent="0.3">
      <c r="A178" s="125">
        <v>45990</v>
      </c>
      <c r="B178" t="s">
        <v>21</v>
      </c>
      <c r="C178" s="11"/>
      <c r="D178" s="11">
        <v>46000</v>
      </c>
      <c r="E178" t="s">
        <v>223</v>
      </c>
      <c r="F178" s="124" t="s">
        <v>109</v>
      </c>
      <c r="J178" s="4" t="s">
        <v>104</v>
      </c>
      <c r="K178" s="14"/>
      <c r="L178" s="14"/>
    </row>
    <row r="179" spans="1:12" x14ac:dyDescent="0.3">
      <c r="A179" s="125">
        <v>45990</v>
      </c>
      <c r="B179" t="s">
        <v>185</v>
      </c>
      <c r="C179" s="11">
        <v>46000</v>
      </c>
      <c r="D179" s="11"/>
      <c r="E179" t="s">
        <v>312</v>
      </c>
      <c r="F179" s="124" t="s">
        <v>109</v>
      </c>
      <c r="J179" s="4" t="s">
        <v>25</v>
      </c>
      <c r="K179" s="14">
        <v>1353061</v>
      </c>
      <c r="L179" s="14"/>
    </row>
    <row r="180" spans="1:12" x14ac:dyDescent="0.3">
      <c r="A180" s="125">
        <v>45990</v>
      </c>
      <c r="B180" t="s">
        <v>237</v>
      </c>
      <c r="C180" s="11"/>
      <c r="D180" s="11">
        <v>260000</v>
      </c>
      <c r="F180" s="124" t="s">
        <v>109</v>
      </c>
      <c r="J180" s="4" t="s">
        <v>27</v>
      </c>
      <c r="K180" s="14">
        <v>505980</v>
      </c>
      <c r="L180" s="14"/>
    </row>
    <row r="181" spans="1:12" x14ac:dyDescent="0.3">
      <c r="A181" s="125">
        <v>45990</v>
      </c>
      <c r="B181" t="s">
        <v>95</v>
      </c>
      <c r="C181" s="11">
        <v>200000</v>
      </c>
      <c r="D181" s="11"/>
      <c r="E181" t="s">
        <v>313</v>
      </c>
      <c r="F181" s="124" t="s">
        <v>109</v>
      </c>
      <c r="J181" s="4" t="s">
        <v>116</v>
      </c>
      <c r="K181" s="14"/>
      <c r="L181" s="14">
        <v>240125</v>
      </c>
    </row>
    <row r="182" spans="1:12" x14ac:dyDescent="0.3">
      <c r="A182" s="125">
        <v>45990</v>
      </c>
      <c r="B182" t="s">
        <v>237</v>
      </c>
      <c r="C182" s="11">
        <v>50000</v>
      </c>
      <c r="D182" s="11"/>
      <c r="E182" t="s">
        <v>167</v>
      </c>
      <c r="F182" s="124" t="s">
        <v>109</v>
      </c>
      <c r="J182" s="4" t="s">
        <v>35</v>
      </c>
      <c r="K182" s="14">
        <v>10040</v>
      </c>
      <c r="L182" s="14"/>
    </row>
    <row r="183" spans="1:12" x14ac:dyDescent="0.3">
      <c r="A183" s="125">
        <v>45990</v>
      </c>
      <c r="B183" t="s">
        <v>167</v>
      </c>
      <c r="C183" s="11"/>
      <c r="D183" s="11">
        <v>50000</v>
      </c>
      <c r="F183" s="124" t="s">
        <v>109</v>
      </c>
      <c r="J183" s="4" t="s">
        <v>387</v>
      </c>
      <c r="K183" s="14">
        <v>100000</v>
      </c>
      <c r="L183" s="14"/>
    </row>
    <row r="184" spans="1:12" x14ac:dyDescent="0.3">
      <c r="A184" s="125">
        <v>45990</v>
      </c>
      <c r="B184" t="s">
        <v>297</v>
      </c>
      <c r="C184" s="11"/>
      <c r="D184" s="11">
        <v>200000</v>
      </c>
      <c r="F184" s="124" t="s">
        <v>109</v>
      </c>
      <c r="J184" s="4" t="s">
        <v>150</v>
      </c>
      <c r="K184" s="14"/>
      <c r="L184" s="14">
        <v>90000</v>
      </c>
    </row>
    <row r="185" spans="1:12" x14ac:dyDescent="0.3">
      <c r="A185" s="125">
        <v>45990</v>
      </c>
      <c r="B185" t="s">
        <v>95</v>
      </c>
      <c r="C185" s="11">
        <v>200338</v>
      </c>
      <c r="D185" s="11"/>
      <c r="E185" t="s">
        <v>314</v>
      </c>
      <c r="F185" s="124" t="s">
        <v>109</v>
      </c>
      <c r="J185" s="4" t="s">
        <v>153</v>
      </c>
      <c r="K185" s="14">
        <v>1705000</v>
      </c>
      <c r="L185" s="14"/>
    </row>
    <row r="186" spans="1:12" x14ac:dyDescent="0.3">
      <c r="A186" s="125">
        <v>45990</v>
      </c>
      <c r="B186" t="s">
        <v>21</v>
      </c>
      <c r="C186" s="11"/>
      <c r="D186" s="11">
        <v>10000</v>
      </c>
      <c r="E186" t="s">
        <v>315</v>
      </c>
      <c r="F186" s="124" t="s">
        <v>109</v>
      </c>
      <c r="J186" s="4" t="s">
        <v>167</v>
      </c>
      <c r="K186" s="14">
        <v>925217</v>
      </c>
      <c r="L186" s="14"/>
    </row>
    <row r="187" spans="1:12" x14ac:dyDescent="0.3">
      <c r="A187" s="125">
        <v>45990</v>
      </c>
      <c r="B187" t="s">
        <v>220</v>
      </c>
      <c r="C187" s="11">
        <v>10000</v>
      </c>
      <c r="D187" s="11"/>
      <c r="E187" t="s">
        <v>221</v>
      </c>
      <c r="F187" s="124" t="s">
        <v>109</v>
      </c>
      <c r="J187" s="4" t="s">
        <v>206</v>
      </c>
      <c r="K187" s="14"/>
      <c r="L187" s="14">
        <v>477500</v>
      </c>
    </row>
    <row r="188" spans="1:12" x14ac:dyDescent="0.3">
      <c r="A188" s="125">
        <v>45990</v>
      </c>
      <c r="B188" t="s">
        <v>212</v>
      </c>
      <c r="C188" s="11">
        <v>1000</v>
      </c>
      <c r="D188" s="11"/>
      <c r="E188" t="s">
        <v>316</v>
      </c>
      <c r="F188" s="124" t="s">
        <v>109</v>
      </c>
      <c r="J188" s="4" t="s">
        <v>178</v>
      </c>
      <c r="K188" s="14"/>
      <c r="L188" s="14">
        <v>200000</v>
      </c>
    </row>
    <row r="189" spans="1:12" x14ac:dyDescent="0.3">
      <c r="A189" s="125">
        <v>45990</v>
      </c>
      <c r="B189" t="s">
        <v>183</v>
      </c>
      <c r="C189" s="11"/>
      <c r="D189" s="11">
        <v>1000</v>
      </c>
      <c r="E189" t="s">
        <v>317</v>
      </c>
      <c r="F189" s="124" t="s">
        <v>109</v>
      </c>
      <c r="J189" s="4" t="s">
        <v>237</v>
      </c>
      <c r="K189" s="14">
        <v>2671310</v>
      </c>
      <c r="L189" s="14">
        <v>4276426</v>
      </c>
    </row>
    <row r="190" spans="1:12" x14ac:dyDescent="0.3">
      <c r="A190" s="125">
        <v>45990</v>
      </c>
      <c r="B190" t="s">
        <v>183</v>
      </c>
      <c r="C190" s="11"/>
      <c r="D190" s="11">
        <v>1000</v>
      </c>
      <c r="E190" t="s">
        <v>318</v>
      </c>
      <c r="F190" s="124" t="s">
        <v>109</v>
      </c>
      <c r="J190" s="4" t="s">
        <v>184</v>
      </c>
      <c r="K190" s="14">
        <v>2000000</v>
      </c>
      <c r="L190" s="14"/>
    </row>
    <row r="191" spans="1:12" x14ac:dyDescent="0.3">
      <c r="A191" s="125">
        <v>45990</v>
      </c>
      <c r="B191" t="s">
        <v>21</v>
      </c>
      <c r="C191" s="11"/>
      <c r="D191" s="11">
        <v>11150</v>
      </c>
      <c r="E191" t="s">
        <v>319</v>
      </c>
      <c r="F191" s="124" t="s">
        <v>109</v>
      </c>
      <c r="J191" s="4" t="s">
        <v>185</v>
      </c>
      <c r="K191" s="14"/>
      <c r="L191" s="14">
        <v>1080650</v>
      </c>
    </row>
    <row r="192" spans="1:12" x14ac:dyDescent="0.3">
      <c r="A192" s="125">
        <v>45990</v>
      </c>
      <c r="B192" t="s">
        <v>55</v>
      </c>
      <c r="C192" s="11">
        <v>11150</v>
      </c>
      <c r="D192" s="11"/>
      <c r="E192" t="s">
        <v>319</v>
      </c>
      <c r="F192" s="124" t="s">
        <v>109</v>
      </c>
      <c r="J192" s="4" t="s">
        <v>236</v>
      </c>
      <c r="K192" s="14">
        <v>1500000</v>
      </c>
      <c r="L192" s="14"/>
    </row>
    <row r="193" spans="1:12" x14ac:dyDescent="0.3">
      <c r="A193" s="125">
        <v>45990</v>
      </c>
      <c r="B193" t="s">
        <v>21</v>
      </c>
      <c r="C193" s="11"/>
      <c r="D193" s="11">
        <v>52000</v>
      </c>
      <c r="E193" t="s">
        <v>320</v>
      </c>
      <c r="F193" s="124" t="s">
        <v>109</v>
      </c>
      <c r="J193" s="4" t="s">
        <v>179</v>
      </c>
      <c r="K193" s="14">
        <v>120205</v>
      </c>
      <c r="L193" s="14"/>
    </row>
    <row r="194" spans="1:12" x14ac:dyDescent="0.3">
      <c r="A194" s="38">
        <v>45990</v>
      </c>
      <c r="C194" s="97"/>
      <c r="D194" s="97"/>
      <c r="F194" s="124"/>
      <c r="J194" s="4" t="s">
        <v>193</v>
      </c>
      <c r="K194" s="14"/>
      <c r="L194" s="14">
        <v>4000</v>
      </c>
    </row>
    <row r="195" spans="1:12" x14ac:dyDescent="0.3">
      <c r="A195" s="125">
        <v>45991</v>
      </c>
      <c r="B195" t="s">
        <v>21</v>
      </c>
      <c r="C195" s="97"/>
      <c r="D195" s="97">
        <v>10000</v>
      </c>
      <c r="E195" t="s">
        <v>189</v>
      </c>
      <c r="F195" s="124" t="s">
        <v>109</v>
      </c>
      <c r="J195" s="4" t="s">
        <v>195</v>
      </c>
      <c r="K195" s="14"/>
      <c r="L195" s="14">
        <v>60000</v>
      </c>
    </row>
    <row r="196" spans="1:12" x14ac:dyDescent="0.3">
      <c r="A196" s="125">
        <v>45991</v>
      </c>
      <c r="B196" t="s">
        <v>212</v>
      </c>
      <c r="C196" s="97"/>
      <c r="D196" s="97"/>
      <c r="E196" t="s">
        <v>189</v>
      </c>
      <c r="F196" s="124" t="s">
        <v>109</v>
      </c>
      <c r="J196" s="4" t="s">
        <v>203</v>
      </c>
      <c r="K196" s="14">
        <v>-1257831</v>
      </c>
      <c r="L196" s="14"/>
    </row>
    <row r="197" spans="1:12" x14ac:dyDescent="0.3">
      <c r="A197" s="38">
        <v>45991</v>
      </c>
      <c r="B197" t="s">
        <v>186</v>
      </c>
      <c r="C197" s="11">
        <v>3000</v>
      </c>
      <c r="D197" s="11"/>
      <c r="E197" t="s">
        <v>321</v>
      </c>
      <c r="F197" s="124" t="s">
        <v>109</v>
      </c>
      <c r="J197" s="4" t="s">
        <v>51</v>
      </c>
      <c r="K197" s="14"/>
      <c r="L197" s="14">
        <v>1803475</v>
      </c>
    </row>
    <row r="198" spans="1:12" x14ac:dyDescent="0.3">
      <c r="A198" s="38">
        <v>45991</v>
      </c>
      <c r="B198" t="s">
        <v>186</v>
      </c>
      <c r="C198" s="11">
        <v>5000</v>
      </c>
      <c r="D198" s="11"/>
      <c r="E198" t="s">
        <v>322</v>
      </c>
      <c r="F198" s="124" t="s">
        <v>109</v>
      </c>
      <c r="J198" s="4" t="s">
        <v>149</v>
      </c>
      <c r="K198" s="14">
        <v>130000</v>
      </c>
      <c r="L198" s="14"/>
    </row>
    <row r="199" spans="1:12" x14ac:dyDescent="0.3">
      <c r="A199" s="38">
        <v>45991</v>
      </c>
      <c r="B199" t="s">
        <v>186</v>
      </c>
      <c r="C199" s="11">
        <v>3520</v>
      </c>
      <c r="D199" s="11"/>
      <c r="E199" t="s">
        <v>323</v>
      </c>
      <c r="F199" s="124" t="s">
        <v>109</v>
      </c>
      <c r="J199" s="4" t="s">
        <v>275</v>
      </c>
      <c r="K199" s="14"/>
      <c r="L199" s="14">
        <v>624000</v>
      </c>
    </row>
    <row r="200" spans="1:12" x14ac:dyDescent="0.3">
      <c r="A200" s="38">
        <v>45991</v>
      </c>
      <c r="B200" t="s">
        <v>186</v>
      </c>
      <c r="C200" s="11">
        <v>1000</v>
      </c>
      <c r="D200" s="11"/>
      <c r="E200" t="s">
        <v>324</v>
      </c>
      <c r="F200" s="124" t="s">
        <v>109</v>
      </c>
      <c r="J200" s="4" t="s">
        <v>286</v>
      </c>
      <c r="K200" s="14">
        <v>16200</v>
      </c>
      <c r="L200" s="14">
        <v>61000</v>
      </c>
    </row>
    <row r="201" spans="1:12" x14ac:dyDescent="0.3">
      <c r="A201" s="38">
        <v>45992</v>
      </c>
      <c r="B201" t="s">
        <v>186</v>
      </c>
      <c r="C201" s="11">
        <v>3000</v>
      </c>
      <c r="D201" s="11"/>
      <c r="E201" t="s">
        <v>209</v>
      </c>
      <c r="F201" s="124" t="s">
        <v>109</v>
      </c>
      <c r="J201" s="4" t="s">
        <v>297</v>
      </c>
      <c r="K201" s="14">
        <v>337000</v>
      </c>
      <c r="L201" s="14"/>
    </row>
    <row r="202" spans="1:12" x14ac:dyDescent="0.3">
      <c r="A202" s="38">
        <v>45992</v>
      </c>
      <c r="B202" t="s">
        <v>186</v>
      </c>
      <c r="C202" s="11">
        <v>500</v>
      </c>
      <c r="D202" s="11"/>
      <c r="E202" t="s">
        <v>325</v>
      </c>
      <c r="F202" s="124" t="s">
        <v>109</v>
      </c>
      <c r="J202" s="4" t="s">
        <v>303</v>
      </c>
      <c r="K202" s="14"/>
      <c r="L202" s="14">
        <v>85000</v>
      </c>
    </row>
    <row r="203" spans="1:12" x14ac:dyDescent="0.3">
      <c r="A203" s="38">
        <v>45992</v>
      </c>
      <c r="B203" t="s">
        <v>114</v>
      </c>
      <c r="C203" s="97">
        <v>20000</v>
      </c>
      <c r="D203" s="97"/>
      <c r="E203" t="s">
        <v>249</v>
      </c>
      <c r="F203" s="124" t="s">
        <v>109</v>
      </c>
      <c r="J203" s="4" t="s">
        <v>332</v>
      </c>
      <c r="K203" s="14">
        <v>1103325</v>
      </c>
      <c r="L203" s="14"/>
    </row>
    <row r="204" spans="1:12" x14ac:dyDescent="0.3">
      <c r="A204" s="38">
        <v>45992</v>
      </c>
      <c r="B204" t="s">
        <v>297</v>
      </c>
      <c r="C204" s="11"/>
      <c r="D204" s="11">
        <v>30000</v>
      </c>
      <c r="F204" s="124" t="s">
        <v>109</v>
      </c>
      <c r="J204" s="4" t="s">
        <v>356</v>
      </c>
      <c r="K204" s="14">
        <v>124560</v>
      </c>
      <c r="L204" s="14"/>
    </row>
    <row r="205" spans="1:12" x14ac:dyDescent="0.3">
      <c r="A205" s="38">
        <v>45992</v>
      </c>
      <c r="B205" t="s">
        <v>21</v>
      </c>
      <c r="C205" s="11"/>
      <c r="D205" s="11">
        <v>7750</v>
      </c>
      <c r="E205" t="s">
        <v>240</v>
      </c>
      <c r="F205" s="124" t="s">
        <v>109</v>
      </c>
      <c r="J205" s="4" t="s">
        <v>341</v>
      </c>
      <c r="K205" s="14"/>
      <c r="L205" s="14">
        <v>703950</v>
      </c>
    </row>
    <row r="206" spans="1:12" x14ac:dyDescent="0.3">
      <c r="A206" s="38">
        <v>45992</v>
      </c>
      <c r="B206" t="s">
        <v>185</v>
      </c>
      <c r="C206" s="11">
        <v>52000</v>
      </c>
      <c r="D206" s="11"/>
      <c r="E206" t="s">
        <v>326</v>
      </c>
      <c r="F206" s="124" t="s">
        <v>109</v>
      </c>
      <c r="J206" s="4" t="s">
        <v>299</v>
      </c>
      <c r="K206" s="14">
        <v>424323</v>
      </c>
      <c r="L206" s="14"/>
    </row>
    <row r="207" spans="1:12" x14ac:dyDescent="0.3">
      <c r="A207" s="38">
        <v>45992</v>
      </c>
      <c r="B207" t="s">
        <v>21</v>
      </c>
      <c r="C207" s="11"/>
      <c r="D207" s="11">
        <v>52000</v>
      </c>
      <c r="E207" t="s">
        <v>223</v>
      </c>
      <c r="F207" s="124" t="s">
        <v>109</v>
      </c>
      <c r="J207" s="4" t="s">
        <v>371</v>
      </c>
      <c r="K207" s="14"/>
      <c r="L207" s="14">
        <v>392000</v>
      </c>
    </row>
    <row r="208" spans="1:12" x14ac:dyDescent="0.3">
      <c r="A208" s="38">
        <v>45992</v>
      </c>
      <c r="B208" t="s">
        <v>55</v>
      </c>
      <c r="C208" s="11">
        <v>7750</v>
      </c>
      <c r="D208" s="11"/>
      <c r="E208" t="s">
        <v>240</v>
      </c>
      <c r="F208" s="124" t="s">
        <v>109</v>
      </c>
      <c r="J208" s="4" t="s">
        <v>28</v>
      </c>
      <c r="K208" s="14">
        <v>15334540</v>
      </c>
      <c r="L208" s="14">
        <v>15283023</v>
      </c>
    </row>
    <row r="209" spans="1:6" x14ac:dyDescent="0.3">
      <c r="A209" s="38">
        <v>45992</v>
      </c>
      <c r="B209" t="s">
        <v>55</v>
      </c>
      <c r="C209" s="11">
        <v>1900</v>
      </c>
      <c r="D209" s="11"/>
      <c r="E209" t="s">
        <v>240</v>
      </c>
      <c r="F209" s="124" t="s">
        <v>109</v>
      </c>
    </row>
    <row r="210" spans="1:6" x14ac:dyDescent="0.3">
      <c r="A210" s="38">
        <v>45992</v>
      </c>
      <c r="B210" t="s">
        <v>21</v>
      </c>
      <c r="C210" s="11"/>
      <c r="D210" s="11">
        <v>1900</v>
      </c>
      <c r="E210" t="s">
        <v>240</v>
      </c>
      <c r="F210" s="124" t="s">
        <v>109</v>
      </c>
    </row>
    <row r="211" spans="1:6" x14ac:dyDescent="0.3">
      <c r="A211" s="38">
        <v>45992</v>
      </c>
      <c r="B211" t="s">
        <v>183</v>
      </c>
      <c r="C211" s="11">
        <v>900</v>
      </c>
      <c r="D211" s="11"/>
      <c r="E211" t="s">
        <v>211</v>
      </c>
      <c r="F211" s="124" t="s">
        <v>109</v>
      </c>
    </row>
    <row r="212" spans="1:6" x14ac:dyDescent="0.3">
      <c r="A212" s="38">
        <v>45992</v>
      </c>
      <c r="B212" t="s">
        <v>184</v>
      </c>
      <c r="C212" s="11"/>
      <c r="D212" s="11">
        <v>1000000</v>
      </c>
      <c r="E212" t="s">
        <v>228</v>
      </c>
      <c r="F212" s="124" t="s">
        <v>109</v>
      </c>
    </row>
    <row r="213" spans="1:6" x14ac:dyDescent="0.3">
      <c r="A213" s="125">
        <v>45992</v>
      </c>
      <c r="B213" t="s">
        <v>95</v>
      </c>
      <c r="C213" s="11">
        <v>300204</v>
      </c>
      <c r="D213" s="11"/>
      <c r="E213" t="s">
        <v>327</v>
      </c>
      <c r="F213" s="124" t="s">
        <v>109</v>
      </c>
    </row>
    <row r="214" spans="1:6" x14ac:dyDescent="0.3">
      <c r="A214" s="38">
        <v>45992</v>
      </c>
      <c r="B214" t="s">
        <v>54</v>
      </c>
      <c r="C214" s="97">
        <v>3000</v>
      </c>
      <c r="D214" s="97"/>
      <c r="E214" t="s">
        <v>232</v>
      </c>
      <c r="F214" s="124" t="s">
        <v>109</v>
      </c>
    </row>
    <row r="215" spans="1:6" x14ac:dyDescent="0.3">
      <c r="A215" s="38">
        <v>45992</v>
      </c>
      <c r="B215" t="s">
        <v>212</v>
      </c>
      <c r="C215" s="97"/>
      <c r="D215" s="97"/>
      <c r="E215" t="s">
        <v>189</v>
      </c>
      <c r="F215" s="124" t="s">
        <v>109</v>
      </c>
    </row>
    <row r="216" spans="1:6" x14ac:dyDescent="0.3">
      <c r="A216" s="125">
        <v>45992</v>
      </c>
      <c r="B216" t="s">
        <v>297</v>
      </c>
      <c r="C216" s="11"/>
      <c r="D216" s="11">
        <v>7000</v>
      </c>
      <c r="E216" t="s">
        <v>311</v>
      </c>
      <c r="F216" s="124" t="s">
        <v>109</v>
      </c>
    </row>
    <row r="217" spans="1:6" x14ac:dyDescent="0.3">
      <c r="A217" s="38">
        <v>45986</v>
      </c>
      <c r="B217" t="s">
        <v>236</v>
      </c>
      <c r="C217" s="97"/>
      <c r="D217" s="97">
        <v>1000000</v>
      </c>
      <c r="E217" t="s">
        <v>329</v>
      </c>
      <c r="F217" s="124" t="s">
        <v>109</v>
      </c>
    </row>
    <row r="218" spans="1:6" x14ac:dyDescent="0.3">
      <c r="A218" s="125">
        <v>45986</v>
      </c>
      <c r="B218" t="s">
        <v>237</v>
      </c>
      <c r="C218" s="11">
        <v>1000000</v>
      </c>
      <c r="D218" s="11"/>
      <c r="E218" t="s">
        <v>330</v>
      </c>
      <c r="F218" s="124" t="s">
        <v>109</v>
      </c>
    </row>
    <row r="219" spans="1:6" x14ac:dyDescent="0.3">
      <c r="A219" s="125">
        <v>45986</v>
      </c>
      <c r="B219" t="s">
        <v>35</v>
      </c>
      <c r="C219" s="11"/>
      <c r="D219" s="11">
        <v>10040</v>
      </c>
      <c r="E219" t="s">
        <v>311</v>
      </c>
      <c r="F219" s="124" t="s">
        <v>109</v>
      </c>
    </row>
    <row r="220" spans="1:6" x14ac:dyDescent="0.3">
      <c r="A220" s="125">
        <v>45986</v>
      </c>
      <c r="B220" t="s">
        <v>237</v>
      </c>
      <c r="C220" s="11">
        <v>10040</v>
      </c>
      <c r="D220" s="11"/>
      <c r="E220" t="s">
        <v>331</v>
      </c>
      <c r="F220" s="124" t="s">
        <v>109</v>
      </c>
    </row>
    <row r="221" spans="1:6" x14ac:dyDescent="0.3">
      <c r="A221" s="125">
        <v>45990</v>
      </c>
      <c r="B221" t="s">
        <v>153</v>
      </c>
      <c r="C221" s="11"/>
      <c r="D221" s="11">
        <v>300000</v>
      </c>
      <c r="E221" t="s">
        <v>263</v>
      </c>
      <c r="F221" s="124" t="s">
        <v>109</v>
      </c>
    </row>
    <row r="222" spans="1:6" x14ac:dyDescent="0.3">
      <c r="A222" s="125">
        <v>45990</v>
      </c>
      <c r="B222" t="s">
        <v>295</v>
      </c>
      <c r="C222" s="11"/>
      <c r="D222" s="11">
        <v>90000</v>
      </c>
      <c r="E222" t="s">
        <v>329</v>
      </c>
      <c r="F222" s="124" t="s">
        <v>109</v>
      </c>
    </row>
    <row r="223" spans="1:6" x14ac:dyDescent="0.3">
      <c r="A223" s="125">
        <v>45990</v>
      </c>
      <c r="B223" t="s">
        <v>237</v>
      </c>
      <c r="C223" s="11">
        <v>390000</v>
      </c>
      <c r="D223" s="11"/>
      <c r="E223" t="s">
        <v>153</v>
      </c>
      <c r="F223" s="124" t="s">
        <v>109</v>
      </c>
    </row>
    <row r="224" spans="1:6" x14ac:dyDescent="0.3">
      <c r="A224" s="125">
        <v>45984</v>
      </c>
      <c r="B224" t="s">
        <v>332</v>
      </c>
      <c r="C224" s="11"/>
      <c r="D224" s="11">
        <v>200000</v>
      </c>
      <c r="F224" s="124" t="s">
        <v>109</v>
      </c>
    </row>
    <row r="225" spans="1:6" x14ac:dyDescent="0.3">
      <c r="A225" s="125">
        <v>45986</v>
      </c>
      <c r="B225" t="s">
        <v>332</v>
      </c>
      <c r="C225" s="11"/>
      <c r="D225" s="11">
        <v>100000</v>
      </c>
      <c r="F225" s="124" t="s">
        <v>109</v>
      </c>
    </row>
    <row r="226" spans="1:6" x14ac:dyDescent="0.3">
      <c r="A226" s="125">
        <v>45985</v>
      </c>
      <c r="B226" t="s">
        <v>332</v>
      </c>
      <c r="C226" s="11"/>
      <c r="D226" s="11">
        <v>50000</v>
      </c>
      <c r="F226" s="124" t="s">
        <v>109</v>
      </c>
    </row>
    <row r="227" spans="1:6" x14ac:dyDescent="0.3">
      <c r="A227" s="125">
        <v>45986</v>
      </c>
      <c r="B227" t="s">
        <v>332</v>
      </c>
      <c r="C227" s="11"/>
      <c r="D227" s="11">
        <v>48325</v>
      </c>
      <c r="E227" t="s">
        <v>311</v>
      </c>
      <c r="F227" s="124" t="s">
        <v>109</v>
      </c>
    </row>
    <row r="228" spans="1:6" x14ac:dyDescent="0.3">
      <c r="A228" s="125">
        <v>45986</v>
      </c>
      <c r="B228" t="s">
        <v>237</v>
      </c>
      <c r="C228" s="11">
        <v>398325</v>
      </c>
      <c r="D228" s="11"/>
      <c r="E228" t="s">
        <v>332</v>
      </c>
      <c r="F228" s="124" t="s">
        <v>109</v>
      </c>
    </row>
    <row r="229" spans="1:6" x14ac:dyDescent="0.3">
      <c r="A229" s="125">
        <v>45993</v>
      </c>
      <c r="B229" t="s">
        <v>54</v>
      </c>
      <c r="C229" s="11">
        <v>3000</v>
      </c>
      <c r="D229" s="11"/>
      <c r="E229" t="s">
        <v>232</v>
      </c>
      <c r="F229" s="124" t="s">
        <v>109</v>
      </c>
    </row>
    <row r="230" spans="1:6" x14ac:dyDescent="0.3">
      <c r="A230" s="38">
        <v>45993</v>
      </c>
      <c r="B230" t="s">
        <v>54</v>
      </c>
      <c r="C230" s="97">
        <v>1000</v>
      </c>
      <c r="D230" s="97"/>
      <c r="E230" t="s">
        <v>278</v>
      </c>
      <c r="F230" s="124" t="s">
        <v>109</v>
      </c>
    </row>
    <row r="231" spans="1:6" x14ac:dyDescent="0.3">
      <c r="A231" s="125">
        <v>45993</v>
      </c>
      <c r="B231" t="s">
        <v>185</v>
      </c>
      <c r="C231" s="11">
        <v>242450</v>
      </c>
      <c r="D231" s="11"/>
      <c r="E231" t="s">
        <v>64</v>
      </c>
      <c r="F231" s="124" t="s">
        <v>109</v>
      </c>
    </row>
    <row r="232" spans="1:6" x14ac:dyDescent="0.3">
      <c r="A232" s="38">
        <v>45993</v>
      </c>
      <c r="B232" t="s">
        <v>95</v>
      </c>
      <c r="C232" s="11">
        <v>200200</v>
      </c>
      <c r="D232" s="11"/>
      <c r="E232" t="s">
        <v>333</v>
      </c>
      <c r="F232" s="124" t="s">
        <v>109</v>
      </c>
    </row>
    <row r="233" spans="1:6" x14ac:dyDescent="0.3">
      <c r="A233" s="125">
        <v>45993</v>
      </c>
      <c r="B233" t="s">
        <v>95</v>
      </c>
      <c r="C233" s="11">
        <v>74400</v>
      </c>
      <c r="D233" s="11"/>
      <c r="E233" t="s">
        <v>224</v>
      </c>
      <c r="F233" s="124" t="s">
        <v>109</v>
      </c>
    </row>
    <row r="234" spans="1:6" x14ac:dyDescent="0.3">
      <c r="A234" s="38">
        <v>45993</v>
      </c>
      <c r="B234" t="s">
        <v>212</v>
      </c>
      <c r="C234" s="11"/>
      <c r="D234" s="11"/>
      <c r="E234" t="s">
        <v>334</v>
      </c>
      <c r="F234" s="124" t="s">
        <v>109</v>
      </c>
    </row>
    <row r="235" spans="1:6" x14ac:dyDescent="0.3">
      <c r="A235" s="125">
        <v>45993</v>
      </c>
      <c r="B235" t="s">
        <v>212</v>
      </c>
      <c r="C235" s="11"/>
      <c r="D235" s="11"/>
      <c r="E235" t="s">
        <v>335</v>
      </c>
      <c r="F235" s="124" t="s">
        <v>109</v>
      </c>
    </row>
    <row r="236" spans="1:6" x14ac:dyDescent="0.3">
      <c r="A236" s="38">
        <v>45993</v>
      </c>
      <c r="B236" t="s">
        <v>212</v>
      </c>
      <c r="C236" s="11">
        <v>6000</v>
      </c>
      <c r="D236" s="11"/>
      <c r="E236" t="s">
        <v>305</v>
      </c>
      <c r="F236" s="124" t="s">
        <v>109</v>
      </c>
    </row>
    <row r="237" spans="1:6" x14ac:dyDescent="0.3">
      <c r="A237" s="125">
        <v>45993</v>
      </c>
      <c r="B237" t="s">
        <v>212</v>
      </c>
      <c r="C237" s="11">
        <v>45000</v>
      </c>
      <c r="D237" s="11"/>
      <c r="E237" t="s">
        <v>338</v>
      </c>
      <c r="F237" s="124" t="s">
        <v>109</v>
      </c>
    </row>
    <row r="238" spans="1:6" x14ac:dyDescent="0.3">
      <c r="A238" s="38">
        <v>45994</v>
      </c>
      <c r="B238" t="s">
        <v>183</v>
      </c>
      <c r="C238" s="11">
        <v>800</v>
      </c>
      <c r="D238" s="11"/>
      <c r="F238" s="124" t="s">
        <v>109</v>
      </c>
    </row>
    <row r="239" spans="1:6" x14ac:dyDescent="0.3">
      <c r="A239" s="125">
        <v>45994</v>
      </c>
      <c r="B239" t="s">
        <v>54</v>
      </c>
      <c r="C239" s="11">
        <v>2000</v>
      </c>
      <c r="D239" s="11"/>
      <c r="E239" t="s">
        <v>232</v>
      </c>
      <c r="F239" s="124" t="s">
        <v>109</v>
      </c>
    </row>
    <row r="240" spans="1:6" x14ac:dyDescent="0.3">
      <c r="A240" s="38">
        <v>45994</v>
      </c>
      <c r="B240" t="s">
        <v>54</v>
      </c>
      <c r="C240" s="11">
        <v>11000</v>
      </c>
      <c r="D240" s="11"/>
      <c r="E240" t="s">
        <v>232</v>
      </c>
      <c r="F240" s="124" t="s">
        <v>109</v>
      </c>
    </row>
    <row r="241" spans="1:6" x14ac:dyDescent="0.3">
      <c r="A241" s="125">
        <v>45994</v>
      </c>
      <c r="B241" t="s">
        <v>220</v>
      </c>
      <c r="C241" s="11">
        <v>50000</v>
      </c>
      <c r="D241" s="11"/>
      <c r="E241" t="s">
        <v>339</v>
      </c>
      <c r="F241" s="124" t="s">
        <v>109</v>
      </c>
    </row>
    <row r="242" spans="1:6" x14ac:dyDescent="0.3">
      <c r="A242" s="38">
        <v>45994</v>
      </c>
      <c r="B242" t="s">
        <v>220</v>
      </c>
      <c r="C242" s="11">
        <v>45000</v>
      </c>
      <c r="D242" s="11"/>
      <c r="E242" t="s">
        <v>338</v>
      </c>
      <c r="F242" s="124" t="s">
        <v>109</v>
      </c>
    </row>
    <row r="243" spans="1:6" x14ac:dyDescent="0.3">
      <c r="A243" s="125">
        <v>45994</v>
      </c>
      <c r="B243" t="s">
        <v>227</v>
      </c>
      <c r="C243" s="11"/>
      <c r="D243" s="11">
        <v>300000</v>
      </c>
      <c r="F243" s="124" t="s">
        <v>109</v>
      </c>
    </row>
    <row r="244" spans="1:6" x14ac:dyDescent="0.3">
      <c r="A244" s="38">
        <v>45994</v>
      </c>
      <c r="B244" t="s">
        <v>95</v>
      </c>
      <c r="C244" s="11">
        <v>250768</v>
      </c>
      <c r="D244" s="11"/>
      <c r="E244" t="s">
        <v>340</v>
      </c>
      <c r="F244" s="124" t="s">
        <v>109</v>
      </c>
    </row>
    <row r="245" spans="1:6" x14ac:dyDescent="0.3">
      <c r="A245" s="125">
        <v>45994</v>
      </c>
      <c r="B245" t="s">
        <v>55</v>
      </c>
      <c r="C245" s="11">
        <v>5000</v>
      </c>
      <c r="D245" s="11"/>
      <c r="E245" t="s">
        <v>231</v>
      </c>
      <c r="F245" s="124" t="s">
        <v>109</v>
      </c>
    </row>
    <row r="246" spans="1:6" x14ac:dyDescent="0.3">
      <c r="A246" s="38">
        <v>45994</v>
      </c>
      <c r="B246" t="s">
        <v>341</v>
      </c>
      <c r="C246" s="11">
        <v>50000</v>
      </c>
      <c r="D246" s="11"/>
      <c r="E246" t="s">
        <v>342</v>
      </c>
      <c r="F246" s="124" t="s">
        <v>109</v>
      </c>
    </row>
    <row r="247" spans="1:6" x14ac:dyDescent="0.3">
      <c r="A247" s="125">
        <v>45994</v>
      </c>
      <c r="B247" t="s">
        <v>186</v>
      </c>
      <c r="C247" s="11">
        <v>1900</v>
      </c>
      <c r="D247" s="11"/>
      <c r="E247" t="s">
        <v>343</v>
      </c>
      <c r="F247" s="124" t="s">
        <v>109</v>
      </c>
    </row>
    <row r="248" spans="1:6" x14ac:dyDescent="0.3">
      <c r="A248" s="38">
        <v>45994</v>
      </c>
      <c r="B248" t="s">
        <v>192</v>
      </c>
      <c r="C248" s="11"/>
      <c r="D248" s="11">
        <v>45000</v>
      </c>
      <c r="E248" t="s">
        <v>345</v>
      </c>
      <c r="F248" s="124" t="s">
        <v>109</v>
      </c>
    </row>
    <row r="249" spans="1:6" x14ac:dyDescent="0.3">
      <c r="A249" s="125">
        <v>45995</v>
      </c>
      <c r="B249" t="s">
        <v>186</v>
      </c>
      <c r="C249" s="11">
        <v>2000</v>
      </c>
      <c r="D249" s="11"/>
      <c r="E249" t="s">
        <v>216</v>
      </c>
      <c r="F249" s="124" t="s">
        <v>109</v>
      </c>
    </row>
    <row r="250" spans="1:6" x14ac:dyDescent="0.3">
      <c r="A250" s="38">
        <v>45995</v>
      </c>
      <c r="B250" t="s">
        <v>54</v>
      </c>
      <c r="C250" s="11">
        <v>3000</v>
      </c>
      <c r="D250" s="11"/>
      <c r="E250" t="s">
        <v>232</v>
      </c>
      <c r="F250" s="124" t="s">
        <v>109</v>
      </c>
    </row>
    <row r="251" spans="1:6" x14ac:dyDescent="0.3">
      <c r="A251" s="125">
        <v>45995</v>
      </c>
      <c r="B251" t="s">
        <v>55</v>
      </c>
      <c r="C251" s="11">
        <v>14100</v>
      </c>
      <c r="D251" s="11"/>
      <c r="E251" t="s">
        <v>231</v>
      </c>
      <c r="F251" s="124" t="s">
        <v>109</v>
      </c>
    </row>
    <row r="252" spans="1:6" x14ac:dyDescent="0.3">
      <c r="A252" s="38">
        <v>45995</v>
      </c>
      <c r="B252" t="s">
        <v>95</v>
      </c>
      <c r="C252" s="11">
        <v>118000</v>
      </c>
      <c r="D252" s="11"/>
      <c r="E252" t="s">
        <v>346</v>
      </c>
      <c r="F252" s="124" t="s">
        <v>109</v>
      </c>
    </row>
    <row r="253" spans="1:6" x14ac:dyDescent="0.3">
      <c r="A253" s="125">
        <v>45995</v>
      </c>
      <c r="B253" t="s">
        <v>95</v>
      </c>
      <c r="C253" s="11">
        <v>300188</v>
      </c>
      <c r="D253" s="11"/>
      <c r="E253" t="s">
        <v>347</v>
      </c>
      <c r="F253" s="124" t="s">
        <v>109</v>
      </c>
    </row>
    <row r="254" spans="1:6" x14ac:dyDescent="0.3">
      <c r="A254" s="38">
        <v>45995</v>
      </c>
      <c r="B254" t="s">
        <v>237</v>
      </c>
      <c r="C254" s="11"/>
      <c r="D254" s="11">
        <v>300000</v>
      </c>
      <c r="E254" t="s">
        <v>348</v>
      </c>
      <c r="F254" s="124" t="s">
        <v>109</v>
      </c>
    </row>
    <row r="255" spans="1:6" x14ac:dyDescent="0.3">
      <c r="A255" s="125">
        <v>45995</v>
      </c>
      <c r="B255" t="s">
        <v>185</v>
      </c>
      <c r="C255" s="11">
        <v>56000</v>
      </c>
      <c r="D255" s="11"/>
      <c r="E255" t="s">
        <v>304</v>
      </c>
      <c r="F255" s="124" t="s">
        <v>109</v>
      </c>
    </row>
    <row r="256" spans="1:6" x14ac:dyDescent="0.3">
      <c r="A256" s="38">
        <v>45995</v>
      </c>
      <c r="B256" t="s">
        <v>237</v>
      </c>
      <c r="C256" s="11"/>
      <c r="D256" s="11">
        <v>110000</v>
      </c>
      <c r="E256" t="s">
        <v>349</v>
      </c>
      <c r="F256" s="124" t="s">
        <v>109</v>
      </c>
    </row>
    <row r="257" spans="1:6" x14ac:dyDescent="0.3">
      <c r="A257" s="125">
        <v>45995</v>
      </c>
      <c r="B257" t="s">
        <v>237</v>
      </c>
      <c r="C257" s="11"/>
      <c r="D257" s="11">
        <v>125000</v>
      </c>
      <c r="E257" t="s">
        <v>350</v>
      </c>
      <c r="F257" s="124" t="s">
        <v>109</v>
      </c>
    </row>
    <row r="258" spans="1:6" x14ac:dyDescent="0.3">
      <c r="A258" s="38">
        <v>45995</v>
      </c>
      <c r="B258" t="s">
        <v>220</v>
      </c>
      <c r="C258" s="11">
        <v>5000</v>
      </c>
      <c r="D258" s="11"/>
      <c r="E258" t="s">
        <v>351</v>
      </c>
      <c r="F258" s="124" t="s">
        <v>109</v>
      </c>
    </row>
    <row r="259" spans="1:6" x14ac:dyDescent="0.3">
      <c r="A259" s="125">
        <v>45995</v>
      </c>
      <c r="B259" t="s">
        <v>220</v>
      </c>
      <c r="C259" s="11">
        <v>1000</v>
      </c>
      <c r="D259" s="11"/>
      <c r="E259" t="s">
        <v>352</v>
      </c>
      <c r="F259" s="124" t="s">
        <v>109</v>
      </c>
    </row>
    <row r="260" spans="1:6" x14ac:dyDescent="0.3">
      <c r="A260" s="38">
        <v>45995</v>
      </c>
      <c r="B260" t="s">
        <v>55</v>
      </c>
      <c r="C260" s="97">
        <v>57500</v>
      </c>
      <c r="D260" s="97"/>
      <c r="E260" t="s">
        <v>353</v>
      </c>
      <c r="F260" s="124" t="s">
        <v>109</v>
      </c>
    </row>
    <row r="261" spans="1:6" x14ac:dyDescent="0.3">
      <c r="A261" s="38">
        <v>45995</v>
      </c>
      <c r="B261" t="s">
        <v>55</v>
      </c>
      <c r="C261" s="97">
        <v>3000</v>
      </c>
      <c r="D261" s="97"/>
      <c r="E261" t="s">
        <v>353</v>
      </c>
      <c r="F261" s="124" t="s">
        <v>109</v>
      </c>
    </row>
    <row r="262" spans="1:6" x14ac:dyDescent="0.3">
      <c r="A262" s="38">
        <v>45995</v>
      </c>
      <c r="B262" t="s">
        <v>299</v>
      </c>
      <c r="C262" s="97"/>
      <c r="D262" s="97">
        <v>424323</v>
      </c>
      <c r="E262" t="s">
        <v>283</v>
      </c>
      <c r="F262" s="124" t="s">
        <v>109</v>
      </c>
    </row>
    <row r="263" spans="1:6" x14ac:dyDescent="0.3">
      <c r="A263" s="38">
        <v>45995</v>
      </c>
      <c r="B263" t="s">
        <v>275</v>
      </c>
      <c r="C263" s="97">
        <v>224000</v>
      </c>
      <c r="D263" s="97"/>
      <c r="E263" t="s">
        <v>283</v>
      </c>
      <c r="F263" s="124" t="s">
        <v>109</v>
      </c>
    </row>
    <row r="264" spans="1:6" x14ac:dyDescent="0.3">
      <c r="A264" s="38">
        <v>45995</v>
      </c>
      <c r="B264" t="s">
        <v>341</v>
      </c>
      <c r="C264" s="97">
        <v>170000</v>
      </c>
      <c r="D264" s="97"/>
      <c r="F264" s="124" t="s">
        <v>109</v>
      </c>
    </row>
    <row r="265" spans="1:6" x14ac:dyDescent="0.3">
      <c r="A265" s="38">
        <v>45995</v>
      </c>
      <c r="B265" t="s">
        <v>212</v>
      </c>
      <c r="C265" s="97">
        <v>2200</v>
      </c>
      <c r="D265" s="97"/>
      <c r="E265" t="s">
        <v>281</v>
      </c>
      <c r="F265" s="124" t="s">
        <v>109</v>
      </c>
    </row>
    <row r="266" spans="1:6" x14ac:dyDescent="0.3">
      <c r="A266" s="38">
        <v>45995</v>
      </c>
      <c r="B266" t="s">
        <v>183</v>
      </c>
      <c r="C266" s="97">
        <v>550</v>
      </c>
      <c r="D266" s="97"/>
      <c r="E266" t="s">
        <v>354</v>
      </c>
      <c r="F266" s="124" t="s">
        <v>109</v>
      </c>
    </row>
    <row r="267" spans="1:6" x14ac:dyDescent="0.3">
      <c r="A267" s="38">
        <v>45995</v>
      </c>
      <c r="B267" t="s">
        <v>183</v>
      </c>
      <c r="C267" s="97">
        <v>800</v>
      </c>
      <c r="D267" s="97"/>
      <c r="F267" s="124" t="s">
        <v>109</v>
      </c>
    </row>
    <row r="268" spans="1:6" x14ac:dyDescent="0.3">
      <c r="A268" s="38">
        <v>45995</v>
      </c>
      <c r="B268" t="s">
        <v>21</v>
      </c>
      <c r="C268" s="97"/>
      <c r="D268" s="97">
        <v>2400</v>
      </c>
      <c r="E268" t="s">
        <v>282</v>
      </c>
      <c r="F268" s="124" t="s">
        <v>109</v>
      </c>
    </row>
    <row r="269" spans="1:6" x14ac:dyDescent="0.3">
      <c r="A269" s="38">
        <v>45995</v>
      </c>
      <c r="B269" t="s">
        <v>55</v>
      </c>
      <c r="C269" s="97">
        <v>2400</v>
      </c>
      <c r="D269" s="97"/>
      <c r="E269" t="s">
        <v>282</v>
      </c>
      <c r="F269" s="124" t="s">
        <v>109</v>
      </c>
    </row>
    <row r="270" spans="1:6" x14ac:dyDescent="0.3">
      <c r="A270" s="38">
        <v>45995</v>
      </c>
      <c r="B270" t="s">
        <v>55</v>
      </c>
      <c r="C270" s="97">
        <v>5500</v>
      </c>
      <c r="D270" s="97"/>
      <c r="E270" t="s">
        <v>353</v>
      </c>
      <c r="F270" s="124" t="s">
        <v>109</v>
      </c>
    </row>
    <row r="271" spans="1:6" x14ac:dyDescent="0.3">
      <c r="A271" s="38">
        <v>45996</v>
      </c>
      <c r="B271" t="s">
        <v>186</v>
      </c>
      <c r="C271" s="97">
        <v>7000</v>
      </c>
      <c r="D271" s="97"/>
      <c r="E271" t="s">
        <v>209</v>
      </c>
      <c r="F271" s="124" t="s">
        <v>109</v>
      </c>
    </row>
    <row r="272" spans="1:6" x14ac:dyDescent="0.3">
      <c r="A272" s="125">
        <v>45996</v>
      </c>
      <c r="B272" t="s">
        <v>247</v>
      </c>
      <c r="C272" s="11">
        <v>3000</v>
      </c>
      <c r="D272" s="11"/>
      <c r="E272" t="s">
        <v>357</v>
      </c>
      <c r="F272" s="124" t="s">
        <v>109</v>
      </c>
    </row>
    <row r="273" spans="1:6" x14ac:dyDescent="0.3">
      <c r="A273" s="38">
        <v>45996</v>
      </c>
      <c r="B273" t="s">
        <v>212</v>
      </c>
      <c r="C273" s="11">
        <v>2050</v>
      </c>
      <c r="D273" s="11"/>
      <c r="E273" t="s">
        <v>305</v>
      </c>
      <c r="F273" s="124" t="s">
        <v>109</v>
      </c>
    </row>
    <row r="274" spans="1:6" x14ac:dyDescent="0.3">
      <c r="A274" s="125">
        <v>45996</v>
      </c>
      <c r="B274" t="s">
        <v>220</v>
      </c>
      <c r="C274" s="11">
        <v>20000</v>
      </c>
      <c r="D274" s="11"/>
      <c r="E274" t="s">
        <v>358</v>
      </c>
      <c r="F274" s="124" t="s">
        <v>109</v>
      </c>
    </row>
    <row r="275" spans="1:6" x14ac:dyDescent="0.3">
      <c r="A275" s="38">
        <v>45996</v>
      </c>
      <c r="B275" t="s">
        <v>341</v>
      </c>
      <c r="C275" s="11">
        <v>40450</v>
      </c>
      <c r="D275" s="11"/>
      <c r="E275" t="s">
        <v>346</v>
      </c>
      <c r="F275" s="124" t="s">
        <v>109</v>
      </c>
    </row>
    <row r="276" spans="1:6" x14ac:dyDescent="0.3">
      <c r="A276" s="125">
        <v>45996</v>
      </c>
      <c r="B276" t="s">
        <v>114</v>
      </c>
      <c r="C276" s="11">
        <v>9000</v>
      </c>
      <c r="D276" s="11"/>
      <c r="E276" t="s">
        <v>359</v>
      </c>
      <c r="F276" s="124" t="s">
        <v>109</v>
      </c>
    </row>
    <row r="277" spans="1:6" x14ac:dyDescent="0.3">
      <c r="A277" s="38">
        <v>45996</v>
      </c>
      <c r="B277" t="s">
        <v>220</v>
      </c>
      <c r="C277" s="11">
        <v>10000</v>
      </c>
      <c r="D277" s="11"/>
      <c r="E277" t="s">
        <v>360</v>
      </c>
      <c r="F277" s="124" t="s">
        <v>109</v>
      </c>
    </row>
    <row r="278" spans="1:6" x14ac:dyDescent="0.3">
      <c r="A278" s="125">
        <v>45996</v>
      </c>
      <c r="B278" t="s">
        <v>114</v>
      </c>
      <c r="C278" s="11">
        <v>670</v>
      </c>
      <c r="D278" s="11"/>
      <c r="F278" s="124" t="s">
        <v>109</v>
      </c>
    </row>
    <row r="279" spans="1:6" x14ac:dyDescent="0.3">
      <c r="A279" s="38">
        <v>45996</v>
      </c>
      <c r="B279" t="s">
        <v>212</v>
      </c>
      <c r="C279" s="11"/>
      <c r="D279" s="11"/>
      <c r="E279" t="s">
        <v>361</v>
      </c>
      <c r="F279" s="124" t="s">
        <v>109</v>
      </c>
    </row>
    <row r="280" spans="1:6" x14ac:dyDescent="0.3">
      <c r="A280" s="125">
        <v>45996</v>
      </c>
      <c r="B280" t="s">
        <v>332</v>
      </c>
      <c r="C280" s="11"/>
      <c r="D280" s="11">
        <v>155000</v>
      </c>
      <c r="F280" s="124" t="s">
        <v>109</v>
      </c>
    </row>
    <row r="281" spans="1:6" x14ac:dyDescent="0.3">
      <c r="A281" s="38">
        <v>45996</v>
      </c>
      <c r="B281" t="s">
        <v>21</v>
      </c>
      <c r="C281" s="11"/>
      <c r="D281" s="11">
        <v>7900</v>
      </c>
      <c r="E281" t="s">
        <v>343</v>
      </c>
      <c r="F281" s="124" t="s">
        <v>109</v>
      </c>
    </row>
    <row r="282" spans="1:6" x14ac:dyDescent="0.3">
      <c r="A282" s="125">
        <v>45996</v>
      </c>
      <c r="B282" t="s">
        <v>55</v>
      </c>
      <c r="C282" s="11">
        <v>7900</v>
      </c>
      <c r="D282" s="11"/>
      <c r="E282" t="s">
        <v>343</v>
      </c>
      <c r="F282" s="124" t="s">
        <v>109</v>
      </c>
    </row>
    <row r="283" spans="1:6" x14ac:dyDescent="0.3">
      <c r="A283" s="38">
        <v>45997</v>
      </c>
      <c r="B283" t="s">
        <v>183</v>
      </c>
      <c r="C283" s="11">
        <v>1500</v>
      </c>
      <c r="D283" s="11"/>
      <c r="F283" s="124" t="s">
        <v>109</v>
      </c>
    </row>
    <row r="284" spans="1:6" x14ac:dyDescent="0.3">
      <c r="A284" s="125">
        <v>45997</v>
      </c>
      <c r="B284" t="s">
        <v>183</v>
      </c>
      <c r="C284" s="11">
        <v>200</v>
      </c>
      <c r="D284" s="11"/>
      <c r="E284" t="s">
        <v>362</v>
      </c>
      <c r="F284" s="124" t="s">
        <v>109</v>
      </c>
    </row>
    <row r="285" spans="1:6" x14ac:dyDescent="0.3">
      <c r="A285" s="38">
        <v>45997</v>
      </c>
      <c r="B285" t="s">
        <v>55</v>
      </c>
      <c r="C285" s="97">
        <v>3400</v>
      </c>
      <c r="D285" s="97"/>
      <c r="E285" t="s">
        <v>363</v>
      </c>
      <c r="F285" s="124" t="s">
        <v>109</v>
      </c>
    </row>
    <row r="286" spans="1:6" x14ac:dyDescent="0.3">
      <c r="A286" s="125">
        <v>45997</v>
      </c>
      <c r="B286" t="s">
        <v>55</v>
      </c>
      <c r="C286" s="11">
        <v>1000</v>
      </c>
      <c r="D286" s="11"/>
      <c r="F286" s="124" t="s">
        <v>109</v>
      </c>
    </row>
    <row r="287" spans="1:6" x14ac:dyDescent="0.3">
      <c r="A287" s="38">
        <v>45997</v>
      </c>
      <c r="B287" t="s">
        <v>341</v>
      </c>
      <c r="C287" s="97">
        <v>128500</v>
      </c>
      <c r="D287" s="97"/>
      <c r="F287" s="124" t="s">
        <v>109</v>
      </c>
    </row>
    <row r="288" spans="1:6" x14ac:dyDescent="0.3">
      <c r="A288" s="125">
        <v>45997</v>
      </c>
      <c r="B288" t="s">
        <v>95</v>
      </c>
      <c r="C288" s="11">
        <v>200510</v>
      </c>
      <c r="D288" s="11"/>
      <c r="E288" t="s">
        <v>364</v>
      </c>
      <c r="F288" s="124" t="s">
        <v>109</v>
      </c>
    </row>
    <row r="289" spans="1:6" x14ac:dyDescent="0.3">
      <c r="A289" s="38">
        <v>45997</v>
      </c>
      <c r="B289" t="s">
        <v>212</v>
      </c>
      <c r="C289" s="11">
        <v>9000</v>
      </c>
      <c r="D289" s="11"/>
      <c r="E289" t="s">
        <v>365</v>
      </c>
      <c r="F289" s="124" t="s">
        <v>109</v>
      </c>
    </row>
    <row r="290" spans="1:6" x14ac:dyDescent="0.3">
      <c r="A290" s="125">
        <v>45997</v>
      </c>
      <c r="B290" t="s">
        <v>54</v>
      </c>
      <c r="C290" s="11">
        <v>12500</v>
      </c>
      <c r="D290" s="11"/>
      <c r="E290" t="s">
        <v>232</v>
      </c>
      <c r="F290" s="124" t="s">
        <v>109</v>
      </c>
    </row>
    <row r="291" spans="1:6" x14ac:dyDescent="0.3">
      <c r="A291" s="38">
        <v>45997</v>
      </c>
      <c r="B291" t="s">
        <v>206</v>
      </c>
      <c r="C291" s="11">
        <v>150000</v>
      </c>
      <c r="D291" s="11"/>
      <c r="F291" s="124" t="s">
        <v>109</v>
      </c>
    </row>
    <row r="292" spans="1:6" x14ac:dyDescent="0.3">
      <c r="A292" s="125">
        <v>45997</v>
      </c>
      <c r="B292" t="s">
        <v>366</v>
      </c>
      <c r="C292" s="97">
        <v>50000</v>
      </c>
      <c r="D292" s="97"/>
      <c r="F292" s="124" t="s">
        <v>109</v>
      </c>
    </row>
    <row r="293" spans="1:6" x14ac:dyDescent="0.3">
      <c r="A293" s="38">
        <v>45998</v>
      </c>
      <c r="B293" t="s">
        <v>114</v>
      </c>
      <c r="C293" s="11">
        <v>17110</v>
      </c>
      <c r="D293" s="11"/>
      <c r="E293" t="s">
        <v>283</v>
      </c>
      <c r="F293" s="124" t="s">
        <v>109</v>
      </c>
    </row>
    <row r="294" spans="1:6" x14ac:dyDescent="0.3">
      <c r="A294" s="125">
        <v>45998</v>
      </c>
      <c r="B294" t="s">
        <v>220</v>
      </c>
      <c r="C294" s="11">
        <v>80000</v>
      </c>
      <c r="D294" s="11"/>
      <c r="E294" t="s">
        <v>189</v>
      </c>
      <c r="F294" s="124" t="s">
        <v>109</v>
      </c>
    </row>
    <row r="295" spans="1:6" x14ac:dyDescent="0.3">
      <c r="A295" s="38">
        <v>45997</v>
      </c>
      <c r="B295" t="s">
        <v>220</v>
      </c>
      <c r="C295" s="11">
        <v>20000</v>
      </c>
      <c r="D295" s="11"/>
      <c r="E295" t="s">
        <v>189</v>
      </c>
      <c r="F295" s="124" t="s">
        <v>109</v>
      </c>
    </row>
    <row r="296" spans="1:6" x14ac:dyDescent="0.3">
      <c r="A296" s="125">
        <v>45998</v>
      </c>
      <c r="B296" t="s">
        <v>220</v>
      </c>
      <c r="C296" s="11">
        <v>20000</v>
      </c>
      <c r="D296" s="11"/>
      <c r="E296" t="s">
        <v>290</v>
      </c>
      <c r="F296" s="124" t="s">
        <v>109</v>
      </c>
    </row>
    <row r="297" spans="1:6" x14ac:dyDescent="0.3">
      <c r="A297" s="38">
        <v>45997</v>
      </c>
      <c r="B297" t="s">
        <v>237</v>
      </c>
      <c r="C297" s="11"/>
      <c r="D297" s="11">
        <v>20000</v>
      </c>
      <c r="E297" t="s">
        <v>189</v>
      </c>
      <c r="F297" s="124" t="s">
        <v>109</v>
      </c>
    </row>
    <row r="298" spans="1:6" x14ac:dyDescent="0.3">
      <c r="A298" s="125">
        <v>45997</v>
      </c>
      <c r="B298" t="s">
        <v>237</v>
      </c>
      <c r="C298" s="11"/>
      <c r="D298" s="11">
        <v>100000</v>
      </c>
      <c r="E298" t="s">
        <v>189</v>
      </c>
      <c r="F298" s="124" t="s">
        <v>109</v>
      </c>
    </row>
    <row r="299" spans="1:6" x14ac:dyDescent="0.3">
      <c r="A299" s="38">
        <v>45997</v>
      </c>
      <c r="B299" t="s">
        <v>237</v>
      </c>
      <c r="C299" s="11"/>
      <c r="D299" s="11">
        <v>46000</v>
      </c>
      <c r="E299" t="s">
        <v>64</v>
      </c>
      <c r="F299" s="124" t="s">
        <v>109</v>
      </c>
    </row>
    <row r="300" spans="1:6" x14ac:dyDescent="0.3">
      <c r="A300" s="125">
        <v>45997</v>
      </c>
      <c r="B300" t="s">
        <v>185</v>
      </c>
      <c r="C300" s="11">
        <v>46000</v>
      </c>
      <c r="D300" s="11"/>
      <c r="E300" t="s">
        <v>367</v>
      </c>
      <c r="F300" s="124" t="s">
        <v>109</v>
      </c>
    </row>
    <row r="301" spans="1:6" x14ac:dyDescent="0.3">
      <c r="A301" s="38">
        <v>45997</v>
      </c>
      <c r="B301" t="s">
        <v>356</v>
      </c>
      <c r="C301" s="11"/>
      <c r="D301" s="11">
        <v>24560</v>
      </c>
      <c r="F301" s="124" t="s">
        <v>109</v>
      </c>
    </row>
    <row r="302" spans="1:6" x14ac:dyDescent="0.3">
      <c r="A302" s="125">
        <v>45997</v>
      </c>
      <c r="B302" t="s">
        <v>27</v>
      </c>
      <c r="C302" s="11"/>
      <c r="D302" s="11">
        <v>150000</v>
      </c>
      <c r="F302" s="124" t="s">
        <v>109</v>
      </c>
    </row>
    <row r="303" spans="1:6" x14ac:dyDescent="0.3">
      <c r="A303" s="38">
        <v>45997</v>
      </c>
      <c r="B303" t="s">
        <v>27</v>
      </c>
      <c r="C303" s="11"/>
      <c r="D303" s="11">
        <v>150000</v>
      </c>
      <c r="E303" t="s">
        <v>368</v>
      </c>
      <c r="F303" s="124" t="s">
        <v>109</v>
      </c>
    </row>
    <row r="304" spans="1:6" x14ac:dyDescent="0.3">
      <c r="A304" s="125">
        <v>45997</v>
      </c>
      <c r="B304" t="s">
        <v>153</v>
      </c>
      <c r="C304" s="11"/>
      <c r="D304" s="11">
        <v>200000</v>
      </c>
      <c r="F304" s="124" t="s">
        <v>109</v>
      </c>
    </row>
    <row r="305" spans="1:6" x14ac:dyDescent="0.3">
      <c r="A305" s="38">
        <v>45997</v>
      </c>
      <c r="B305" t="s">
        <v>237</v>
      </c>
      <c r="C305" s="11"/>
      <c r="D305" s="11">
        <v>9000</v>
      </c>
      <c r="F305" s="124" t="s">
        <v>109</v>
      </c>
    </row>
    <row r="306" spans="1:6" x14ac:dyDescent="0.3">
      <c r="A306" s="125">
        <v>45997</v>
      </c>
      <c r="B306" t="s">
        <v>237</v>
      </c>
      <c r="C306" s="11"/>
      <c r="D306" s="11">
        <v>100000</v>
      </c>
      <c r="F306" s="124" t="s">
        <v>109</v>
      </c>
    </row>
    <row r="307" spans="1:6" x14ac:dyDescent="0.3">
      <c r="A307" s="38">
        <v>45997</v>
      </c>
      <c r="B307" t="s">
        <v>237</v>
      </c>
      <c r="C307" s="11"/>
      <c r="D307" s="11">
        <v>30000</v>
      </c>
      <c r="E307" t="s">
        <v>55</v>
      </c>
      <c r="F307" s="124" t="s">
        <v>109</v>
      </c>
    </row>
    <row r="308" spans="1:6" x14ac:dyDescent="0.3">
      <c r="A308" s="125">
        <v>45997</v>
      </c>
      <c r="B308" t="s">
        <v>55</v>
      </c>
      <c r="C308" s="11">
        <v>30000</v>
      </c>
      <c r="D308" s="11"/>
      <c r="E308" t="s">
        <v>369</v>
      </c>
      <c r="F308" s="124" t="s">
        <v>109</v>
      </c>
    </row>
    <row r="309" spans="1:6" x14ac:dyDescent="0.3">
      <c r="A309" s="38">
        <v>45997</v>
      </c>
      <c r="B309" t="s">
        <v>114</v>
      </c>
      <c r="C309" s="11">
        <v>2000</v>
      </c>
      <c r="D309" s="11"/>
      <c r="E309" t="s">
        <v>359</v>
      </c>
      <c r="F309" s="124" t="s">
        <v>109</v>
      </c>
    </row>
    <row r="310" spans="1:6" x14ac:dyDescent="0.3">
      <c r="A310" s="125">
        <v>45997</v>
      </c>
      <c r="B310" t="s">
        <v>247</v>
      </c>
      <c r="C310" s="11">
        <v>500</v>
      </c>
      <c r="D310" s="11"/>
      <c r="E310" t="s">
        <v>370</v>
      </c>
      <c r="F310" s="124" t="s">
        <v>109</v>
      </c>
    </row>
    <row r="311" spans="1:6" x14ac:dyDescent="0.3">
      <c r="A311" s="38">
        <v>45997</v>
      </c>
      <c r="B311" t="s">
        <v>371</v>
      </c>
      <c r="C311" s="97">
        <v>100000</v>
      </c>
      <c r="D311" s="97"/>
      <c r="E311" t="s">
        <v>263</v>
      </c>
      <c r="F311" s="124" t="s">
        <v>109</v>
      </c>
    </row>
    <row r="312" spans="1:6" x14ac:dyDescent="0.3">
      <c r="A312" s="38">
        <v>45997</v>
      </c>
      <c r="B312" t="s">
        <v>54</v>
      </c>
      <c r="C312" s="97">
        <v>4000</v>
      </c>
      <c r="D312" s="97"/>
      <c r="E312" t="s">
        <v>232</v>
      </c>
      <c r="F312" s="124" t="s">
        <v>109</v>
      </c>
    </row>
    <row r="313" spans="1:6" x14ac:dyDescent="0.3">
      <c r="A313" s="38">
        <v>45999</v>
      </c>
      <c r="B313" t="s">
        <v>332</v>
      </c>
      <c r="C313" s="97"/>
      <c r="D313" s="97">
        <v>150000</v>
      </c>
      <c r="F313" s="124" t="s">
        <v>109</v>
      </c>
    </row>
    <row r="314" spans="1:6" x14ac:dyDescent="0.3">
      <c r="A314" s="125">
        <v>45999</v>
      </c>
      <c r="B314" t="s">
        <v>237</v>
      </c>
      <c r="C314" s="11"/>
      <c r="D314" s="11">
        <v>126500</v>
      </c>
      <c r="E314" t="s">
        <v>263</v>
      </c>
      <c r="F314" s="124" t="s">
        <v>109</v>
      </c>
    </row>
    <row r="315" spans="1:6" x14ac:dyDescent="0.3">
      <c r="A315" s="38">
        <v>45999</v>
      </c>
      <c r="B315" t="s">
        <v>371</v>
      </c>
      <c r="C315" s="11">
        <v>120000</v>
      </c>
      <c r="D315" s="11"/>
      <c r="E315" t="s">
        <v>263</v>
      </c>
      <c r="F315" s="124" t="s">
        <v>109</v>
      </c>
    </row>
    <row r="316" spans="1:6" x14ac:dyDescent="0.3">
      <c r="A316" s="125">
        <v>45999</v>
      </c>
      <c r="B316" t="s">
        <v>186</v>
      </c>
      <c r="C316" s="11">
        <v>7200</v>
      </c>
      <c r="D316" s="11"/>
      <c r="E316" t="s">
        <v>378</v>
      </c>
      <c r="F316" s="124" t="s">
        <v>109</v>
      </c>
    </row>
    <row r="317" spans="1:6" x14ac:dyDescent="0.3">
      <c r="A317" s="38">
        <v>45999</v>
      </c>
      <c r="B317" t="s">
        <v>212</v>
      </c>
      <c r="C317" s="11">
        <v>17600</v>
      </c>
      <c r="D317" s="11"/>
      <c r="E317" t="s">
        <v>379</v>
      </c>
      <c r="F317" s="124" t="s">
        <v>109</v>
      </c>
    </row>
    <row r="318" spans="1:6" x14ac:dyDescent="0.3">
      <c r="A318" s="125">
        <v>45999</v>
      </c>
      <c r="B318" t="s">
        <v>220</v>
      </c>
      <c r="C318" s="11">
        <v>120000</v>
      </c>
      <c r="D318" s="11"/>
      <c r="E318" t="s">
        <v>380</v>
      </c>
      <c r="F318" s="124" t="s">
        <v>109</v>
      </c>
    </row>
    <row r="319" spans="1:6" x14ac:dyDescent="0.3">
      <c r="A319" s="38">
        <v>45999</v>
      </c>
      <c r="B319" t="s">
        <v>381</v>
      </c>
      <c r="C319" s="11">
        <v>10000</v>
      </c>
      <c r="D319" s="11"/>
      <c r="E319" t="s">
        <v>382</v>
      </c>
      <c r="F319" s="124" t="s">
        <v>109</v>
      </c>
    </row>
    <row r="320" spans="1:6" x14ac:dyDescent="0.3">
      <c r="A320" s="125">
        <v>45999</v>
      </c>
      <c r="B320" t="s">
        <v>212</v>
      </c>
      <c r="C320" s="11">
        <v>50000</v>
      </c>
      <c r="D320" s="11"/>
      <c r="E320" t="s">
        <v>221</v>
      </c>
      <c r="F320" s="124" t="s">
        <v>109</v>
      </c>
    </row>
    <row r="321" spans="1:6" x14ac:dyDescent="0.3">
      <c r="A321" s="38">
        <v>45999</v>
      </c>
      <c r="B321" t="s">
        <v>54</v>
      </c>
      <c r="C321" s="11">
        <v>5310</v>
      </c>
      <c r="D321" s="11"/>
      <c r="E321" t="s">
        <v>232</v>
      </c>
      <c r="F321" s="124" t="s">
        <v>109</v>
      </c>
    </row>
    <row r="322" spans="1:6" x14ac:dyDescent="0.3">
      <c r="A322" s="125">
        <v>45999</v>
      </c>
      <c r="B322" t="s">
        <v>54</v>
      </c>
      <c r="C322" s="11">
        <v>500</v>
      </c>
      <c r="D322" s="11"/>
      <c r="E322" t="s">
        <v>278</v>
      </c>
      <c r="F322" s="124" t="s">
        <v>109</v>
      </c>
    </row>
    <row r="323" spans="1:6" x14ac:dyDescent="0.3">
      <c r="A323" s="38">
        <v>45999</v>
      </c>
      <c r="B323" t="s">
        <v>237</v>
      </c>
      <c r="C323" s="11"/>
      <c r="D323" s="11">
        <v>50000</v>
      </c>
      <c r="E323" t="s">
        <v>221</v>
      </c>
      <c r="F323" s="124" t="s">
        <v>109</v>
      </c>
    </row>
    <row r="324" spans="1:6" x14ac:dyDescent="0.3">
      <c r="A324" s="125">
        <v>45999</v>
      </c>
      <c r="B324" t="s">
        <v>114</v>
      </c>
      <c r="C324" s="11">
        <v>400</v>
      </c>
      <c r="D324" s="11"/>
      <c r="E324" t="s">
        <v>383</v>
      </c>
      <c r="F324" s="124" t="s">
        <v>109</v>
      </c>
    </row>
    <row r="325" spans="1:6" x14ac:dyDescent="0.3">
      <c r="A325" s="38">
        <v>45999</v>
      </c>
      <c r="B325" t="s">
        <v>387</v>
      </c>
      <c r="C325" s="11"/>
      <c r="D325" s="11">
        <v>100000</v>
      </c>
      <c r="E325" t="s">
        <v>110</v>
      </c>
      <c r="F325" s="124" t="s">
        <v>109</v>
      </c>
    </row>
    <row r="326" spans="1:6" x14ac:dyDescent="0.3">
      <c r="A326" s="125">
        <v>46000</v>
      </c>
      <c r="B326" t="s">
        <v>371</v>
      </c>
      <c r="C326" s="11">
        <v>70000</v>
      </c>
      <c r="D326" s="11"/>
      <c r="E326" t="s">
        <v>263</v>
      </c>
      <c r="F326" s="124" t="s">
        <v>109</v>
      </c>
    </row>
    <row r="327" spans="1:6" x14ac:dyDescent="0.3">
      <c r="A327" s="125">
        <v>46000</v>
      </c>
      <c r="B327" t="s">
        <v>186</v>
      </c>
      <c r="C327" s="11">
        <v>13600</v>
      </c>
      <c r="D327" s="11"/>
      <c r="E327" t="s">
        <v>378</v>
      </c>
      <c r="F327" s="124" t="s">
        <v>109</v>
      </c>
    </row>
    <row r="328" spans="1:6" x14ac:dyDescent="0.3">
      <c r="A328" s="125">
        <v>46000</v>
      </c>
      <c r="B328" t="s">
        <v>54</v>
      </c>
      <c r="C328" s="97">
        <v>10500</v>
      </c>
      <c r="D328" s="97"/>
      <c r="E328" t="s">
        <v>232</v>
      </c>
      <c r="F328" s="124" t="s">
        <v>109</v>
      </c>
    </row>
    <row r="329" spans="1:6" x14ac:dyDescent="0.3">
      <c r="A329" s="125">
        <v>46000</v>
      </c>
      <c r="B329" t="s">
        <v>114</v>
      </c>
      <c r="C329" s="11">
        <v>20000</v>
      </c>
      <c r="D329" s="11"/>
      <c r="E329" t="s">
        <v>249</v>
      </c>
      <c r="F329" s="124" t="s">
        <v>109</v>
      </c>
    </row>
    <row r="330" spans="1:6" x14ac:dyDescent="0.3">
      <c r="A330" s="125">
        <v>46000</v>
      </c>
      <c r="B330" t="s">
        <v>332</v>
      </c>
      <c r="C330" s="11"/>
      <c r="D330" s="11">
        <v>250000</v>
      </c>
      <c r="F330" s="124" t="s">
        <v>109</v>
      </c>
    </row>
    <row r="331" spans="1:6" x14ac:dyDescent="0.3">
      <c r="A331" s="125">
        <v>46000</v>
      </c>
      <c r="B331" t="s">
        <v>95</v>
      </c>
      <c r="C331" s="11">
        <v>200050</v>
      </c>
      <c r="D331" s="11"/>
      <c r="E331" t="s">
        <v>389</v>
      </c>
      <c r="F331" s="124" t="s">
        <v>109</v>
      </c>
    </row>
    <row r="332" spans="1:6" x14ac:dyDescent="0.3">
      <c r="A332" s="125">
        <v>46000</v>
      </c>
      <c r="B332" t="s">
        <v>153</v>
      </c>
      <c r="C332" s="11"/>
      <c r="D332" s="11">
        <v>200000</v>
      </c>
      <c r="E332" t="s">
        <v>390</v>
      </c>
      <c r="F332" s="124" t="s">
        <v>109</v>
      </c>
    </row>
    <row r="333" spans="1:6" x14ac:dyDescent="0.3">
      <c r="A333" s="125">
        <v>46000</v>
      </c>
      <c r="B333" t="s">
        <v>153</v>
      </c>
      <c r="C333" s="11"/>
      <c r="D333" s="11">
        <v>100000</v>
      </c>
      <c r="E333" t="s">
        <v>263</v>
      </c>
      <c r="F333" s="124" t="s">
        <v>109</v>
      </c>
    </row>
    <row r="334" spans="1:6" x14ac:dyDescent="0.3">
      <c r="A334" s="125">
        <v>46000</v>
      </c>
      <c r="C334" s="11"/>
      <c r="D334" s="11"/>
      <c r="F334" s="124" t="s">
        <v>109</v>
      </c>
    </row>
    <row r="335" spans="1:6" x14ac:dyDescent="0.3">
      <c r="A335" s="125">
        <v>46000</v>
      </c>
      <c r="B335" t="s">
        <v>153</v>
      </c>
      <c r="C335" s="11"/>
      <c r="D335" s="11">
        <v>100000</v>
      </c>
      <c r="E335" t="s">
        <v>391</v>
      </c>
      <c r="F335" s="124" t="s">
        <v>109</v>
      </c>
    </row>
    <row r="336" spans="1:6" x14ac:dyDescent="0.3">
      <c r="A336" s="125">
        <v>46000</v>
      </c>
      <c r="B336" t="s">
        <v>55</v>
      </c>
      <c r="C336" s="97">
        <v>1300</v>
      </c>
      <c r="D336" s="97"/>
      <c r="E336" t="s">
        <v>392</v>
      </c>
      <c r="F336" s="124" t="s">
        <v>109</v>
      </c>
    </row>
    <row r="337" spans="1:6" x14ac:dyDescent="0.3">
      <c r="A337" s="125">
        <v>46000</v>
      </c>
      <c r="B337" t="s">
        <v>178</v>
      </c>
      <c r="C337" s="11">
        <v>100000</v>
      </c>
      <c r="D337" s="11"/>
      <c r="E337" t="s">
        <v>250</v>
      </c>
      <c r="F337" s="124" t="s">
        <v>109</v>
      </c>
    </row>
    <row r="338" spans="1:6" x14ac:dyDescent="0.3">
      <c r="A338" s="125">
        <v>46000</v>
      </c>
      <c r="B338" t="s">
        <v>341</v>
      </c>
      <c r="C338" s="11">
        <v>100000</v>
      </c>
      <c r="D338" s="11"/>
      <c r="E338" t="s">
        <v>393</v>
      </c>
      <c r="F338" s="124" t="s">
        <v>109</v>
      </c>
    </row>
    <row r="339" spans="1:6" x14ac:dyDescent="0.3">
      <c r="A339" s="125">
        <v>46000</v>
      </c>
      <c r="B339" t="s">
        <v>55</v>
      </c>
      <c r="C339" s="11">
        <v>600</v>
      </c>
      <c r="D339" s="11"/>
      <c r="E339" t="s">
        <v>394</v>
      </c>
      <c r="F339" s="124" t="s">
        <v>109</v>
      </c>
    </row>
    <row r="340" spans="1:6" x14ac:dyDescent="0.3">
      <c r="A340" s="125">
        <v>46000</v>
      </c>
      <c r="B340" t="s">
        <v>220</v>
      </c>
      <c r="C340" s="11">
        <v>45000</v>
      </c>
      <c r="D340" s="11"/>
      <c r="E340" t="s">
        <v>221</v>
      </c>
      <c r="F340" s="124" t="s">
        <v>109</v>
      </c>
    </row>
    <row r="341" spans="1:6" x14ac:dyDescent="0.3">
      <c r="A341" s="125">
        <v>46000</v>
      </c>
      <c r="B341" t="s">
        <v>220</v>
      </c>
      <c r="C341" s="11">
        <v>5000</v>
      </c>
      <c r="D341" s="11"/>
      <c r="E341" t="s">
        <v>221</v>
      </c>
      <c r="F341" s="124" t="s">
        <v>110</v>
      </c>
    </row>
    <row r="342" spans="1:6" x14ac:dyDescent="0.3">
      <c r="A342" s="125">
        <v>46000</v>
      </c>
      <c r="B342" t="s">
        <v>247</v>
      </c>
      <c r="C342" s="11">
        <v>1800</v>
      </c>
      <c r="D342" s="11"/>
      <c r="E342" t="s">
        <v>395</v>
      </c>
      <c r="F342" s="124" t="s">
        <v>109</v>
      </c>
    </row>
    <row r="343" spans="1:6" x14ac:dyDescent="0.3">
      <c r="A343" s="125">
        <v>46000</v>
      </c>
      <c r="B343" t="s">
        <v>220</v>
      </c>
      <c r="C343" s="11">
        <v>5000</v>
      </c>
      <c r="D343" s="11"/>
      <c r="E343" t="s">
        <v>396</v>
      </c>
      <c r="F343" s="124" t="s">
        <v>109</v>
      </c>
    </row>
    <row r="344" spans="1:6" x14ac:dyDescent="0.3">
      <c r="A344" s="125">
        <v>46000</v>
      </c>
      <c r="B344" t="s">
        <v>397</v>
      </c>
      <c r="C344" s="11">
        <v>2000</v>
      </c>
      <c r="D344" s="11"/>
      <c r="E344" t="s">
        <v>251</v>
      </c>
      <c r="F344" s="124" t="s">
        <v>109</v>
      </c>
    </row>
    <row r="345" spans="1:6" x14ac:dyDescent="0.3">
      <c r="A345" s="125">
        <v>46000</v>
      </c>
      <c r="B345" t="s">
        <v>185</v>
      </c>
      <c r="C345" s="11">
        <v>32000</v>
      </c>
      <c r="D345" s="11"/>
      <c r="E345" t="s">
        <v>399</v>
      </c>
      <c r="F345" s="124" t="s">
        <v>109</v>
      </c>
    </row>
    <row r="346" spans="1:6" x14ac:dyDescent="0.3">
      <c r="A346" s="125">
        <v>46000</v>
      </c>
      <c r="B346" t="s">
        <v>237</v>
      </c>
      <c r="C346" s="11"/>
      <c r="D346" s="11">
        <v>32000</v>
      </c>
      <c r="E346" t="s">
        <v>223</v>
      </c>
      <c r="F346" s="124" t="s">
        <v>109</v>
      </c>
    </row>
    <row r="347" spans="1:6" x14ac:dyDescent="0.3">
      <c r="A347" s="125">
        <v>46000</v>
      </c>
      <c r="B347" t="s">
        <v>21</v>
      </c>
      <c r="C347" s="11"/>
      <c r="D347" s="11">
        <v>6000</v>
      </c>
      <c r="E347" t="s">
        <v>400</v>
      </c>
      <c r="F347" s="124" t="s">
        <v>109</v>
      </c>
    </row>
    <row r="348" spans="1:6" x14ac:dyDescent="0.3">
      <c r="A348" s="125">
        <v>46000</v>
      </c>
      <c r="B348" t="s">
        <v>220</v>
      </c>
      <c r="C348" s="11">
        <v>6000</v>
      </c>
      <c r="D348" s="11"/>
      <c r="E348" t="s">
        <v>400</v>
      </c>
      <c r="F348" s="124" t="s">
        <v>109</v>
      </c>
    </row>
    <row r="349" spans="1:6" x14ac:dyDescent="0.3">
      <c r="A349" s="125">
        <v>46000</v>
      </c>
      <c r="B349" t="s">
        <v>381</v>
      </c>
      <c r="C349" s="11"/>
      <c r="D349" s="11">
        <v>16200</v>
      </c>
      <c r="E349" t="s">
        <v>391</v>
      </c>
      <c r="F349" s="88" t="s">
        <v>109</v>
      </c>
    </row>
    <row r="350" spans="1:6" x14ac:dyDescent="0.3">
      <c r="A350" s="125">
        <v>46001</v>
      </c>
      <c r="B350" t="s">
        <v>371</v>
      </c>
      <c r="C350" s="11">
        <v>102000</v>
      </c>
      <c r="D350" s="11"/>
      <c r="F350" s="124" t="s">
        <v>109</v>
      </c>
    </row>
    <row r="351" spans="1:6" x14ac:dyDescent="0.3">
      <c r="A351" s="125">
        <v>46001</v>
      </c>
      <c r="B351" t="s">
        <v>186</v>
      </c>
      <c r="C351" s="11">
        <v>13600</v>
      </c>
      <c r="D351" s="11"/>
      <c r="E351" t="s">
        <v>378</v>
      </c>
      <c r="F351" s="124" t="s">
        <v>109</v>
      </c>
    </row>
    <row r="352" spans="1:6" x14ac:dyDescent="0.3">
      <c r="A352" s="125">
        <v>46001</v>
      </c>
      <c r="B352" t="s">
        <v>186</v>
      </c>
      <c r="C352" s="11">
        <v>5000</v>
      </c>
      <c r="D352" s="11"/>
      <c r="E352" t="s">
        <v>401</v>
      </c>
      <c r="F352" s="124" t="s">
        <v>109</v>
      </c>
    </row>
    <row r="353" spans="1:6" x14ac:dyDescent="0.3">
      <c r="A353" s="125">
        <v>46001</v>
      </c>
      <c r="B353" t="s">
        <v>186</v>
      </c>
      <c r="C353" s="11">
        <v>250</v>
      </c>
      <c r="D353" s="11"/>
      <c r="F353" s="124"/>
    </row>
    <row r="354" spans="1:6" x14ac:dyDescent="0.3">
      <c r="A354" s="125">
        <v>46001</v>
      </c>
      <c r="B354" t="s">
        <v>332</v>
      </c>
      <c r="C354" s="11"/>
      <c r="D354" s="11">
        <v>150000</v>
      </c>
      <c r="E354" t="s">
        <v>332</v>
      </c>
      <c r="F354" s="124" t="s">
        <v>109</v>
      </c>
    </row>
    <row r="355" spans="1:6" x14ac:dyDescent="0.3">
      <c r="A355" s="125">
        <v>46001</v>
      </c>
      <c r="B355" t="s">
        <v>341</v>
      </c>
      <c r="C355" s="11">
        <v>125000</v>
      </c>
      <c r="D355" s="11"/>
      <c r="E355" t="s">
        <v>402</v>
      </c>
      <c r="F355" s="124" t="s">
        <v>109</v>
      </c>
    </row>
    <row r="356" spans="1:6" x14ac:dyDescent="0.3">
      <c r="A356" s="125">
        <v>46001</v>
      </c>
      <c r="B356" t="s">
        <v>237</v>
      </c>
      <c r="C356" s="11"/>
      <c r="D356" s="11">
        <v>24500</v>
      </c>
      <c r="E356" t="s">
        <v>403</v>
      </c>
      <c r="F356" s="124" t="s">
        <v>109</v>
      </c>
    </row>
    <row r="357" spans="1:6" x14ac:dyDescent="0.3">
      <c r="A357" s="125">
        <v>46001</v>
      </c>
      <c r="B357" t="s">
        <v>153</v>
      </c>
      <c r="C357" s="11"/>
      <c r="D357" s="11">
        <v>150000</v>
      </c>
      <c r="E357" t="s">
        <v>263</v>
      </c>
      <c r="F357" s="124" t="s">
        <v>109</v>
      </c>
    </row>
    <row r="358" spans="1:6" x14ac:dyDescent="0.3">
      <c r="A358" s="125">
        <v>46001</v>
      </c>
      <c r="B358" t="s">
        <v>220</v>
      </c>
      <c r="C358" s="11">
        <v>5000</v>
      </c>
      <c r="D358" s="11"/>
      <c r="E358" t="s">
        <v>405</v>
      </c>
      <c r="F358" s="124" t="s">
        <v>109</v>
      </c>
    </row>
    <row r="359" spans="1:6" x14ac:dyDescent="0.3">
      <c r="A359" s="125">
        <v>46002</v>
      </c>
      <c r="B359" t="s">
        <v>220</v>
      </c>
      <c r="C359" s="11">
        <v>5000</v>
      </c>
      <c r="D359" s="11"/>
      <c r="E359" t="s">
        <v>360</v>
      </c>
      <c r="F359" s="124" t="s">
        <v>109</v>
      </c>
    </row>
    <row r="360" spans="1:6" x14ac:dyDescent="0.3">
      <c r="A360" s="125">
        <v>46002</v>
      </c>
      <c r="B360" t="s">
        <v>220</v>
      </c>
      <c r="C360" s="11">
        <v>2000</v>
      </c>
      <c r="D360" s="11"/>
      <c r="E360" t="s">
        <v>406</v>
      </c>
      <c r="F360" s="124" t="s">
        <v>109</v>
      </c>
    </row>
    <row r="361" spans="1:6" x14ac:dyDescent="0.3">
      <c r="A361" s="125">
        <v>46002</v>
      </c>
      <c r="B361" t="s">
        <v>186</v>
      </c>
      <c r="C361" s="11">
        <v>12200</v>
      </c>
      <c r="D361" s="11"/>
      <c r="E361" t="s">
        <v>378</v>
      </c>
      <c r="F361" s="124" t="s">
        <v>109</v>
      </c>
    </row>
    <row r="362" spans="1:6" x14ac:dyDescent="0.3">
      <c r="A362" s="125">
        <v>46002</v>
      </c>
      <c r="B362" t="s">
        <v>237</v>
      </c>
      <c r="C362" s="11"/>
      <c r="D362" s="11">
        <v>20500</v>
      </c>
      <c r="F362" s="124" t="s">
        <v>109</v>
      </c>
    </row>
    <row r="363" spans="1:6" x14ac:dyDescent="0.3">
      <c r="A363" s="125">
        <v>46002</v>
      </c>
      <c r="B363" t="s">
        <v>237</v>
      </c>
      <c r="C363" s="11"/>
      <c r="D363" s="11">
        <v>134750</v>
      </c>
      <c r="E363" t="s">
        <v>223</v>
      </c>
      <c r="F363" s="124" t="s">
        <v>109</v>
      </c>
    </row>
    <row r="364" spans="1:6" x14ac:dyDescent="0.3">
      <c r="A364" s="125">
        <v>46002</v>
      </c>
      <c r="B364" t="s">
        <v>237</v>
      </c>
      <c r="C364" s="11"/>
      <c r="D364" s="11">
        <v>2560</v>
      </c>
      <c r="E364" t="s">
        <v>407</v>
      </c>
      <c r="F364" s="124" t="s">
        <v>109</v>
      </c>
    </row>
    <row r="365" spans="1:6" x14ac:dyDescent="0.3">
      <c r="A365" s="125">
        <v>46002</v>
      </c>
      <c r="B365" t="s">
        <v>237</v>
      </c>
      <c r="C365" s="11"/>
      <c r="D365" s="11">
        <v>9000</v>
      </c>
      <c r="E365" t="s">
        <v>408</v>
      </c>
      <c r="F365" s="124" t="s">
        <v>109</v>
      </c>
    </row>
    <row r="366" spans="1:6" x14ac:dyDescent="0.3">
      <c r="A366" s="125">
        <v>46002</v>
      </c>
      <c r="B366" t="s">
        <v>237</v>
      </c>
      <c r="C366" s="11"/>
      <c r="D366" s="11">
        <v>150000</v>
      </c>
      <c r="F366" s="124" t="s">
        <v>109</v>
      </c>
    </row>
    <row r="367" spans="1:6" x14ac:dyDescent="0.3">
      <c r="A367" s="125">
        <v>46002</v>
      </c>
      <c r="B367" t="s">
        <v>206</v>
      </c>
      <c r="C367" s="11">
        <v>150500</v>
      </c>
      <c r="D367" s="11"/>
      <c r="F367" s="124" t="s">
        <v>109</v>
      </c>
    </row>
    <row r="368" spans="1:6" x14ac:dyDescent="0.3">
      <c r="A368" s="125">
        <v>46002</v>
      </c>
      <c r="B368" t="s">
        <v>185</v>
      </c>
      <c r="C368" s="11">
        <v>134750</v>
      </c>
      <c r="D368" s="11"/>
      <c r="E368" t="s">
        <v>409</v>
      </c>
      <c r="F368" s="124" t="s">
        <v>109</v>
      </c>
    </row>
    <row r="369" spans="1:6" x14ac:dyDescent="0.3">
      <c r="A369" s="125">
        <v>46002</v>
      </c>
      <c r="B369" t="s">
        <v>54</v>
      </c>
      <c r="C369" s="11">
        <v>7180</v>
      </c>
      <c r="D369" s="11"/>
      <c r="E369" t="s">
        <v>410</v>
      </c>
      <c r="F369" s="124" t="s">
        <v>109</v>
      </c>
    </row>
    <row r="370" spans="1:6" x14ac:dyDescent="0.3">
      <c r="A370" s="125">
        <v>46002</v>
      </c>
      <c r="B370" t="s">
        <v>186</v>
      </c>
      <c r="C370" s="11">
        <v>4500</v>
      </c>
      <c r="D370" s="11"/>
      <c r="E370" t="s">
        <v>411</v>
      </c>
      <c r="F370" s="124" t="s">
        <v>109</v>
      </c>
    </row>
    <row r="371" spans="1:6" x14ac:dyDescent="0.3">
      <c r="A371" s="125">
        <v>46002</v>
      </c>
      <c r="B371" t="s">
        <v>381</v>
      </c>
      <c r="C371" s="11">
        <v>25000</v>
      </c>
      <c r="D371" s="11"/>
      <c r="E371" t="s">
        <v>412</v>
      </c>
      <c r="F371" s="124" t="s">
        <v>109</v>
      </c>
    </row>
    <row r="372" spans="1:6" x14ac:dyDescent="0.3">
      <c r="A372" s="125">
        <v>46002</v>
      </c>
      <c r="B372" t="s">
        <v>381</v>
      </c>
      <c r="C372" s="11">
        <v>1000</v>
      </c>
      <c r="D372" s="11"/>
      <c r="E372" t="s">
        <v>412</v>
      </c>
      <c r="F372" s="124" t="s">
        <v>109</v>
      </c>
    </row>
    <row r="373" spans="1:6" x14ac:dyDescent="0.3">
      <c r="A373" s="125">
        <v>46002</v>
      </c>
      <c r="B373" t="s">
        <v>237</v>
      </c>
      <c r="C373" s="11">
        <v>150000</v>
      </c>
      <c r="D373" s="11"/>
      <c r="E373" t="s">
        <v>413</v>
      </c>
      <c r="F373" s="124" t="s">
        <v>109</v>
      </c>
    </row>
    <row r="374" spans="1:6" x14ac:dyDescent="0.3">
      <c r="A374" s="125">
        <v>46002</v>
      </c>
      <c r="B374" t="s">
        <v>55</v>
      </c>
      <c r="C374" s="97">
        <v>2560</v>
      </c>
      <c r="D374" s="97"/>
      <c r="F374" s="124" t="s">
        <v>109</v>
      </c>
    </row>
    <row r="375" spans="1:6" x14ac:dyDescent="0.3">
      <c r="A375" s="125">
        <v>46002</v>
      </c>
      <c r="B375" t="s">
        <v>55</v>
      </c>
      <c r="C375" s="11">
        <v>9000</v>
      </c>
      <c r="D375" s="11"/>
      <c r="F375" s="124" t="s">
        <v>109</v>
      </c>
    </row>
    <row r="376" spans="1:6" x14ac:dyDescent="0.3">
      <c r="A376" s="125">
        <v>46002</v>
      </c>
      <c r="B376" t="s">
        <v>54</v>
      </c>
      <c r="C376" s="11">
        <v>1000</v>
      </c>
      <c r="D376" s="11"/>
      <c r="E376" t="s">
        <v>232</v>
      </c>
      <c r="F376" s="124" t="s">
        <v>109</v>
      </c>
    </row>
    <row r="377" spans="1:6" x14ac:dyDescent="0.3">
      <c r="A377" s="125">
        <v>46002</v>
      </c>
      <c r="B377" t="s">
        <v>55</v>
      </c>
      <c r="C377" s="11">
        <v>6594</v>
      </c>
      <c r="D377" s="11"/>
      <c r="E377" t="s">
        <v>414</v>
      </c>
      <c r="F377" s="124" t="s">
        <v>109</v>
      </c>
    </row>
    <row r="378" spans="1:6" x14ac:dyDescent="0.3">
      <c r="A378" s="125">
        <v>46002</v>
      </c>
      <c r="B378" t="s">
        <v>55</v>
      </c>
      <c r="C378" s="11">
        <v>4790</v>
      </c>
      <c r="D378" s="11"/>
      <c r="E378" t="s">
        <v>211</v>
      </c>
      <c r="F378" s="124" t="s">
        <v>109</v>
      </c>
    </row>
    <row r="379" spans="1:6" x14ac:dyDescent="0.3">
      <c r="A379" s="125">
        <v>46002</v>
      </c>
      <c r="B379" t="s">
        <v>220</v>
      </c>
      <c r="C379" s="11">
        <v>5000</v>
      </c>
      <c r="D379" s="11"/>
      <c r="E379" t="s">
        <v>352</v>
      </c>
      <c r="F379" s="124" t="s">
        <v>109</v>
      </c>
    </row>
    <row r="380" spans="1:6" x14ac:dyDescent="0.3">
      <c r="A380" s="125">
        <v>46002</v>
      </c>
      <c r="B380" t="s">
        <v>237</v>
      </c>
      <c r="C380" s="11"/>
      <c r="D380" s="11">
        <v>69000</v>
      </c>
      <c r="E380" t="s">
        <v>341</v>
      </c>
      <c r="F380" s="124" t="s">
        <v>109</v>
      </c>
    </row>
    <row r="381" spans="1:6" x14ac:dyDescent="0.3">
      <c r="A381" s="38">
        <v>46002</v>
      </c>
      <c r="B381" t="s">
        <v>341</v>
      </c>
      <c r="C381" s="97">
        <v>90000</v>
      </c>
      <c r="D381" s="97"/>
      <c r="E381" t="s">
        <v>402</v>
      </c>
      <c r="F381" s="124" t="s">
        <v>109</v>
      </c>
    </row>
    <row r="382" spans="1:6" x14ac:dyDescent="0.3">
      <c r="A382" s="38"/>
      <c r="B382" t="s">
        <v>416</v>
      </c>
      <c r="C382" s="97">
        <v>1400</v>
      </c>
      <c r="D382" s="97"/>
      <c r="F382" s="124"/>
    </row>
    <row r="383" spans="1:6" x14ac:dyDescent="0.3">
      <c r="A383" s="38"/>
      <c r="C383" s="14">
        <f>SUBTOTAL(109,Table14[Debit])</f>
        <v>15283023</v>
      </c>
      <c r="D383" s="14">
        <f>SUBTOTAL(109,Table14[Credit])</f>
        <v>15334540</v>
      </c>
      <c r="F383" s="54">
        <f>(Table14[[#Totals],[Credit]]-Table14[[#Totals],[Debit]])</f>
        <v>51517</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7"/>
  <sheetViews>
    <sheetView zoomScale="93" zoomScaleNormal="210" workbookViewId="0">
      <selection activeCell="A13" sqref="A1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285</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300</v>
      </c>
      <c r="E10">
        <v>85000</v>
      </c>
      <c r="F10" t="s">
        <v>301</v>
      </c>
      <c r="G10">
        <f>SUMIFS(Table14[Debit], Table14[Date], Table8[[#This Row],[Date]], Table14[Party], Table8[[#This Row],[Party]])</f>
        <v>85000</v>
      </c>
      <c r="H10">
        <f>Table8[[#This Row],[Price]]-Table8[[#This Row],[Paid]]</f>
        <v>0</v>
      </c>
      <c r="K10" s="26">
        <v>45947</v>
      </c>
      <c r="L10" s="135"/>
      <c r="M10" s="135">
        <v>240125</v>
      </c>
    </row>
    <row r="11" spans="1:14" x14ac:dyDescent="0.3">
      <c r="A11" s="1">
        <v>45990</v>
      </c>
      <c r="B11" t="s">
        <v>312</v>
      </c>
      <c r="E11">
        <v>46000</v>
      </c>
      <c r="F11" t="s">
        <v>185</v>
      </c>
      <c r="G11">
        <f>SUMIFS(Table14[Debit], Table14[Date], Table8[[#This Row],[Date]], Table14[Party], Table8[[#This Row],[Party]])</f>
        <v>46000</v>
      </c>
      <c r="H11">
        <f>Table8[[#This Row],[Price]]-Table8[[#This Row],[Paid]]</f>
        <v>0</v>
      </c>
      <c r="K11" s="26">
        <v>45979</v>
      </c>
      <c r="L11" s="135"/>
      <c r="M11" s="135">
        <v>0</v>
      </c>
    </row>
    <row r="12" spans="1:14" x14ac:dyDescent="0.3">
      <c r="A12" s="1">
        <v>45992</v>
      </c>
      <c r="E12">
        <v>52000</v>
      </c>
      <c r="F12" t="s">
        <v>185</v>
      </c>
      <c r="G12">
        <f>SUMIFS(Table14[Debit], Table14[Date], Table8[[#This Row],[Date]], Table14[Party], Table8[[#This Row],[Party]])</f>
        <v>52000</v>
      </c>
      <c r="H12">
        <f>Table8[[#This Row],[Price]]-Table8[[#This Row],[Paid]]</f>
        <v>0</v>
      </c>
      <c r="K12" s="26">
        <v>45981</v>
      </c>
      <c r="L12" s="135">
        <v>141950</v>
      </c>
      <c r="M12" s="135">
        <v>0</v>
      </c>
    </row>
    <row r="13" spans="1:14" x14ac:dyDescent="0.3">
      <c r="A13" s="1">
        <v>45993</v>
      </c>
      <c r="B13" t="s">
        <v>336</v>
      </c>
      <c r="E13">
        <v>242450</v>
      </c>
      <c r="F13" t="s">
        <v>185</v>
      </c>
      <c r="G13">
        <f>SUMIFS(Table14[Debit], Table14[Date], Table8[[#This Row],[Date]], Table14[Party], Table8[[#This Row],[Party]])</f>
        <v>242450</v>
      </c>
      <c r="H13">
        <f>Table8[[#This Row],[Price]]-Table8[[#This Row],[Paid]]</f>
        <v>0</v>
      </c>
      <c r="K13" s="26">
        <v>45983</v>
      </c>
      <c r="L13" s="135">
        <v>158000</v>
      </c>
      <c r="M13" s="135">
        <v>0</v>
      </c>
    </row>
    <row r="14" spans="1:14" x14ac:dyDescent="0.3">
      <c r="A14" s="1">
        <v>45995</v>
      </c>
      <c r="B14" t="s">
        <v>64</v>
      </c>
      <c r="E14">
        <v>56000</v>
      </c>
      <c r="F14" t="s">
        <v>185</v>
      </c>
      <c r="G14">
        <f>SUMIFS(Table14[Debit], Table14[Date], Table8[[#This Row],[Date]], Table14[Party], Table8[[#This Row],[Party]])</f>
        <v>56000</v>
      </c>
      <c r="H14">
        <f>Table8[[#This Row],[Price]]-Table8[[#This Row],[Paid]]</f>
        <v>0</v>
      </c>
      <c r="K14" s="26">
        <v>45986</v>
      </c>
      <c r="L14" s="135">
        <v>231500</v>
      </c>
      <c r="M14" s="135">
        <v>0</v>
      </c>
    </row>
    <row r="15" spans="1:14" x14ac:dyDescent="0.3">
      <c r="A15" s="1">
        <v>46002</v>
      </c>
      <c r="B15" t="s">
        <v>64</v>
      </c>
      <c r="E15">
        <v>134750</v>
      </c>
      <c r="F15" t="s">
        <v>185</v>
      </c>
      <c r="G15">
        <f>SUMIFS(Table14[Debit], Table14[Date], Table8[[#This Row],[Date]], Table14[Party], Table8[[#This Row],[Party]])</f>
        <v>134750</v>
      </c>
      <c r="H15">
        <f>Table8[[#This Row],[Price]]-Table8[[#This Row],[Paid]]</f>
        <v>0</v>
      </c>
      <c r="K15" s="26">
        <v>45987</v>
      </c>
      <c r="L15" s="135"/>
      <c r="M15" s="135">
        <v>-240125</v>
      </c>
    </row>
    <row r="16" spans="1:14" x14ac:dyDescent="0.3">
      <c r="A16" s="1">
        <v>46000</v>
      </c>
      <c r="B16" t="s">
        <v>64</v>
      </c>
      <c r="E16">
        <v>32000</v>
      </c>
      <c r="F16" t="s">
        <v>185</v>
      </c>
      <c r="G16">
        <f>SUMIFS(Table14[Debit], Table14[Date], Table8[[#This Row],[Date]], Table14[Party], Table8[[#This Row],[Party]])</f>
        <v>32000</v>
      </c>
      <c r="H16">
        <f>Table8[[#This Row],[Price]]-Table8[[#This Row],[Paid]]</f>
        <v>0</v>
      </c>
      <c r="K16" s="26">
        <v>45988</v>
      </c>
      <c r="L16" s="135">
        <v>85000</v>
      </c>
      <c r="M16" s="135">
        <v>0</v>
      </c>
    </row>
    <row r="17" spans="1:13" x14ac:dyDescent="0.3">
      <c r="A17" s="1">
        <v>45997</v>
      </c>
      <c r="B17" t="s">
        <v>64</v>
      </c>
      <c r="E17">
        <v>46000</v>
      </c>
      <c r="F17" t="s">
        <v>185</v>
      </c>
      <c r="G17">
        <f>SUMIFS(Table14[Debit], Table14[Date], Table8[[#This Row],[Date]], Table14[Party], Table8[[#This Row],[Party]])</f>
        <v>46000</v>
      </c>
      <c r="H17">
        <f>Table8[[#This Row],[Price]]-Table8[[#This Row],[Paid]]</f>
        <v>0</v>
      </c>
      <c r="K17" s="26">
        <v>45990</v>
      </c>
      <c r="L17" s="135">
        <v>46000</v>
      </c>
      <c r="M17" s="135">
        <v>0</v>
      </c>
    </row>
    <row r="18" spans="1:13" x14ac:dyDescent="0.3">
      <c r="E18">
        <f>SUBTOTAL(109,Table8[Price])</f>
        <v>1225650</v>
      </c>
      <c r="H18">
        <f>SUBTOTAL(109,Table8[Balance])</f>
        <v>0</v>
      </c>
      <c r="K18" s="26">
        <v>45993</v>
      </c>
      <c r="L18" s="135">
        <v>242450</v>
      </c>
      <c r="M18" s="135">
        <v>0</v>
      </c>
    </row>
    <row r="19" spans="1:13" x14ac:dyDescent="0.3">
      <c r="K19" s="26">
        <v>45995</v>
      </c>
      <c r="L19" s="135">
        <v>56000</v>
      </c>
      <c r="M19" s="135">
        <v>0</v>
      </c>
    </row>
    <row r="20" spans="1:13" x14ac:dyDescent="0.3">
      <c r="K20" s="26">
        <v>45992</v>
      </c>
      <c r="L20" s="135">
        <v>52000</v>
      </c>
      <c r="M20" s="135">
        <v>0</v>
      </c>
    </row>
    <row r="21" spans="1:13" x14ac:dyDescent="0.3">
      <c r="K21" s="26">
        <v>46002</v>
      </c>
      <c r="L21" s="135">
        <v>134750</v>
      </c>
      <c r="M21" s="135">
        <v>0</v>
      </c>
    </row>
    <row r="22" spans="1:13" x14ac:dyDescent="0.3">
      <c r="K22" s="26">
        <v>46000</v>
      </c>
      <c r="L22" s="135">
        <v>32000</v>
      </c>
      <c r="M22" s="135">
        <v>0</v>
      </c>
    </row>
    <row r="23" spans="1:13" x14ac:dyDescent="0.3">
      <c r="K23" s="26">
        <v>45997</v>
      </c>
      <c r="L23" s="135">
        <v>46000</v>
      </c>
      <c r="M23" s="135">
        <v>0</v>
      </c>
    </row>
    <row r="24" spans="1:13" x14ac:dyDescent="0.3">
      <c r="K24" s="4" t="s">
        <v>28</v>
      </c>
      <c r="L24" s="135">
        <v>1225650</v>
      </c>
      <c r="M24" s="135">
        <v>0</v>
      </c>
    </row>
    <row r="30" spans="1:13" x14ac:dyDescent="0.3">
      <c r="A30" t="s">
        <v>57</v>
      </c>
      <c r="B30" t="s">
        <v>157</v>
      </c>
      <c r="C30" t="s">
        <v>158</v>
      </c>
      <c r="D30" t="s">
        <v>4</v>
      </c>
      <c r="E30" t="s">
        <v>159</v>
      </c>
    </row>
    <row r="31" spans="1:13" x14ac:dyDescent="0.3">
      <c r="A31" t="s">
        <v>132</v>
      </c>
      <c r="B31">
        <v>1</v>
      </c>
      <c r="C31">
        <v>25</v>
      </c>
      <c r="D31">
        <v>1400</v>
      </c>
      <c r="E31">
        <f>Table2325[[#This Row],[boxes]]*Table2325[[#This Row],[kgs]]*Table2325[[#This Row],[Rate]]</f>
        <v>35000</v>
      </c>
    </row>
    <row r="32" spans="1:13" x14ac:dyDescent="0.3">
      <c r="A32" t="s">
        <v>130</v>
      </c>
      <c r="B32">
        <v>1</v>
      </c>
      <c r="C32">
        <v>3</v>
      </c>
      <c r="D32">
        <v>1340</v>
      </c>
      <c r="E32">
        <f>Table2325[[#This Row],[boxes]]*Table2325[[#This Row],[kgs]]*Table2325[[#This Row],[Rate]]</f>
        <v>4020</v>
      </c>
      <c r="L32" t="s">
        <v>164</v>
      </c>
    </row>
    <row r="33" spans="1:16" x14ac:dyDescent="0.3">
      <c r="A33" t="s">
        <v>148</v>
      </c>
      <c r="B33">
        <v>1</v>
      </c>
      <c r="D33">
        <v>1120</v>
      </c>
      <c r="E33">
        <f>Table2325[[#This Row],[boxes]]*Table2325[[#This Row],[kgs]]*Table2325[[#This Row],[Rate]]</f>
        <v>0</v>
      </c>
      <c r="L33" t="s">
        <v>57</v>
      </c>
      <c r="M33" t="s">
        <v>157</v>
      </c>
      <c r="N33" t="s">
        <v>158</v>
      </c>
      <c r="O33" t="s">
        <v>4</v>
      </c>
      <c r="P33" t="s">
        <v>159</v>
      </c>
    </row>
    <row r="34" spans="1:16" x14ac:dyDescent="0.3">
      <c r="A34" t="s">
        <v>127</v>
      </c>
      <c r="B34">
        <v>1</v>
      </c>
      <c r="C34">
        <v>25</v>
      </c>
      <c r="D34">
        <v>1120</v>
      </c>
      <c r="E34">
        <f>Table2325[[#This Row],[boxes]]*Table2325[[#This Row],[kgs]]*Table2325[[#This Row],[Rate]]</f>
        <v>28000</v>
      </c>
      <c r="L34" t="s">
        <v>132</v>
      </c>
      <c r="M34">
        <v>1</v>
      </c>
      <c r="N34">
        <v>25</v>
      </c>
      <c r="O34">
        <v>1400</v>
      </c>
      <c r="P34">
        <v>35000</v>
      </c>
    </row>
    <row r="35" spans="1:16" x14ac:dyDescent="0.3">
      <c r="A35" t="s">
        <v>126</v>
      </c>
      <c r="B35">
        <v>1</v>
      </c>
      <c r="C35">
        <v>25</v>
      </c>
      <c r="D35">
        <v>1120</v>
      </c>
      <c r="E35">
        <f>Table2325[[#This Row],[boxes]]*Table2325[[#This Row],[kgs]]*Table2325[[#This Row],[Rate]]</f>
        <v>28000</v>
      </c>
      <c r="L35" t="s">
        <v>130</v>
      </c>
      <c r="M35">
        <v>1</v>
      </c>
      <c r="N35">
        <v>25</v>
      </c>
      <c r="O35">
        <v>1340</v>
      </c>
      <c r="P35">
        <v>33500</v>
      </c>
    </row>
    <row r="36" spans="1:16" x14ac:dyDescent="0.3">
      <c r="A36" t="s">
        <v>147</v>
      </c>
      <c r="B36">
        <v>1</v>
      </c>
      <c r="D36">
        <v>1300</v>
      </c>
      <c r="E36">
        <f>Table2325[[#This Row],[boxes]]*Table2325[[#This Row],[kgs]]*Table2325[[#This Row],[Rate]]</f>
        <v>0</v>
      </c>
      <c r="L36" t="s">
        <v>148</v>
      </c>
      <c r="M36">
        <v>2</v>
      </c>
      <c r="N36">
        <v>50</v>
      </c>
      <c r="O36">
        <v>1140</v>
      </c>
      <c r="P36">
        <v>57000</v>
      </c>
    </row>
    <row r="37" spans="1:16" x14ac:dyDescent="0.3">
      <c r="A37" t="s">
        <v>133</v>
      </c>
      <c r="B37">
        <v>1</v>
      </c>
      <c r="C37">
        <v>25</v>
      </c>
      <c r="D37">
        <v>1450</v>
      </c>
      <c r="E37">
        <f>Table2325[[#This Row],[boxes]]*Table2325[[#This Row],[kgs]]*Table2325[[#This Row],[Rate]]</f>
        <v>36250</v>
      </c>
      <c r="L37" t="s">
        <v>127</v>
      </c>
      <c r="M37">
        <v>1</v>
      </c>
      <c r="N37">
        <v>25</v>
      </c>
      <c r="O37">
        <v>1140</v>
      </c>
      <c r="P37">
        <v>28500</v>
      </c>
    </row>
    <row r="38" spans="1:16" x14ac:dyDescent="0.3">
      <c r="A38" t="s">
        <v>160</v>
      </c>
      <c r="B38">
        <v>1</v>
      </c>
      <c r="C38">
        <v>25</v>
      </c>
      <c r="D38">
        <v>940</v>
      </c>
      <c r="E38">
        <f>Table2325[[#This Row],[boxes]]*Table2325[[#This Row],[kgs]]*Table2325[[#This Row],[Rate]]</f>
        <v>23500</v>
      </c>
      <c r="L38" t="s">
        <v>126</v>
      </c>
      <c r="M38">
        <v>2</v>
      </c>
      <c r="N38">
        <v>50</v>
      </c>
      <c r="O38">
        <v>1130</v>
      </c>
      <c r="P38">
        <v>56500</v>
      </c>
    </row>
    <row r="39" spans="1:16" x14ac:dyDescent="0.3">
      <c r="A39" t="s">
        <v>126</v>
      </c>
      <c r="D39">
        <v>1130</v>
      </c>
      <c r="E39">
        <f>Table2325[[#This Row],[boxes]]*Table2325[[#This Row],[kgs]]*Table2325[[#This Row],[Rate]]</f>
        <v>0</v>
      </c>
      <c r="L39" t="s">
        <v>147</v>
      </c>
      <c r="M39">
        <v>1</v>
      </c>
      <c r="N39">
        <v>25</v>
      </c>
      <c r="O39">
        <v>1300</v>
      </c>
      <c r="P39">
        <v>32500</v>
      </c>
    </row>
    <row r="40" spans="1:16" x14ac:dyDescent="0.3">
      <c r="A40" t="s">
        <v>147</v>
      </c>
      <c r="B40">
        <v>1</v>
      </c>
      <c r="C40">
        <v>12</v>
      </c>
      <c r="D40">
        <v>1300</v>
      </c>
      <c r="E40">
        <f>Table2325[[#This Row],[boxes]]*Table2325[[#This Row],[kgs]]*Table2325[[#This Row],[Rate]]</f>
        <v>15600</v>
      </c>
      <c r="L40" t="s">
        <v>133</v>
      </c>
      <c r="M40">
        <v>1</v>
      </c>
      <c r="N40">
        <v>25</v>
      </c>
      <c r="O40">
        <v>1450</v>
      </c>
      <c r="P40">
        <v>36250</v>
      </c>
    </row>
    <row r="41" spans="1:16" x14ac:dyDescent="0.3">
      <c r="A41" t="s">
        <v>134</v>
      </c>
      <c r="B41">
        <v>1</v>
      </c>
      <c r="C41">
        <v>8</v>
      </c>
      <c r="D41">
        <v>1650</v>
      </c>
      <c r="E41">
        <f>Table2325[[#This Row],[boxes]]*Table2325[[#This Row],[kgs]]*Table2325[[#This Row],[Rate]]</f>
        <v>13200</v>
      </c>
      <c r="L41" t="s">
        <v>160</v>
      </c>
      <c r="N41">
        <v>6</v>
      </c>
      <c r="O41">
        <v>940</v>
      </c>
      <c r="P41">
        <v>5640</v>
      </c>
    </row>
    <row r="42" spans="1:16" x14ac:dyDescent="0.3">
      <c r="A42" t="s">
        <v>130</v>
      </c>
      <c r="D42">
        <v>1340</v>
      </c>
      <c r="E42">
        <f>Table2325[[#This Row],[boxes]]*Table2325[[#This Row],[kgs]]*Table2325[[#This Row],[Rate]]</f>
        <v>0</v>
      </c>
      <c r="L42" t="s">
        <v>126</v>
      </c>
      <c r="N42">
        <v>8</v>
      </c>
      <c r="O42">
        <v>1130</v>
      </c>
      <c r="P42">
        <v>9040</v>
      </c>
    </row>
    <row r="43" spans="1:16" x14ac:dyDescent="0.3">
      <c r="A43" t="s">
        <v>133</v>
      </c>
      <c r="B43">
        <v>1</v>
      </c>
      <c r="C43">
        <v>12</v>
      </c>
      <c r="D43">
        <v>1450</v>
      </c>
      <c r="E43">
        <f>Table2325[[#This Row],[boxes]]*Table2325[[#This Row],[kgs]]*Table2325[[#This Row],[Rate]]</f>
        <v>17400</v>
      </c>
      <c r="L43" t="s">
        <v>147</v>
      </c>
      <c r="N43">
        <v>10</v>
      </c>
      <c r="O43">
        <v>1300</v>
      </c>
      <c r="P43">
        <v>13000</v>
      </c>
    </row>
    <row r="44" spans="1:16" x14ac:dyDescent="0.3">
      <c r="A44" t="s">
        <v>132</v>
      </c>
      <c r="B44">
        <v>1</v>
      </c>
      <c r="C44">
        <v>4</v>
      </c>
      <c r="D44">
        <v>1400</v>
      </c>
      <c r="E44">
        <f>Table2325[[#This Row],[boxes]]*Table2325[[#This Row],[kgs]]*Table2325[[#This Row],[Rate]]</f>
        <v>5600</v>
      </c>
      <c r="L44" t="s">
        <v>134</v>
      </c>
      <c r="N44">
        <v>9</v>
      </c>
      <c r="O44">
        <v>1650</v>
      </c>
      <c r="P44">
        <v>14850</v>
      </c>
    </row>
    <row r="45" spans="1:16" x14ac:dyDescent="0.3">
      <c r="A45" t="s">
        <v>161</v>
      </c>
      <c r="D45">
        <v>1000</v>
      </c>
      <c r="E45">
        <f>Table2325[[#This Row],[boxes]]*Table2325[[#This Row],[kgs]]*Table2325[[#This Row],[Rate]]</f>
        <v>0</v>
      </c>
      <c r="L45" t="s">
        <v>130</v>
      </c>
      <c r="N45">
        <v>5</v>
      </c>
      <c r="O45">
        <v>1340</v>
      </c>
      <c r="P45">
        <v>6700</v>
      </c>
    </row>
    <row r="46" spans="1:16" x14ac:dyDescent="0.3">
      <c r="A46" t="s">
        <v>131</v>
      </c>
      <c r="B46">
        <v>1</v>
      </c>
      <c r="C46">
        <v>12</v>
      </c>
      <c r="D46">
        <v>1650</v>
      </c>
      <c r="E46">
        <f>Table2325[[#This Row],[boxes]]*Table2325[[#This Row],[kgs]]*Table2325[[#This Row],[Rate]]</f>
        <v>19800</v>
      </c>
      <c r="L46" t="s">
        <v>133</v>
      </c>
      <c r="N46">
        <v>20</v>
      </c>
      <c r="O46">
        <v>1450</v>
      </c>
      <c r="P46">
        <v>29000</v>
      </c>
    </row>
    <row r="47" spans="1:16" x14ac:dyDescent="0.3">
      <c r="A47" t="s">
        <v>115</v>
      </c>
      <c r="D47">
        <v>1130</v>
      </c>
      <c r="E47">
        <f>Table2325[[#This Row],[boxes]]*Table2325[[#This Row],[kgs]]*Table2325[[#This Row],[Rate]]</f>
        <v>0</v>
      </c>
      <c r="L47" t="s">
        <v>132</v>
      </c>
      <c r="N47">
        <v>8</v>
      </c>
      <c r="O47">
        <v>1400</v>
      </c>
      <c r="P47">
        <v>11200</v>
      </c>
    </row>
    <row r="48" spans="1:16" x14ac:dyDescent="0.3">
      <c r="A48" t="s">
        <v>154</v>
      </c>
      <c r="B48">
        <v>1</v>
      </c>
      <c r="C48">
        <v>5</v>
      </c>
      <c r="D48">
        <v>3100</v>
      </c>
      <c r="E48">
        <f>Table2325[[#This Row],[boxes]]*Table2325[[#This Row],[kgs]]*Table2325[[#This Row],[Rate]]</f>
        <v>15500</v>
      </c>
      <c r="L48" t="s">
        <v>161</v>
      </c>
      <c r="N48">
        <v>2</v>
      </c>
      <c r="O48">
        <v>1000</v>
      </c>
      <c r="P48">
        <v>2000</v>
      </c>
    </row>
    <row r="49" spans="1:16" x14ac:dyDescent="0.3">
      <c r="A49" t="s">
        <v>127</v>
      </c>
      <c r="B49">
        <v>1</v>
      </c>
      <c r="C49">
        <v>8</v>
      </c>
      <c r="D49">
        <v>1140</v>
      </c>
      <c r="E49">
        <f>Table2325[[#This Row],[boxes]]*Table2325[[#This Row],[kgs]]*Table2325[[#This Row],[Rate]]</f>
        <v>9120</v>
      </c>
      <c r="L49" t="s">
        <v>131</v>
      </c>
      <c r="N49">
        <v>20</v>
      </c>
      <c r="O49">
        <v>1650</v>
      </c>
      <c r="P49">
        <v>33000</v>
      </c>
    </row>
    <row r="50" spans="1:16" x14ac:dyDescent="0.3">
      <c r="A50" t="s">
        <v>148</v>
      </c>
      <c r="B50">
        <v>1</v>
      </c>
      <c r="C50">
        <v>6</v>
      </c>
      <c r="D50">
        <v>1140</v>
      </c>
      <c r="E50">
        <f>Table2325[[#This Row],[boxes]]*Table2325[[#This Row],[kgs]]*Table2325[[#This Row],[Rate]]</f>
        <v>6840</v>
      </c>
      <c r="L50" t="s">
        <v>115</v>
      </c>
      <c r="N50">
        <v>15</v>
      </c>
      <c r="O50">
        <v>1130</v>
      </c>
      <c r="P50">
        <v>16950</v>
      </c>
    </row>
    <row r="51" spans="1:16" x14ac:dyDescent="0.3">
      <c r="A51" t="s">
        <v>162</v>
      </c>
      <c r="D51">
        <v>1000</v>
      </c>
      <c r="E51">
        <f>Table2325[[#This Row],[boxes]]*Table2325[[#This Row],[kgs]]*Table2325[[#This Row],[Rate]]</f>
        <v>0</v>
      </c>
      <c r="L51" t="s">
        <v>154</v>
      </c>
      <c r="N51">
        <v>25</v>
      </c>
      <c r="O51">
        <v>3100</v>
      </c>
      <c r="P51">
        <v>77500</v>
      </c>
    </row>
    <row r="52" spans="1:16" x14ac:dyDescent="0.3">
      <c r="A52" t="s">
        <v>163</v>
      </c>
      <c r="B52">
        <v>1</v>
      </c>
      <c r="C52">
        <v>10</v>
      </c>
      <c r="D52">
        <v>1600</v>
      </c>
      <c r="E52">
        <f>Table2325[[#This Row],[boxes]]*Table2325[[#This Row],[kgs]]*Table2325[[#This Row],[Rate]]</f>
        <v>16000</v>
      </c>
      <c r="L52" t="s">
        <v>127</v>
      </c>
      <c r="N52">
        <v>10</v>
      </c>
      <c r="O52">
        <v>1140</v>
      </c>
      <c r="P52">
        <v>11400</v>
      </c>
    </row>
    <row r="53" spans="1:16" x14ac:dyDescent="0.3">
      <c r="A53" t="s">
        <v>115</v>
      </c>
      <c r="B53">
        <v>1</v>
      </c>
      <c r="C53">
        <v>3</v>
      </c>
      <c r="D53">
        <v>1120</v>
      </c>
      <c r="E53">
        <f>Table2325[[#This Row],[boxes]]*Table2325[[#This Row],[kgs]]*Table2325[[#This Row],[Rate]]</f>
        <v>3360</v>
      </c>
      <c r="L53" t="s">
        <v>148</v>
      </c>
      <c r="N53">
        <v>5</v>
      </c>
      <c r="O53">
        <v>1140</v>
      </c>
      <c r="P53">
        <v>5700</v>
      </c>
    </row>
    <row r="54" spans="1:16" x14ac:dyDescent="0.3">
      <c r="A54" t="s">
        <v>202</v>
      </c>
      <c r="B54">
        <v>1</v>
      </c>
      <c r="C54">
        <v>4</v>
      </c>
      <c r="D54">
        <v>920</v>
      </c>
      <c r="E54">
        <f>Table2325[[#This Row],[boxes]]*Table2325[[#This Row],[kgs]]*Table2325[[#This Row],[Rate]]</f>
        <v>3680</v>
      </c>
      <c r="L54" t="s">
        <v>162</v>
      </c>
      <c r="N54">
        <v>9</v>
      </c>
      <c r="O54">
        <v>1000</v>
      </c>
      <c r="P54">
        <v>9000</v>
      </c>
    </row>
    <row r="55" spans="1:16" x14ac:dyDescent="0.3">
      <c r="L55" t="s">
        <v>163</v>
      </c>
      <c r="N55">
        <v>10</v>
      </c>
      <c r="O55">
        <v>1000</v>
      </c>
      <c r="P55">
        <v>10000</v>
      </c>
    </row>
    <row r="56" spans="1:16" x14ac:dyDescent="0.3">
      <c r="P56">
        <v>534230</v>
      </c>
    </row>
    <row r="57" spans="1:16" x14ac:dyDescent="0.3">
      <c r="E57">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workbookViewId="0">
      <selection activeCell="D25" sqref="D2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s="135">
        <v>0</v>
      </c>
      <c r="L5" s="135">
        <v>0</v>
      </c>
      <c r="M5" s="135">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s="135">
        <v>269000</v>
      </c>
      <c r="L6" s="135">
        <v>0</v>
      </c>
      <c r="M6" s="135">
        <v>268000</v>
      </c>
    </row>
    <row r="7" spans="1:13" x14ac:dyDescent="0.3">
      <c r="A7" s="85">
        <v>45979</v>
      </c>
      <c r="B7" s="85" t="s">
        <v>166</v>
      </c>
      <c r="C7" s="82" t="s">
        <v>180</v>
      </c>
      <c r="F7">
        <v>0</v>
      </c>
      <c r="G7">
        <v>0</v>
      </c>
      <c r="H7" s="81">
        <v>0</v>
      </c>
      <c r="J7" s="4" t="s">
        <v>118</v>
      </c>
      <c r="K7" s="135">
        <v>24000</v>
      </c>
      <c r="L7" s="135">
        <v>24000</v>
      </c>
      <c r="M7" s="135">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s="135">
        <v>0</v>
      </c>
      <c r="L8" s="135">
        <v>0</v>
      </c>
      <c r="M8" s="135">
        <v>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s="135">
        <v>0</v>
      </c>
      <c r="L9" s="135">
        <v>400000</v>
      </c>
      <c r="M9" s="135">
        <v>224000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328</v>
      </c>
      <c r="K10" s="135">
        <v>52000</v>
      </c>
      <c r="L10" s="135">
        <v>52000</v>
      </c>
      <c r="M10" s="135">
        <v>0</v>
      </c>
    </row>
    <row r="11" spans="1:13" x14ac:dyDescent="0.3">
      <c r="A11" s="1">
        <v>45983</v>
      </c>
      <c r="B11" s="1" t="s">
        <v>117</v>
      </c>
      <c r="C11" t="s">
        <v>230</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s="135">
        <v>345000</v>
      </c>
      <c r="L11" s="135">
        <v>476000</v>
      </c>
      <c r="M11" s="135">
        <v>492000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328</v>
      </c>
      <c r="C13" t="s">
        <v>326</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230</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x14ac:dyDescent="0.3">
      <c r="A15" s="1"/>
      <c r="B15" s="1"/>
      <c r="F15">
        <f>Table2[[#This Row],[Quantity]]*200*Table2[[#This Row],[Boxes]]</f>
        <v>0</v>
      </c>
      <c r="G15">
        <f>SUMIFS(Table14[Debit], Table14[Date], Table2[[#This Row],[Date]], Table14[Party], Table2[[#This Row],[Party Name]],Table14[Description],Table2[[#This Row],[Item]])</f>
        <v>0</v>
      </c>
      <c r="H15">
        <f>Table2[[#This Row],[Price]]-Table2[[#This Row],[Paid]]</f>
        <v>0</v>
      </c>
    </row>
    <row r="16" spans="1:13"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0"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0"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0"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0" x14ac:dyDescent="0.3">
      <c r="A20" s="1"/>
      <c r="F20">
        <f>SUBTOTAL(109,Table2[Price])</f>
        <v>345000</v>
      </c>
      <c r="G20">
        <f>SUBTOTAL(109,Table2[Paid])</f>
        <v>476000</v>
      </c>
      <c r="H20">
        <f>SUBTOTAL(109,Table2[Balance])</f>
        <v>492000</v>
      </c>
    </row>
    <row r="24" spans="1:10" x14ac:dyDescent="0.3">
      <c r="I24" t="s">
        <v>57</v>
      </c>
      <c r="J24" t="s">
        <v>181</v>
      </c>
    </row>
    <row r="25" spans="1:10" x14ac:dyDescent="0.3">
      <c r="I25" t="s">
        <v>61</v>
      </c>
      <c r="J25">
        <f>7800*60</f>
        <v>468000</v>
      </c>
    </row>
    <row r="26" spans="1:10" x14ac:dyDescent="0.3">
      <c r="I26" t="s">
        <v>61</v>
      </c>
    </row>
    <row r="27" spans="1:10" x14ac:dyDescent="0.3">
      <c r="I27" t="s">
        <v>165</v>
      </c>
      <c r="J27">
        <f>13000*3</f>
        <v>39000</v>
      </c>
    </row>
    <row r="30" spans="1:10" x14ac:dyDescent="0.3">
      <c r="I30" t="s">
        <v>159</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13" zoomScale="118" workbookViewId="0">
      <selection activeCell="H32" sqref="H32"/>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290</v>
      </c>
    </row>
    <row r="15" spans="2:15" x14ac:dyDescent="0.3">
      <c r="B15" s="1">
        <v>45990</v>
      </c>
      <c r="C15" s="20">
        <f>SUMIFS(Table14[Debit], Table14[Date], Table11[[#This Row],[Date]], Table14[Party],"Salary", Table14[Description],Table11[[#This Row],[Column1]])</f>
        <v>1000</v>
      </c>
      <c r="D15" t="s">
        <v>316</v>
      </c>
      <c r="H15" s="1">
        <v>45990</v>
      </c>
      <c r="I15">
        <f>SUMIFS(Table14[Debit], Table14[Date], Table16[[#This Row],[Date]], Table14[Party], "Advance Salary", Table14[Description], Table16[[#This Row],[Person]] )</f>
        <v>20000</v>
      </c>
      <c r="J15" t="s">
        <v>290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337</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338</v>
      </c>
      <c r="H19" s="1">
        <v>45994</v>
      </c>
      <c r="I19">
        <f>SUMIFS(Table14[Debit], Table14[Date], Table16[[#This Row],[Date]], Table14[Party], "Advance Salary", Table14[Description], Table16[[#This Row],[Person]] )</f>
        <v>45000</v>
      </c>
      <c r="J19" t="s">
        <v>338</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339</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377</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189</v>
      </c>
    </row>
    <row r="24" spans="2:10" x14ac:dyDescent="0.3">
      <c r="B24" s="1">
        <v>45999</v>
      </c>
      <c r="C24" s="20">
        <f>SUMIFS(Table14[Debit], Table14[Date], Table11[[#This Row],[Date]], Table14[Party],"Salary", Table14[Description],Table11[[#This Row],[Column1]])</f>
        <v>50000</v>
      </c>
      <c r="D24" t="s">
        <v>386</v>
      </c>
      <c r="H24" s="1">
        <v>45998</v>
      </c>
      <c r="I24">
        <f>SUMIFS(Table14[Debit], Table14[Date], Table16[[#This Row],[Date]], Table14[Party], "Advance Salary", Table14[Description], Table16[[#This Row],[Person]] )</f>
        <v>20000</v>
      </c>
      <c r="J24" t="s">
        <v>290</v>
      </c>
    </row>
    <row r="25" spans="2:10" x14ac:dyDescent="0.3">
      <c r="B25" s="1">
        <v>45999</v>
      </c>
      <c r="C25" s="20">
        <f>SUMIFS(Table14[Debit], Table14[Date], Table11[[#This Row],[Date]], Table14[Party],"Salary", Table14[Description],Table11[[#This Row],[Column1]])</f>
        <v>17600</v>
      </c>
      <c r="D25" t="s">
        <v>379</v>
      </c>
      <c r="H25" s="1">
        <v>45999</v>
      </c>
      <c r="I25">
        <f>SUMIFS(Table14[Debit], Table14[Date], Table16[[#This Row],[Date]], Table14[Party], "Advance Salary", Table14[Description], Table16[[#This Row],[Person]] )</f>
        <v>120000</v>
      </c>
      <c r="J25" t="s">
        <v>380</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386</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398</v>
      </c>
    </row>
    <row r="28" spans="2:10" x14ac:dyDescent="0.3">
      <c r="B28" s="1">
        <v>46003</v>
      </c>
      <c r="C28" s="20">
        <f>SUMIFS(Table14[Debit], Table14[Date], Table11[[#This Row],[Date]], Table14[Party],"Salary", Table14[Description],Table11[[#This Row],[Column1]])</f>
        <v>0</v>
      </c>
      <c r="H28" s="1">
        <v>46000</v>
      </c>
      <c r="I28">
        <f>SUMIFS(Table14[Debit], Table14[Date], Table16[[#This Row],[Date]], Table14[Party], "Advance Salary", Table14[Description], Table16[[#This Row],[Person]] )</f>
        <v>6000</v>
      </c>
      <c r="J28" t="s">
        <v>400</v>
      </c>
    </row>
    <row r="29" spans="2:10" x14ac:dyDescent="0.3">
      <c r="B29" s="1">
        <v>46004</v>
      </c>
      <c r="C29" s="20">
        <f>SUMIFS(Table14[Debit], Table14[Date], Table11[[#This Row],[Date]], Table14[Party],"Salary", Table14[Description],Table11[[#This Row],[Column1]])</f>
        <v>0</v>
      </c>
      <c r="H29" s="1">
        <v>46001</v>
      </c>
      <c r="I29">
        <f>SUMIFS(Table14[Debit], Table14[Date], Table16[[#This Row],[Date]], Table14[Party], "Advance Salary", Table14[Description], Table16[[#This Row],[Person]] )</f>
        <v>5000</v>
      </c>
      <c r="J29" t="s">
        <v>405</v>
      </c>
    </row>
    <row r="30" spans="2:10" x14ac:dyDescent="0.3">
      <c r="B30" s="1">
        <v>46005</v>
      </c>
      <c r="C30" s="20">
        <f>SUMIFS(Table14[Debit], Table14[Date], Table11[[#This Row],[Date]], Table14[Party],"Salary", Table14[Description],Table11[[#This Row],[Column1]])</f>
        <v>0</v>
      </c>
      <c r="H30" s="1">
        <v>46002</v>
      </c>
      <c r="I30">
        <f>SUMIFS(Table14[Debit], Table14[Date], Table16[[#This Row],[Date]], Table14[Party], "Advance Salary", Table14[Description], Table16[[#This Row],[Person]] )</f>
        <v>5000</v>
      </c>
      <c r="J30" t="s">
        <v>360</v>
      </c>
    </row>
    <row r="31" spans="2:10" x14ac:dyDescent="0.3">
      <c r="B31" s="1">
        <v>46006</v>
      </c>
      <c r="C31" s="20">
        <f>SUMIFS(Table14[Debit], Table14[Date], Table11[[#This Row],[Date]], Table14[Party],"Salary", Table14[Description],Table11[[#This Row],[Column1]])</f>
        <v>0</v>
      </c>
      <c r="H31" s="1">
        <v>46002</v>
      </c>
      <c r="I31">
        <f>SUMIFS(Table14[Debit], Table14[Date], Table16[[#This Row],[Date]], Table14[Party], "Advance Salary", Table14[Description], Table16[[#This Row],[Person]] )</f>
        <v>5000</v>
      </c>
      <c r="J31" t="s">
        <v>352</v>
      </c>
    </row>
    <row r="32" spans="2:10"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461000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119600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1876274</v>
      </c>
      <c r="C2" s="32">
        <f>GETPIVOTDATA("Sum of Tiyaar/gaz",$A$3)</f>
        <v>1775265</v>
      </c>
      <c r="D2" s="31">
        <f>((B2*48)+((C2/1.0936)*10))/C2</f>
        <v>59.875214436133177</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38741</v>
      </c>
      <c r="C32" s="14">
        <v>34652</v>
      </c>
      <c r="D32" s="28">
        <f t="shared" si="1"/>
        <v>62.808199845283703</v>
      </c>
      <c r="E32" s="11">
        <f t="shared" si="2"/>
        <v>42367.157599999999</v>
      </c>
      <c r="F32" s="11">
        <f t="shared" si="0"/>
        <v>34652</v>
      </c>
      <c r="G32" s="78">
        <f t="shared" si="6"/>
        <v>18.210231785764165</v>
      </c>
      <c r="H32" s="28">
        <f t="shared" si="3"/>
        <v>31686.174103877107</v>
      </c>
      <c r="I32" s="28">
        <f t="shared" si="5"/>
        <v>62.808199845283703</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5493</v>
      </c>
      <c r="D63" s="28">
        <f t="shared" si="25"/>
        <v>130.33690201707807</v>
      </c>
      <c r="E63" s="11">
        <f t="shared" si="26"/>
        <v>15167.138399999998</v>
      </c>
      <c r="F63" s="11">
        <f t="shared" si="27"/>
        <v>5493</v>
      </c>
      <c r="G63" s="78">
        <f t="shared" si="28"/>
        <v>63.783544033593046</v>
      </c>
      <c r="H63" s="28">
        <f t="shared" si="29"/>
        <v>5022.8602779809808</v>
      </c>
      <c r="I63" s="28">
        <f t="shared" si="30"/>
        <v>130.33690201707807</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415</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7398</v>
      </c>
      <c r="D77" s="28">
        <f t="shared" si="31"/>
        <v>243.43445993529559</v>
      </c>
      <c r="E77" s="11">
        <f t="shared" si="32"/>
        <v>39489.895999999993</v>
      </c>
      <c r="F77" s="11">
        <f t="shared" si="33"/>
        <v>7398</v>
      </c>
      <c r="G77" s="78">
        <f t="shared" si="34"/>
        <v>81.266093990219673</v>
      </c>
      <c r="H77" s="28">
        <f t="shared" si="35"/>
        <v>6764.813460131676</v>
      </c>
      <c r="I77" s="28">
        <f t="shared" si="36"/>
        <v>243.43445993529559</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11875</v>
      </c>
      <c r="D80" s="28">
        <f t="shared" si="31"/>
        <v>213.04002698186576</v>
      </c>
      <c r="E80" s="11">
        <f t="shared" si="32"/>
        <v>55164.464799999994</v>
      </c>
      <c r="F80" s="11">
        <f t="shared" si="33"/>
        <v>11875</v>
      </c>
      <c r="G80" s="78">
        <f t="shared" si="34"/>
        <v>78.473461053137953</v>
      </c>
      <c r="H80" s="28">
        <f t="shared" si="35"/>
        <v>10858.632040965618</v>
      </c>
      <c r="I80" s="28">
        <f t="shared" si="36"/>
        <v>213.04002698186576</v>
      </c>
    </row>
    <row r="81" spans="1:9" x14ac:dyDescent="0.3">
      <c r="A81" s="16">
        <v>1902</v>
      </c>
      <c r="B81" s="14">
        <v>49995</v>
      </c>
      <c r="C81" s="14">
        <v>21629</v>
      </c>
      <c r="D81" s="28">
        <f t="shared" si="31"/>
        <v>120.09514915068883</v>
      </c>
      <c r="E81" s="11">
        <f t="shared" si="32"/>
        <v>54674.531999999992</v>
      </c>
      <c r="F81" s="11">
        <f t="shared" si="33"/>
        <v>21629</v>
      </c>
      <c r="G81" s="78">
        <f t="shared" si="34"/>
        <v>60.440447848735126</v>
      </c>
      <c r="H81" s="28">
        <f t="shared" si="35"/>
        <v>19777.798098024872</v>
      </c>
      <c r="I81" s="28">
        <f t="shared" si="36"/>
        <v>120.09514915068883</v>
      </c>
    </row>
    <row r="82" spans="1:9" x14ac:dyDescent="0.3">
      <c r="A82" s="16" t="s">
        <v>28</v>
      </c>
      <c r="B82" s="30">
        <v>79388</v>
      </c>
      <c r="C82" s="30">
        <v>1775265</v>
      </c>
      <c r="D82" s="28">
        <f t="shared" si="31"/>
        <v>11.290621150060391</v>
      </c>
      <c r="E82" s="11">
        <f t="shared" si="32"/>
        <v>86818.716799999995</v>
      </c>
      <c r="F82" s="11">
        <f t="shared" si="33"/>
        <v>1775265</v>
      </c>
      <c r="G82" s="78">
        <f t="shared" si="34"/>
        <v>-1944.7952531820881</v>
      </c>
      <c r="H82" s="28">
        <f t="shared" si="35"/>
        <v>1623322.0555961961</v>
      </c>
      <c r="I82" s="28">
        <f t="shared" si="36"/>
        <v>11.290621150060391</v>
      </c>
    </row>
    <row r="83" spans="1:9" x14ac:dyDescent="0.3">
      <c r="D83" s="28" t="e">
        <f t="shared" si="31"/>
        <v>#DIV/0!</v>
      </c>
      <c r="E83" s="11">
        <f t="shared" si="32"/>
        <v>0</v>
      </c>
      <c r="F83" s="11">
        <f t="shared" si="33"/>
        <v>0</v>
      </c>
      <c r="G83" s="78" t="e">
        <f t="shared" si="34"/>
        <v>#DIV/0!</v>
      </c>
      <c r="H83" s="28">
        <f t="shared" si="35"/>
        <v>0</v>
      </c>
      <c r="I83" s="28" t="e">
        <f t="shared" si="36"/>
        <v>#DIV/0!</v>
      </c>
    </row>
    <row r="84" spans="1:9" x14ac:dyDescent="0.3">
      <c r="D84" s="28" t="e">
        <f t="shared" si="31"/>
        <v>#DIV/0!</v>
      </c>
      <c r="E84" s="11">
        <f t="shared" si="32"/>
        <v>0</v>
      </c>
      <c r="F84" s="11">
        <f t="shared" si="33"/>
        <v>0</v>
      </c>
      <c r="G84" s="78" t="e">
        <f t="shared" si="34"/>
        <v>#DIV/0!</v>
      </c>
      <c r="H84" s="28">
        <f t="shared" si="35"/>
        <v>0</v>
      </c>
      <c r="I84" s="28" t="e">
        <f t="shared" si="36"/>
        <v>#DIV/0!</v>
      </c>
    </row>
    <row r="85" spans="1: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1:9" x14ac:dyDescent="0.3">
      <c r="D86" s="28" t="e">
        <f t="shared" si="37"/>
        <v>#DIV/0!</v>
      </c>
      <c r="E86" s="11">
        <f t="shared" si="38"/>
        <v>0</v>
      </c>
      <c r="F86" s="11">
        <f t="shared" si="39"/>
        <v>0</v>
      </c>
      <c r="G86" s="78" t="e">
        <f t="shared" si="40"/>
        <v>#DIV/0!</v>
      </c>
      <c r="H86" s="28">
        <f t="shared" si="41"/>
        <v>0</v>
      </c>
      <c r="I86" s="28" t="e">
        <f t="shared" si="42"/>
        <v>#DIV/0!</v>
      </c>
    </row>
    <row r="87" spans="1:9" x14ac:dyDescent="0.3">
      <c r="D87" s="28" t="e">
        <f t="shared" si="37"/>
        <v>#DIV/0!</v>
      </c>
      <c r="E87" s="11">
        <f t="shared" si="38"/>
        <v>0</v>
      </c>
      <c r="F87" s="11">
        <f t="shared" si="39"/>
        <v>0</v>
      </c>
      <c r="G87" s="78" t="e">
        <f t="shared" si="40"/>
        <v>#DIV/0!</v>
      </c>
      <c r="H87" s="28">
        <f t="shared" si="41"/>
        <v>0</v>
      </c>
      <c r="I87" s="28" t="e">
        <f t="shared" si="42"/>
        <v>#DIV/0!</v>
      </c>
    </row>
    <row r="88" spans="1:9" x14ac:dyDescent="0.3">
      <c r="D88" s="28" t="e">
        <f t="shared" si="37"/>
        <v>#DIV/0!</v>
      </c>
      <c r="E88" s="11">
        <f t="shared" si="38"/>
        <v>0</v>
      </c>
      <c r="F88" s="11">
        <f t="shared" si="39"/>
        <v>0</v>
      </c>
      <c r="G88" s="78" t="e">
        <f t="shared" si="40"/>
        <v>#DIV/0!</v>
      </c>
      <c r="H88" s="28">
        <f t="shared" si="41"/>
        <v>0</v>
      </c>
      <c r="I88" s="28" t="e">
        <f t="shared" si="42"/>
        <v>#DIV/0!</v>
      </c>
    </row>
    <row r="89" spans="1:9" x14ac:dyDescent="0.3">
      <c r="D89" s="28" t="e">
        <f t="shared" si="37"/>
        <v>#DIV/0!</v>
      </c>
      <c r="E89" s="11">
        <f t="shared" si="38"/>
        <v>0</v>
      </c>
      <c r="F89" s="11">
        <f t="shared" si="39"/>
        <v>0</v>
      </c>
      <c r="G89" s="78" t="e">
        <f t="shared" si="40"/>
        <v>#DIV/0!</v>
      </c>
      <c r="H89" s="28">
        <f t="shared" si="41"/>
        <v>0</v>
      </c>
      <c r="I89" s="28" t="e">
        <f t="shared" si="42"/>
        <v>#DIV/0!</v>
      </c>
    </row>
    <row r="90" spans="1:9" x14ac:dyDescent="0.3">
      <c r="D90" s="28" t="e">
        <f t="shared" si="37"/>
        <v>#DIV/0!</v>
      </c>
      <c r="E90" s="11">
        <f t="shared" si="38"/>
        <v>0</v>
      </c>
      <c r="F90" s="11">
        <f t="shared" si="39"/>
        <v>0</v>
      </c>
      <c r="G90" s="78" t="e">
        <f t="shared" si="40"/>
        <v>#DIV/0!</v>
      </c>
      <c r="H90" s="28">
        <f t="shared" si="41"/>
        <v>0</v>
      </c>
      <c r="I90" s="28" t="e">
        <f t="shared" si="42"/>
        <v>#DIV/0!</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22944</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0</v>
      </c>
    </row>
    <row r="31" spans="2:10" x14ac:dyDescent="0.3">
      <c r="B31" s="1">
        <v>46006</v>
      </c>
      <c r="C31" t="s">
        <v>114</v>
      </c>
      <c r="D31">
        <f>SUMIFS(Table14[Debit], Table14[Date], Table5[[#This Row],[Date]], Table14[Party], "Rashan")</f>
        <v>0</v>
      </c>
      <c r="H31" s="1">
        <v>46006</v>
      </c>
      <c r="J31">
        <f>SUMIFS(Table14[Debit], Table14[Date], Table15[[#This Row],[Date]], Table14[Party], "Parts")</f>
        <v>0</v>
      </c>
    </row>
    <row r="32" spans="2:10" x14ac:dyDescent="0.3">
      <c r="B32" s="1">
        <v>46007</v>
      </c>
      <c r="C32" t="s">
        <v>114</v>
      </c>
      <c r="D32">
        <f>SUMIFS(Table14[Debit], Table14[Date], Table5[[#This Row],[Date]], Table14[Party], "Rashan")</f>
        <v>0</v>
      </c>
      <c r="H32" s="1">
        <v>46007</v>
      </c>
      <c r="J32">
        <f>SUMIFS(Table14[Debit], Table14[Date], Table15[[#This Row],[Date]], Table14[Party], "Parts")</f>
        <v>0</v>
      </c>
    </row>
    <row r="33" spans="2:10" x14ac:dyDescent="0.3">
      <c r="B33" s="1">
        <v>46008</v>
      </c>
      <c r="C33" t="s">
        <v>114</v>
      </c>
      <c r="D33">
        <f>SUMIFS(Table14[Debit], Table14[Date], Table5[[#This Row],[Date]], Table14[Party], "Rashan")</f>
        <v>0</v>
      </c>
      <c r="H33" s="1">
        <v>46008</v>
      </c>
      <c r="J33">
        <f>SUMIFS(Table14[Debit], Table14[Date], Table15[[#This Row],[Date]], Table14[Party], "Parts")</f>
        <v>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125170</v>
      </c>
      <c r="H37" s="1"/>
      <c r="J37">
        <f>SUM(Table15[Amount])</f>
        <v>326064</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Billing!AB5</f>
        <v>19750734</v>
      </c>
      <c r="C2" s="105">
        <f>Billing!AC5</f>
        <v>3291240.2136064433</v>
      </c>
    </row>
    <row r="3" spans="1:3" ht="21" x14ac:dyDescent="0.4">
      <c r="A3" s="104" t="str">
        <f>Billing!Q6</f>
        <v>Ejaz Sahab</v>
      </c>
      <c r="B3" s="107">
        <f>Billing!AB6</f>
        <v>3663904</v>
      </c>
      <c r="C3" s="105">
        <f>Billing!AC6</f>
        <v>508925.1880029263</v>
      </c>
    </row>
    <row r="4" spans="1:3" ht="21" x14ac:dyDescent="0.4">
      <c r="A4" s="104" t="str">
        <f>Billing!Q7</f>
        <v>Arshad</v>
      </c>
      <c r="B4" s="107">
        <f>Billing!AB7</f>
        <v>5702935</v>
      </c>
      <c r="C4" s="106">
        <f>Billing!AC7</f>
        <v>525643.09070958383</v>
      </c>
    </row>
    <row r="5" spans="1:3" ht="21" x14ac:dyDescent="0.4">
      <c r="A5" s="104" t="str">
        <f>Billing!Q8</f>
        <v>Shehzad Kamoki</v>
      </c>
      <c r="B5" s="107">
        <f>Billing!AB8</f>
        <v>1268740</v>
      </c>
      <c r="C5" s="106">
        <f>Billing!AC8</f>
        <v>530.34403803967871</v>
      </c>
    </row>
    <row r="6" spans="1:3" ht="21" x14ac:dyDescent="0.4">
      <c r="A6" s="104" t="str">
        <f>Billing!Q9</f>
        <v>Sufi Nawaz Sahab</v>
      </c>
      <c r="B6" s="107">
        <f>Billing!AB9</f>
        <v>10629100</v>
      </c>
      <c r="C6" s="105">
        <f>Billing!AC9</f>
        <v>609704.47256766632</v>
      </c>
    </row>
    <row r="7" spans="1:3" ht="21" x14ac:dyDescent="0.4">
      <c r="A7" s="104" t="str">
        <f>Billing!Q10</f>
        <v>Sajad Khan</v>
      </c>
      <c r="B7" s="107">
        <f>Billing!AB10</f>
        <v>6897871</v>
      </c>
      <c r="C7" s="105">
        <f>Billing!AC10</f>
        <v>109507.38332114089</v>
      </c>
    </row>
    <row r="8" spans="1:3" ht="21" x14ac:dyDescent="0.4">
      <c r="A8" s="104" t="str">
        <f>Billing!Q11</f>
        <v>Raaz Fabrics</v>
      </c>
      <c r="B8" s="107">
        <f>Billing!AB11</f>
        <v>1000000</v>
      </c>
      <c r="C8" s="106">
        <f>Billing!AC11</f>
        <v>393873.44550109748</v>
      </c>
    </row>
    <row r="9" spans="1:3" ht="21" x14ac:dyDescent="0.4">
      <c r="A9" s="104" t="str">
        <f>Billing!Q12</f>
        <v>Azam</v>
      </c>
      <c r="B9" s="107">
        <f>Billing!AB12</f>
        <v>3322620</v>
      </c>
      <c r="C9" s="105">
        <f>Billing!AC12</f>
        <v>19742.838332114741</v>
      </c>
    </row>
    <row r="10" spans="1:3" ht="21" x14ac:dyDescent="0.4">
      <c r="A10" s="104" t="str">
        <f>Billing!Q13</f>
        <v>Ubaidullah</v>
      </c>
      <c r="B10" s="107">
        <f>Billing!AB13</f>
        <v>640190</v>
      </c>
      <c r="C10" s="105">
        <f>Billing!AC13</f>
        <v>1084.6891002196353</v>
      </c>
    </row>
    <row r="11" spans="1:3" ht="21" x14ac:dyDescent="0.4">
      <c r="A11" s="104" t="str">
        <f>Billing!Q14</f>
        <v>Ashraf Zia</v>
      </c>
      <c r="B11" s="107">
        <f>Billing!AB14</f>
        <v>130000</v>
      </c>
      <c r="C11" s="105">
        <f>Billing!AC14</f>
        <v>125724.21360643749</v>
      </c>
    </row>
    <row r="12" spans="1:3" ht="21" x14ac:dyDescent="0.4">
      <c r="A12" s="104" t="str">
        <f>Billing!Q15</f>
        <v>Hafiz Qureshi</v>
      </c>
      <c r="B12" s="107">
        <f>Billing!AB15</f>
        <v>1705980</v>
      </c>
      <c r="C12" s="105">
        <f>Billing!AC15</f>
        <v>148582.91148500377</v>
      </c>
    </row>
    <row r="13" spans="1:3" ht="21" x14ac:dyDescent="0.4">
      <c r="A13" s="104" t="str">
        <f>Billing!Q16</f>
        <v>Badshah Fabrics</v>
      </c>
      <c r="B13" s="107">
        <f>Billing!AB16</f>
        <v>4925761</v>
      </c>
      <c r="C13" s="105">
        <f>Billing!AC16</f>
        <v>93961.933430870995</v>
      </c>
    </row>
    <row r="14" spans="1:3" ht="21" x14ac:dyDescent="0.4">
      <c r="A14" s="104" t="str">
        <f>Billing!Q17</f>
        <v>Reject</v>
      </c>
      <c r="B14" s="107">
        <f>Billing!AB17</f>
        <v>0</v>
      </c>
      <c r="C14" s="105">
        <f>Billing!AC17</f>
        <v>0</v>
      </c>
    </row>
    <row r="15" spans="1:3" ht="21" x14ac:dyDescent="0.4">
      <c r="A15" s="104" t="str">
        <f>Billing!Q18</f>
        <v>Amjad 7up</v>
      </c>
      <c r="B15" s="107">
        <f>Billing!AB18</f>
        <v>480000</v>
      </c>
      <c r="C15" s="106">
        <f>Billing!AC18</f>
        <v>3851.4996342355735</v>
      </c>
    </row>
    <row r="16" spans="1:3" ht="21" x14ac:dyDescent="0.4">
      <c r="A16" s="104" t="str">
        <f>Billing!Q19</f>
        <v>Hazrat Khan</v>
      </c>
      <c r="B16" s="107">
        <f>Billing!AB19</f>
        <v>95000</v>
      </c>
      <c r="C16" s="106">
        <f>Billing!AC19</f>
        <v>-5844.9158741770225</v>
      </c>
    </row>
    <row r="17" spans="1:3" ht="21" x14ac:dyDescent="0.4">
      <c r="A17" s="104" t="str">
        <f>Billing!Q20</f>
        <v>Haseeb Shamsi</v>
      </c>
      <c r="B17" s="107">
        <f>Billing!AB20</f>
        <v>594405</v>
      </c>
      <c r="C17" s="105">
        <f>Billing!AC20</f>
        <v>-0.28163862461224198</v>
      </c>
    </row>
    <row r="18" spans="1:3" ht="21" x14ac:dyDescent="0.4">
      <c r="A18" s="104" t="str">
        <f>Billing!Q21</f>
        <v>Faizan</v>
      </c>
      <c r="B18" s="107">
        <f>Billing!AB21</f>
        <v>4915571</v>
      </c>
      <c r="C18" s="106">
        <f>Billing!AC21</f>
        <v>308616.08851499762</v>
      </c>
    </row>
    <row r="19" spans="1:3" ht="21" x14ac:dyDescent="0.4">
      <c r="A19" s="104" t="str">
        <f>Billing!Q22</f>
        <v>Shafique Ansari</v>
      </c>
      <c r="B19" s="107">
        <f>Billing!AB22</f>
        <v>835660</v>
      </c>
      <c r="C19" s="106">
        <f>Billing!AC22</f>
        <v>356.82516459410544</v>
      </c>
    </row>
    <row r="20" spans="1:3" ht="21" x14ac:dyDescent="0.4">
      <c r="A20" s="104" t="str">
        <f>Billing!Q23</f>
        <v>Amjad sohail</v>
      </c>
      <c r="B20" s="107">
        <f>Billing!AB23</f>
        <v>2300000</v>
      </c>
      <c r="C20" s="105">
        <f>Billing!AC23</f>
        <v>409309.61960497499</v>
      </c>
    </row>
    <row r="21" spans="1:3" ht="21" x14ac:dyDescent="0.4">
      <c r="A21" s="104" t="str">
        <f>Billing!Q24</f>
        <v>Salman Zaffar</v>
      </c>
      <c r="B21" s="14">
        <f>Billing!AB24</f>
        <v>0</v>
      </c>
      <c r="C21" s="105">
        <f>Billing!AC24</f>
        <v>612146.12289685453</v>
      </c>
    </row>
    <row r="22" spans="1:3" ht="21" x14ac:dyDescent="0.4">
      <c r="A22" s="104" t="str">
        <f>Billing!Q25</f>
        <v>Shahid Qasayi</v>
      </c>
      <c r="B22" s="128">
        <f>Billing!AB25</f>
        <v>1103325</v>
      </c>
      <c r="C22" s="105">
        <f>Billing!AC25</f>
        <v>31632.937088514911</v>
      </c>
    </row>
    <row r="23" spans="1:3" ht="21" x14ac:dyDescent="0.4">
      <c r="A23" s="104" t="str">
        <f>Billing!Q26</f>
        <v>Hameed corporation</v>
      </c>
      <c r="B23" s="128">
        <f>Billing!AB26</f>
        <v>424323</v>
      </c>
      <c r="C23" s="105">
        <f>Billing!AC26</f>
        <v>0.33577176299877465</v>
      </c>
    </row>
    <row r="24" spans="1:3" ht="21" x14ac:dyDescent="0.4">
      <c r="A24" s="104" t="str">
        <f>Billing!Q27</f>
        <v>ibraheem behraam</v>
      </c>
      <c r="B24" s="128">
        <f>Billing!AB27</f>
        <v>337000</v>
      </c>
      <c r="C24" s="105">
        <f>Billing!AC27</f>
        <v>90326.26188734459</v>
      </c>
    </row>
    <row r="25" spans="1:3" ht="21" x14ac:dyDescent="0.4">
      <c r="A25" s="104" t="str">
        <f>Billing!Q28</f>
        <v>Zia-ullah karachi</v>
      </c>
      <c r="B25" s="128">
        <f>Billing!AB28</f>
        <v>124560</v>
      </c>
      <c r="C25" s="105">
        <f>Billing!AC28</f>
        <v>1.0826627651840681</v>
      </c>
    </row>
    <row r="26" spans="1:3" ht="21" x14ac:dyDescent="0.4">
      <c r="A26" s="104">
        <f>Billing!Q29</f>
        <v>0</v>
      </c>
      <c r="B26" s="128">
        <f>Billing!AB29</f>
        <v>0</v>
      </c>
      <c r="C26" s="105">
        <f>Billing!AC29</f>
        <v>0</v>
      </c>
    </row>
    <row r="27" spans="1:3" ht="21" x14ac:dyDescent="0.4">
      <c r="A27" s="104">
        <f>Billing!Q30</f>
        <v>0</v>
      </c>
      <c r="B27" s="128">
        <f>Billing!AB30</f>
        <v>0</v>
      </c>
      <c r="C27" s="105">
        <f>Billing!AC30</f>
        <v>0</v>
      </c>
    </row>
    <row r="28" spans="1:3" ht="21" x14ac:dyDescent="0.4">
      <c r="A28" s="104">
        <f>Billing!Q31</f>
        <v>0</v>
      </c>
      <c r="B28" s="128">
        <f>Billing!AB31</f>
        <v>0</v>
      </c>
      <c r="C28" s="105">
        <f>Billing!AC31</f>
        <v>0</v>
      </c>
    </row>
  </sheetData>
  <conditionalFormatting sqref="C2:C28">
    <cfRule type="cellIs" dxfId="51" priority="1" operator="lessThan">
      <formula>10</formula>
    </cfRule>
  </conditionalFormatting>
  <conditionalFormatting sqref="C2:C29">
    <cfRule type="cellIs" dxfId="5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2025-12-13T15:18:46Z</dcterms:modified>
  <cp:category/>
  <cp:contentStatus/>
</cp:coreProperties>
</file>