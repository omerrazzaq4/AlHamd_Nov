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101" documentId="8_{475843C5-500E-4738-B9D9-47939CD7324F}" xr6:coauthVersionLast="47" xr6:coauthVersionMax="47" xr10:uidLastSave="{A2D29126-5B50-4FA2-B155-17E7104A5A6D}"/>
  <bookViews>
    <workbookView xWindow="-108" yWindow="-108" windowWidth="23256" windowHeight="12456" tabRatio="597" firstSheet="4"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3" i="17" l="1"/>
  <c r="H15" i="6"/>
  <c r="I15" i="6" s="1"/>
  <c r="H16" i="6"/>
  <c r="I16" i="6" s="1"/>
  <c r="H17" i="6"/>
  <c r="I17" i="6" s="1"/>
  <c r="H18" i="6"/>
  <c r="I18" i="6" s="1"/>
  <c r="H13" i="6"/>
  <c r="I13" i="6" s="1"/>
  <c r="H14" i="6"/>
  <c r="I14" i="6" s="1"/>
  <c r="G13" i="6"/>
  <c r="G14" i="6"/>
  <c r="G15" i="6"/>
  <c r="G16" i="6"/>
  <c r="G17" i="6"/>
  <c r="G18" i="6"/>
  <c r="G19" i="6"/>
  <c r="I19" i="6"/>
  <c r="I112" i="1"/>
  <c r="J112" i="1" a="1"/>
  <c r="J112" i="1" s="1"/>
  <c r="I113" i="1"/>
  <c r="J113" i="1" a="1"/>
  <c r="J113" i="1"/>
  <c r="I114" i="1"/>
  <c r="J114" i="1" a="1"/>
  <c r="J114" i="1" s="1"/>
  <c r="I115" i="1"/>
  <c r="J115" i="1" a="1"/>
  <c r="J115" i="1" s="1"/>
  <c r="I116" i="1"/>
  <c r="J116" i="1" a="1"/>
  <c r="J116" i="1"/>
  <c r="I117" i="1"/>
  <c r="J117" i="1" a="1"/>
  <c r="J117" i="1" s="1"/>
  <c r="I118" i="1"/>
  <c r="J118" i="1" a="1"/>
  <c r="J118" i="1"/>
  <c r="I119" i="1"/>
  <c r="J119" i="1" a="1"/>
  <c r="J119" i="1" s="1"/>
  <c r="I121" i="1"/>
  <c r="J121" i="1" a="1"/>
  <c r="J121" i="1" s="1"/>
  <c r="H120" i="1"/>
  <c r="I99" i="1" l="1"/>
  <c r="J99" i="1" s="1" a="1"/>
  <c r="J99" i="1" s="1"/>
  <c r="I100" i="1"/>
  <c r="J100" i="1" s="1" a="1"/>
  <c r="J100" i="1" s="1"/>
  <c r="I101" i="1"/>
  <c r="J101" i="1" a="1"/>
  <c r="J101" i="1" s="1"/>
  <c r="I102" i="1"/>
  <c r="J102" i="1" s="1" a="1"/>
  <c r="J102" i="1" s="1"/>
  <c r="I103" i="1"/>
  <c r="J103" i="1" s="1" a="1"/>
  <c r="J103" i="1" s="1"/>
  <c r="I104" i="1"/>
  <c r="J104" i="1" s="1" a="1"/>
  <c r="J104" i="1" s="1"/>
  <c r="I105" i="1"/>
  <c r="J105" i="1" a="1"/>
  <c r="J105" i="1" s="1"/>
  <c r="I106" i="1"/>
  <c r="J106" i="1" s="1" a="1"/>
  <c r="J106" i="1" s="1"/>
  <c r="I107" i="1"/>
  <c r="J107" i="1" a="1"/>
  <c r="J107" i="1" s="1"/>
  <c r="I108" i="1"/>
  <c r="J108" i="1" s="1" a="1"/>
  <c r="J108" i="1" s="1"/>
  <c r="I109" i="1"/>
  <c r="J109" i="1" s="1" a="1"/>
  <c r="J109" i="1" s="1"/>
  <c r="I110" i="1"/>
  <c r="J110" i="1" a="1"/>
  <c r="J110" i="1" s="1"/>
  <c r="I111" i="1"/>
  <c r="J111" i="1" s="1" a="1"/>
  <c r="J111" i="1" s="1"/>
  <c r="F10" i="15"/>
  <c r="F9" i="15"/>
  <c r="H12" i="6"/>
  <c r="I12" i="6" s="1"/>
  <c r="I36" i="12"/>
  <c r="H11" i="6"/>
  <c r="I11" i="6" s="1"/>
  <c r="G11" i="6"/>
  <c r="G12" i="6"/>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D3" i="17"/>
  <c r="N6" i="17" s="1"/>
  <c r="D2" i="17"/>
  <c r="N5" i="17"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F11" i="15"/>
  <c r="G8" i="15"/>
  <c r="H8" i="15" s="1"/>
  <c r="G9" i="15"/>
  <c r="H9" i="15" s="1"/>
  <c r="G10" i="15"/>
  <c r="H10" i="15" s="1"/>
  <c r="J27" i="15"/>
  <c r="E36" i="7"/>
  <c r="E35" i="7"/>
  <c r="G5" i="7"/>
  <c r="H5" i="7" s="1"/>
  <c r="G4" i="7"/>
  <c r="H4" i="7" s="1"/>
  <c r="G7" i="6"/>
  <c r="X28" i="9" a="1"/>
  <c r="X28" i="9" s="1"/>
  <c r="Y28" i="9" a="1"/>
  <c r="Y28" i="9" s="1"/>
  <c r="X29" i="9" a="1"/>
  <c r="X29" i="9" s="1"/>
  <c r="Y29" i="9" a="1"/>
  <c r="Y29" i="9" s="1"/>
  <c r="V28" i="9" a="1"/>
  <c r="V28" i="9" s="1"/>
  <c r="W28" i="9" a="1"/>
  <c r="W28"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3" i="1"/>
  <c r="J83" i="1" s="1" a="1"/>
  <c r="J83"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B49" i="9" a="1"/>
  <c r="W27" i="9" s="1" a="1"/>
  <c r="W27" i="9" s="1"/>
  <c r="C7" i="8"/>
  <c r="R28" i="9" a="1"/>
  <c r="R28" i="9" s="1"/>
  <c r="S28" i="9" a="1"/>
  <c r="S28" i="9" s="1"/>
  <c r="T28" i="9" a="1"/>
  <c r="T28" i="9" s="1"/>
  <c r="U28" i="9" a="1"/>
  <c r="U28" i="9" s="1"/>
  <c r="AA28" i="9"/>
  <c r="B25" i="20" s="1"/>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B84" i="9" a="1"/>
  <c r="B84" i="9" s="1"/>
  <c r="E14" i="7"/>
  <c r="E15" i="7"/>
  <c r="E16" i="7"/>
  <c r="E17" i="7"/>
  <c r="E18" i="7"/>
  <c r="E19" i="7"/>
  <c r="E20" i="7"/>
  <c r="E21" i="7"/>
  <c r="E22" i="7"/>
  <c r="E23" i="7"/>
  <c r="E24" i="7"/>
  <c r="E25" i="7"/>
  <c r="E26" i="7"/>
  <c r="E27" i="7"/>
  <c r="E28" i="7"/>
  <c r="E29" i="7"/>
  <c r="E30" i="7"/>
  <c r="E31" i="7"/>
  <c r="E32" i="7"/>
  <c r="E33" i="7"/>
  <c r="E34" i="7"/>
  <c r="E13"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5" i="20"/>
  <c r="A26" i="20"/>
  <c r="A27" i="20"/>
  <c r="A28" i="20"/>
  <c r="Q5" i="9" a="1"/>
  <c r="A17"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c r="I27" i="2"/>
  <c r="D27" i="2"/>
  <c r="E27" i="2"/>
  <c r="G27" i="2" s="1"/>
  <c r="E59" i="2"/>
  <c r="F59" i="2"/>
  <c r="F28" i="2"/>
  <c r="E28" i="2"/>
  <c r="G28" i="2" s="1"/>
  <c r="H118" i="1" s="1"/>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c r="E46" i="2"/>
  <c r="F46" i="2"/>
  <c r="H46" i="2"/>
  <c r="I46" i="2"/>
  <c r="D46" i="2"/>
  <c r="E47" i="2"/>
  <c r="F47" i="2"/>
  <c r="E48" i="2"/>
  <c r="F48" i="2"/>
  <c r="H48" i="2"/>
  <c r="I48" i="2"/>
  <c r="D48" i="2"/>
  <c r="F20" i="2"/>
  <c r="E20" i="2"/>
  <c r="E49" i="2"/>
  <c r="F49" i="2"/>
  <c r="H49" i="2"/>
  <c r="I49" i="2"/>
  <c r="D49" i="2"/>
  <c r="F21" i="2"/>
  <c r="H21" i="2" s="1"/>
  <c r="I21" i="2" s="1"/>
  <c r="D21" i="2" s="1"/>
  <c r="E21" i="2"/>
  <c r="E50" i="2"/>
  <c r="F50" i="2"/>
  <c r="H50" i="2"/>
  <c r="I50" i="2"/>
  <c r="D50" i="2"/>
  <c r="E51" i="2"/>
  <c r="G51" i="2"/>
  <c r="F51" i="2"/>
  <c r="H51" i="2"/>
  <c r="I51" i="2"/>
  <c r="D51" i="2"/>
  <c r="E52" i="2"/>
  <c r="F52" i="2"/>
  <c r="H52" i="2"/>
  <c r="I52" i="2"/>
  <c r="D52" i="2"/>
  <c r="E53" i="2"/>
  <c r="F53" i="2"/>
  <c r="E54" i="2"/>
  <c r="F54" i="2"/>
  <c r="F24" i="2"/>
  <c r="H24" i="2" s="1"/>
  <c r="I24" i="2" s="1"/>
  <c r="D24" i="2" s="1"/>
  <c r="E24" i="2"/>
  <c r="E55" i="2"/>
  <c r="F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F6" i="2"/>
  <c r="H6" i="2"/>
  <c r="I6" i="2" s="1"/>
  <c r="D6" i="2" s="1"/>
  <c r="E6" i="2"/>
  <c r="F5" i="2"/>
  <c r="H5" i="2" s="1"/>
  <c r="I5" i="2" s="1"/>
  <c r="D5" i="2" s="1"/>
  <c r="E5" i="2"/>
  <c r="E34" i="2"/>
  <c r="F34" i="2"/>
  <c r="F18" i="2"/>
  <c r="H18" i="2" s="1"/>
  <c r="I18" i="2" s="1"/>
  <c r="D18" i="2" s="1"/>
  <c r="E18" i="2"/>
  <c r="E35" i="2"/>
  <c r="F35" i="2"/>
  <c r="E36" i="2"/>
  <c r="F36" i="2"/>
  <c r="G36" i="2"/>
  <c r="F22" i="2"/>
  <c r="H22" i="2"/>
  <c r="I22" i="2" s="1"/>
  <c r="D22" i="2" s="1"/>
  <c r="E22" i="2"/>
  <c r="F7" i="2"/>
  <c r="E7" i="2"/>
  <c r="E37" i="2"/>
  <c r="F37" i="2"/>
  <c r="H37" i="2"/>
  <c r="I37" i="2"/>
  <c r="D37" i="2"/>
  <c r="E39" i="2"/>
  <c r="F39" i="2"/>
  <c r="E40" i="2"/>
  <c r="F40" i="2"/>
  <c r="E41" i="2"/>
  <c r="F41" i="2"/>
  <c r="H41" i="2"/>
  <c r="I41" i="2"/>
  <c r="D41" i="2"/>
  <c r="E42" i="2"/>
  <c r="F42" i="2"/>
  <c r="G42" i="2"/>
  <c r="E43" i="2"/>
  <c r="F43" i="2"/>
  <c r="G43" i="2"/>
  <c r="E44" i="2"/>
  <c r="F44" i="2"/>
  <c r="G44" i="2"/>
  <c r="F19" i="2"/>
  <c r="G19" i="2" s="1"/>
  <c r="H19" i="2"/>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G23" i="2" s="1"/>
  <c r="H113" i="1" s="1"/>
  <c r="F15" i="2"/>
  <c r="G15" i="2" s="1"/>
  <c r="H97" i="1" s="1"/>
  <c r="E15" i="2"/>
  <c r="F16" i="2"/>
  <c r="G16" i="2" s="1"/>
  <c r="H99" i="1" s="1"/>
  <c r="E16" i="2"/>
  <c r="F26" i="2"/>
  <c r="H26" i="2" s="1"/>
  <c r="I26" i="2" s="1"/>
  <c r="D26" i="2" s="1"/>
  <c r="E26" i="2"/>
  <c r="F29" i="2"/>
  <c r="E29" i="2"/>
  <c r="F30" i="2"/>
  <c r="H30" i="2"/>
  <c r="I30" i="2"/>
  <c r="D30" i="2"/>
  <c r="F31" i="2"/>
  <c r="H31" i="2"/>
  <c r="I31" i="2"/>
  <c r="D31" i="2"/>
  <c r="E31" i="2"/>
  <c r="G31" i="2"/>
  <c r="F32" i="2"/>
  <c r="H32" i="2"/>
  <c r="I32" i="2"/>
  <c r="D32" i="2"/>
  <c r="F14" i="2"/>
  <c r="E14" i="2"/>
  <c r="E30" i="2"/>
  <c r="E32" i="2"/>
  <c r="N4" i="17"/>
  <c r="F12" i="2"/>
  <c r="H12" i="2" s="1"/>
  <c r="I12" i="2" s="1"/>
  <c r="D12" i="2" s="1"/>
  <c r="E12" i="2"/>
  <c r="F11" i="2"/>
  <c r="G11" i="2" s="1"/>
  <c r="E11" i="2"/>
  <c r="E17" i="2"/>
  <c r="F17" i="2"/>
  <c r="H17" i="2" s="1"/>
  <c r="I17" i="2" s="1"/>
  <c r="D17" i="2" s="1"/>
  <c r="F9" i="2"/>
  <c r="E9" i="2"/>
  <c r="E8" i="2"/>
  <c r="F8" i="2"/>
  <c r="E10" i="2"/>
  <c r="E4" i="2"/>
  <c r="C8" i="8"/>
  <c r="F10" i="2"/>
  <c r="H10" i="2" s="1"/>
  <c r="I10" i="2" s="1"/>
  <c r="D10" i="2" s="1"/>
  <c r="F4" i="2"/>
  <c r="H4" i="2" s="1"/>
  <c r="I4" i="2" s="1"/>
  <c r="D4" i="2" s="1"/>
  <c r="N3" i="7"/>
  <c r="N5" i="7"/>
  <c r="E6" i="11"/>
  <c r="D6" i="11"/>
  <c r="F3" i="2"/>
  <c r="J15" i="14"/>
  <c r="H92" i="2"/>
  <c r="I92" i="2"/>
  <c r="D92" i="2"/>
  <c r="G76" i="2"/>
  <c r="G88" i="2"/>
  <c r="G81" i="2"/>
  <c r="G72" i="2"/>
  <c r="G87" i="2"/>
  <c r="H94" i="2"/>
  <c r="I94" i="2"/>
  <c r="D94" i="2"/>
  <c r="G91" i="2"/>
  <c r="G90" i="2"/>
  <c r="H89" i="2"/>
  <c r="I89" i="2"/>
  <c r="D89" i="2"/>
  <c r="E6"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34" i="2"/>
  <c r="I34" i="2"/>
  <c r="D34" i="2"/>
  <c r="H59" i="2"/>
  <c r="I59" i="2"/>
  <c r="D59" i="2"/>
  <c r="G61" i="2"/>
  <c r="C86" i="17"/>
  <c r="K4" i="17" s="1"/>
  <c r="C16" i="10"/>
  <c r="J30" i="15"/>
  <c r="C6" i="8"/>
  <c r="G67" i="2"/>
  <c r="G71" i="2"/>
  <c r="G38" i="2"/>
  <c r="G66" i="2"/>
  <c r="G65" i="2"/>
  <c r="G60" i="2"/>
  <c r="G49" i="2"/>
  <c r="G69" i="2"/>
  <c r="G68" i="2"/>
  <c r="G29" i="2"/>
  <c r="H119" i="1" s="1"/>
  <c r="G35" i="2"/>
  <c r="G63" i="2"/>
  <c r="G70" i="2"/>
  <c r="G59" i="2"/>
  <c r="G52" i="2"/>
  <c r="G32" i="2"/>
  <c r="G47" i="2"/>
  <c r="G57" i="2"/>
  <c r="G48" i="2"/>
  <c r="H36" i="2"/>
  <c r="I36" i="2"/>
  <c r="D36" i="2"/>
  <c r="G39" i="2"/>
  <c r="G58" i="2"/>
  <c r="H47" i="2"/>
  <c r="I47" i="2"/>
  <c r="D47" i="2"/>
  <c r="G54" i="2"/>
  <c r="H43" i="2"/>
  <c r="I43" i="2"/>
  <c r="D43" i="2"/>
  <c r="G53" i="2"/>
  <c r="G56" i="2"/>
  <c r="H35" i="2"/>
  <c r="I35" i="2"/>
  <c r="D35" i="2"/>
  <c r="H39" i="2"/>
  <c r="I39" i="2"/>
  <c r="D39" i="2"/>
  <c r="G30" i="2"/>
  <c r="G40" i="2"/>
  <c r="H44" i="2"/>
  <c r="I44" i="2"/>
  <c r="D44" i="2"/>
  <c r="G33" i="2"/>
  <c r="G55" i="2"/>
  <c r="G62" i="2"/>
  <c r="H40" i="2"/>
  <c r="I40" i="2"/>
  <c r="D40" i="2"/>
  <c r="H29" i="2"/>
  <c r="I29" i="2" s="1"/>
  <c r="D29" i="2" s="1"/>
  <c r="G41" i="2"/>
  <c r="G34" i="2"/>
  <c r="H54" i="2"/>
  <c r="I54" i="2"/>
  <c r="D54" i="2"/>
  <c r="G50" i="2"/>
  <c r="H60" i="2"/>
  <c r="I60" i="2"/>
  <c r="D60" i="2"/>
  <c r="G46" i="2"/>
  <c r="H45" i="2"/>
  <c r="I45" i="2"/>
  <c r="D45" i="2"/>
  <c r="H58" i="2"/>
  <c r="I58" i="2"/>
  <c r="D58" i="2"/>
  <c r="H38" i="2"/>
  <c r="I38" i="2"/>
  <c r="D38" i="2"/>
  <c r="G37" i="2"/>
  <c r="H42" i="2"/>
  <c r="I42" i="2"/>
  <c r="D42" i="2"/>
  <c r="H53" i="2"/>
  <c r="I53" i="2"/>
  <c r="D53" i="2"/>
  <c r="H33" i="2"/>
  <c r="I33" i="2"/>
  <c r="D33" i="2"/>
  <c r="H28" i="2"/>
  <c r="I28" i="2"/>
  <c r="D28" i="2" s="1"/>
  <c r="H55" i="2"/>
  <c r="I55" i="2"/>
  <c r="D55" i="2"/>
  <c r="E39" i="7"/>
  <c r="C5" i="8"/>
  <c r="H70" i="1"/>
  <c r="H62" i="1"/>
  <c r="H7" i="1"/>
  <c r="H19" i="1"/>
  <c r="H52" i="1"/>
  <c r="H71" i="1"/>
  <c r="H8" i="1"/>
  <c r="H20" i="1"/>
  <c r="H53" i="1"/>
  <c r="H6" i="1"/>
  <c r="H56" i="1"/>
  <c r="H72" i="1"/>
  <c r="H57" i="1"/>
  <c r="H9" i="1"/>
  <c r="H21" i="1"/>
  <c r="H54" i="1"/>
  <c r="H80" i="1"/>
  <c r="H73" i="1"/>
  <c r="H58" i="1"/>
  <c r="H10" i="1"/>
  <c r="H22" i="1"/>
  <c r="H55" i="1"/>
  <c r="H5" i="1"/>
  <c r="H69" i="1"/>
  <c r="H18" i="1"/>
  <c r="H51" i="1"/>
  <c r="H74" i="1"/>
  <c r="H59" i="1"/>
  <c r="H11" i="1"/>
  <c r="H23" i="1"/>
  <c r="H17" i="1"/>
  <c r="H81" i="1"/>
  <c r="H63" i="1"/>
  <c r="H75" i="1"/>
  <c r="H60" i="1"/>
  <c r="H12" i="1"/>
  <c r="H24" i="1"/>
  <c r="H68" i="1"/>
  <c r="H64" i="1"/>
  <c r="H76" i="1"/>
  <c r="H61" i="1"/>
  <c r="H13" i="1"/>
  <c r="H46" i="1"/>
  <c r="H50" i="1"/>
  <c r="H65" i="1"/>
  <c r="H77" i="1"/>
  <c r="H2" i="1"/>
  <c r="H14" i="1"/>
  <c r="H47" i="1"/>
  <c r="H66" i="1"/>
  <c r="H78" i="1"/>
  <c r="H3" i="1"/>
  <c r="H15" i="1"/>
  <c r="H48" i="1"/>
  <c r="H67" i="1"/>
  <c r="H79" i="1"/>
  <c r="H4" i="1"/>
  <c r="H16" i="1"/>
  <c r="H49" i="1"/>
  <c r="H27" i="1"/>
  <c r="H33" i="1"/>
  <c r="H25" i="1"/>
  <c r="H29" i="1"/>
  <c r="H28" i="1"/>
  <c r="H32" i="1"/>
  <c r="H35" i="1"/>
  <c r="H26" i="1"/>
  <c r="H30" i="1"/>
  <c r="H34" i="1"/>
  <c r="H31" i="1"/>
  <c r="H37" i="1"/>
  <c r="H36" i="1"/>
  <c r="C2" i="2"/>
  <c r="G20" i="6" l="1"/>
  <c r="H116" i="1"/>
  <c r="H121" i="1"/>
  <c r="G14" i="2"/>
  <c r="H96" i="1" s="1"/>
  <c r="G25" i="2"/>
  <c r="H111" i="1" s="1"/>
  <c r="G9" i="2"/>
  <c r="H89" i="1" s="1"/>
  <c r="G8" i="2"/>
  <c r="H86" i="1" s="1"/>
  <c r="T27" i="9" a="1"/>
  <c r="T27" i="9" s="1"/>
  <c r="S27" i="9" a="1"/>
  <c r="S27" i="9" s="1"/>
  <c r="A24" i="20"/>
  <c r="Y27" i="9" a="1"/>
  <c r="Y27" i="9" s="1"/>
  <c r="U27" i="9" a="1"/>
  <c r="U27" i="9" s="1"/>
  <c r="X27" i="9" a="1"/>
  <c r="X27" i="9" s="1"/>
  <c r="R27" i="9" a="1"/>
  <c r="R27" i="9" s="1"/>
  <c r="V27" i="9" a="1"/>
  <c r="V27" i="9" s="1"/>
  <c r="Z27" i="9" s="1"/>
  <c r="AA27" i="9"/>
  <c r="B24" i="20" s="1"/>
  <c r="V25" i="9" a="1"/>
  <c r="V25" i="9" s="1"/>
  <c r="G26" i="2"/>
  <c r="G22" i="2"/>
  <c r="G6" i="2"/>
  <c r="G20" i="2"/>
  <c r="H14" i="2"/>
  <c r="I14" i="2" s="1"/>
  <c r="D14" i="2" s="1"/>
  <c r="H16" i="2"/>
  <c r="I16" i="2" s="1"/>
  <c r="D16" i="2" s="1"/>
  <c r="G13" i="2"/>
  <c r="H95" i="1" s="1"/>
  <c r="G10" i="2"/>
  <c r="H90" i="1" s="1"/>
  <c r="H109" i="1"/>
  <c r="H110" i="1"/>
  <c r="G18" i="2"/>
  <c r="G4" i="2"/>
  <c r="G7" i="2"/>
  <c r="H83" i="1" s="1"/>
  <c r="G21" i="2"/>
  <c r="H105" i="1" s="1"/>
  <c r="H9" i="2"/>
  <c r="I9" i="2" s="1"/>
  <c r="D9" i="2" s="1"/>
  <c r="G24" i="2"/>
  <c r="G17" i="2"/>
  <c r="H101" i="1" s="1"/>
  <c r="H20" i="2"/>
  <c r="I20" i="2" s="1"/>
  <c r="D20" i="2" s="1"/>
  <c r="H7" i="2"/>
  <c r="I7" i="2" s="1"/>
  <c r="D7" i="2" s="1"/>
  <c r="G12" i="2"/>
  <c r="H92" i="1" s="1"/>
  <c r="H8" i="2"/>
  <c r="I8" i="2" s="1"/>
  <c r="D8" i="2" s="1"/>
  <c r="H100" i="1"/>
  <c r="R26" i="9" a="1"/>
  <c r="R26" i="9" s="1"/>
  <c r="U26" i="9" a="1"/>
  <c r="U26" i="9" s="1"/>
  <c r="T26" i="9" a="1"/>
  <c r="T26" i="9" s="1"/>
  <c r="S26" i="9" a="1"/>
  <c r="S26" i="9" s="1"/>
  <c r="A23" i="20"/>
  <c r="W26" i="9" a="1"/>
  <c r="W26" i="9" s="1"/>
  <c r="Y26" i="9" a="1"/>
  <c r="Y26" i="9" s="1"/>
  <c r="X26" i="9" a="1"/>
  <c r="X26" i="9" s="1"/>
  <c r="V26" i="9" a="1"/>
  <c r="V26" i="9" s="1"/>
  <c r="AA26" i="9"/>
  <c r="B23" i="20" s="1"/>
  <c r="K6" i="6"/>
  <c r="C4" i="8" s="1"/>
  <c r="U25" i="9" a="1"/>
  <c r="U25" i="9" s="1"/>
  <c r="H91" i="1"/>
  <c r="H94" i="1"/>
  <c r="H88" i="1"/>
  <c r="H84" i="1"/>
  <c r="H82" i="1"/>
  <c r="H11" i="2"/>
  <c r="I11" i="2" s="1"/>
  <c r="H15" i="2"/>
  <c r="I15" i="2" s="1"/>
  <c r="D15" i="2" s="1"/>
  <c r="H93" i="1"/>
  <c r="G5" i="2"/>
  <c r="H98" i="1" s="1"/>
  <c r="E99" i="9"/>
  <c r="T20" i="9" s="1" a="1"/>
  <c r="T20" i="9" s="1"/>
  <c r="E100" i="9"/>
  <c r="T21" i="9" s="1" a="1"/>
  <c r="T21" i="9" s="1"/>
  <c r="D92" i="9"/>
  <c r="S13" i="9" s="1" a="1"/>
  <c r="S13" i="9" s="1"/>
  <c r="G68" i="9" a="1"/>
  <c r="G68" i="9" s="1"/>
  <c r="G59" i="9" a="1"/>
  <c r="G59" i="9" s="1"/>
  <c r="I55" i="9" a="1"/>
  <c r="I55" i="9" s="1"/>
  <c r="G56" i="9" a="1"/>
  <c r="G56" i="9" s="1"/>
  <c r="C92" i="9"/>
  <c r="R13" i="9" s="1" a="1"/>
  <c r="R13" i="9" s="1"/>
  <c r="C104" i="9"/>
  <c r="L101" i="9"/>
  <c r="AA22" i="9" s="1"/>
  <c r="B19" i="20" s="1"/>
  <c r="L94" i="9"/>
  <c r="AA15" i="9" s="1"/>
  <c r="B12" i="20" s="1"/>
  <c r="J69" i="9" a="1"/>
  <c r="J69" i="9" s="1"/>
  <c r="B13" i="9"/>
  <c r="C13" i="9" s="1"/>
  <c r="C94" i="9"/>
  <c r="R15" i="9" s="1" a="1"/>
  <c r="R15" i="9" s="1"/>
  <c r="C90" i="9"/>
  <c r="R11" i="9" s="1" a="1"/>
  <c r="R11" i="9" s="1"/>
  <c r="X25" i="9" a="1"/>
  <c r="X25" i="9" s="1"/>
  <c r="D99" i="9"/>
  <c r="S20" i="9" s="1" a="1"/>
  <c r="S20" i="9" s="1"/>
  <c r="Y25" i="9" a="1"/>
  <c r="Y25" i="9" s="1"/>
  <c r="I69" i="9" a="1"/>
  <c r="I69" i="9" s="1"/>
  <c r="L58" i="9"/>
  <c r="H69" i="9" a="1"/>
  <c r="H69" i="9" s="1"/>
  <c r="L69" i="9"/>
  <c r="G69" i="9" a="1"/>
  <c r="G69" i="9" s="1"/>
  <c r="A22" i="21"/>
  <c r="B22" i="21" s="1"/>
  <c r="I100" i="9"/>
  <c r="X21" i="9" s="1" a="1"/>
  <c r="X21" i="9" s="1"/>
  <c r="G98" i="9"/>
  <c r="V19" i="9" s="1" a="1"/>
  <c r="V19" i="9" s="1"/>
  <c r="A5" i="20"/>
  <c r="A18" i="21"/>
  <c r="B18" i="21" s="1"/>
  <c r="A16" i="21"/>
  <c r="B16" i="21" s="1"/>
  <c r="A5" i="21"/>
  <c r="B5" i="21" s="1"/>
  <c r="A11" i="20"/>
  <c r="B4" i="9"/>
  <c r="S25" i="9" a="1"/>
  <c r="S25" i="9" s="1"/>
  <c r="D89" i="9"/>
  <c r="S10" i="9" s="1" a="1"/>
  <c r="S10" i="9" s="1"/>
  <c r="W25" i="9" a="1"/>
  <c r="W25" i="9" s="1"/>
  <c r="A4" i="21"/>
  <c r="B4" i="21" s="1"/>
  <c r="AA25" i="9"/>
  <c r="B22" i="20" s="1"/>
  <c r="A4" i="20"/>
  <c r="A22" i="20"/>
  <c r="A17" i="21"/>
  <c r="B17" i="21" s="1"/>
  <c r="T25" i="9" a="1"/>
  <c r="T25" i="9" s="1"/>
  <c r="C103" i="9"/>
  <c r="R24" i="9" s="1" a="1"/>
  <c r="R24" i="9" s="1"/>
  <c r="I66" i="9" a="1"/>
  <c r="I66" i="9" s="1"/>
  <c r="B14" i="9"/>
  <c r="E14" i="9" s="1"/>
  <c r="R25" i="9" a="1"/>
  <c r="R25" i="9" s="1"/>
  <c r="C86" i="9"/>
  <c r="R7" i="9" s="1" a="1"/>
  <c r="R7" i="9" s="1"/>
  <c r="A12" i="20"/>
  <c r="A8" i="20"/>
  <c r="Q5" i="9"/>
  <c r="I60" i="9" a="1"/>
  <c r="I60" i="9" s="1"/>
  <c r="H61" i="9" a="1"/>
  <c r="H61" i="9" s="1"/>
  <c r="L61" i="9"/>
  <c r="H64" i="9" a="1"/>
  <c r="H64" i="9" s="1"/>
  <c r="I62" i="9" a="1"/>
  <c r="I62" i="9" s="1"/>
  <c r="F88" i="9"/>
  <c r="U9" i="9" s="1" a="1"/>
  <c r="U9" i="9" s="1"/>
  <c r="F96" i="9"/>
  <c r="U17" i="9" s="1" a="1"/>
  <c r="U17" i="9" s="1"/>
  <c r="L51" i="9"/>
  <c r="L68" i="9"/>
  <c r="G57" i="9" a="1"/>
  <c r="G57" i="9" s="1"/>
  <c r="C102" i="9"/>
  <c r="R23" i="9" s="1" a="1"/>
  <c r="R23" i="9" s="1"/>
  <c r="F98" i="9"/>
  <c r="U19" i="9" s="1" a="1"/>
  <c r="U19" i="9" s="1"/>
  <c r="L50" i="9"/>
  <c r="I64" i="9" a="1"/>
  <c r="I64" i="9" s="1"/>
  <c r="C100" i="9"/>
  <c r="R21" i="9" s="1" a="1"/>
  <c r="R21" i="9" s="1"/>
  <c r="C93" i="9"/>
  <c r="R14" i="9" s="1" a="1"/>
  <c r="R14" i="9" s="1"/>
  <c r="E95" i="9"/>
  <c r="T16" i="9" s="1" a="1"/>
  <c r="T16" i="9" s="1"/>
  <c r="E92" i="9"/>
  <c r="T13" i="9" s="1" a="1"/>
  <c r="T13" i="9" s="1"/>
  <c r="L52" i="9"/>
  <c r="C96" i="9"/>
  <c r="R17" i="9" s="1" a="1"/>
  <c r="R17" i="9" s="1"/>
  <c r="J54" i="9" a="1"/>
  <c r="J54" i="9" s="1"/>
  <c r="I67" i="9" a="1"/>
  <c r="I67" i="9" s="1"/>
  <c r="J51" i="9" a="1"/>
  <c r="J51" i="9" s="1"/>
  <c r="E98" i="9"/>
  <c r="T19" i="9" s="1" a="1"/>
  <c r="T19" i="9" s="1"/>
  <c r="D94" i="9"/>
  <c r="S15" i="9" s="1" a="1"/>
  <c r="S15" i="9" s="1"/>
  <c r="B17" i="9"/>
  <c r="C17" i="9" s="1"/>
  <c r="L59" i="9"/>
  <c r="H57" i="9" a="1"/>
  <c r="H57" i="9" s="1"/>
  <c r="I57" i="9" a="1"/>
  <c r="I57" i="9" s="1"/>
  <c r="I68" i="9" a="1"/>
  <c r="I68" i="9" s="1"/>
  <c r="I54" i="9" a="1"/>
  <c r="I54" i="9" s="1"/>
  <c r="C97" i="9"/>
  <c r="R18" i="9" s="1" a="1"/>
  <c r="R18" i="9" s="1"/>
  <c r="J60" i="9" a="1"/>
  <c r="J60" i="9" s="1"/>
  <c r="J50" i="9" a="1"/>
  <c r="J50" i="9" s="1"/>
  <c r="H60" i="9" a="1"/>
  <c r="H60" i="9" s="1"/>
  <c r="G103" i="9"/>
  <c r="V24" i="9" s="1" a="1"/>
  <c r="V24" i="9" s="1"/>
  <c r="D96" i="9"/>
  <c r="S17" i="9" s="1" a="1"/>
  <c r="S17" i="9" s="1"/>
  <c r="E89" i="9"/>
  <c r="T10" i="9" s="1" a="1"/>
  <c r="T10" i="9" s="1"/>
  <c r="L67" i="9"/>
  <c r="B5" i="9"/>
  <c r="J63" i="9" a="1"/>
  <c r="J63" i="9" s="1"/>
  <c r="H53" i="9" a="1"/>
  <c r="H53" i="9" s="1"/>
  <c r="H58" i="9" a="1"/>
  <c r="H58" i="9" s="1"/>
  <c r="E103" i="9"/>
  <c r="T24" i="9" s="1" a="1"/>
  <c r="T24" i="9" s="1"/>
  <c r="F90" i="9"/>
  <c r="U11" i="9" s="1" a="1"/>
  <c r="U11" i="9" s="1"/>
  <c r="E88" i="9"/>
  <c r="T9" i="9" s="1" a="1"/>
  <c r="T9" i="9" s="1"/>
  <c r="L55" i="9"/>
  <c r="B10" i="9"/>
  <c r="J53" i="9" a="1"/>
  <c r="J53" i="9" s="1"/>
  <c r="F86" i="9"/>
  <c r="U7" i="9" s="1" a="1"/>
  <c r="U7" i="9" s="1"/>
  <c r="I122" i="1" a="1"/>
  <c r="I122" i="1" s="1"/>
  <c r="L90" i="9"/>
  <c r="AA11" i="9" s="1"/>
  <c r="B8" i="20" s="1"/>
  <c r="C91" i="9"/>
  <c r="R12" i="9" s="1" a="1"/>
  <c r="R12" i="9" s="1"/>
  <c r="C85" i="9"/>
  <c r="R6" i="9" s="1" a="1"/>
  <c r="R6" i="9" s="1"/>
  <c r="C87" i="9"/>
  <c r="R8" i="9" s="1" a="1"/>
  <c r="R8" i="9" s="1"/>
  <c r="G65" i="9" a="1"/>
  <c r="G65" i="9" s="1"/>
  <c r="I61" i="9" a="1"/>
  <c r="I61" i="9" s="1"/>
  <c r="G88" i="9"/>
  <c r="V9" i="9" s="1" a="1"/>
  <c r="V9" i="9" s="1"/>
  <c r="B18" i="9"/>
  <c r="L60" i="9"/>
  <c r="F102" i="9"/>
  <c r="U23" i="9" s="1" a="1"/>
  <c r="U23" i="9" s="1"/>
  <c r="D91" i="9"/>
  <c r="S12" i="9" s="1" a="1"/>
  <c r="S12" i="9" s="1"/>
  <c r="H67" i="9" a="1"/>
  <c r="H67" i="9" s="1"/>
  <c r="J64" i="9" a="1"/>
  <c r="J64" i="9" s="1"/>
  <c r="A16" i="20"/>
  <c r="A18" i="20"/>
  <c r="A21" i="20"/>
  <c r="B15" i="9"/>
  <c r="L56" i="9"/>
  <c r="B6" i="9"/>
  <c r="B11" i="9"/>
  <c r="D100" i="9"/>
  <c r="S21" i="9" s="1" a="1"/>
  <c r="S21" i="9" s="1"/>
  <c r="D85" i="9"/>
  <c r="S6" i="9" s="1" a="1"/>
  <c r="S6" i="9" s="1"/>
  <c r="E96" i="9"/>
  <c r="T17" i="9" s="1" a="1"/>
  <c r="T17" i="9" s="1"/>
  <c r="E91" i="9"/>
  <c r="T12" i="9" s="1" a="1"/>
  <c r="T12" i="9" s="1"/>
  <c r="C101" i="9"/>
  <c r="R22" i="9" s="1" a="1"/>
  <c r="R22" i="9" s="1"/>
  <c r="C89" i="9"/>
  <c r="R10" i="9" s="1" a="1"/>
  <c r="R10" i="9" s="1"/>
  <c r="D101" i="9"/>
  <c r="S22" i="9" s="1" a="1"/>
  <c r="S22" i="9" s="1"/>
  <c r="I65" i="9" a="1"/>
  <c r="I65" i="9" s="1"/>
  <c r="H56" i="9" a="1"/>
  <c r="H56" i="9" s="1"/>
  <c r="J61" i="9" a="1"/>
  <c r="J61" i="9" s="1"/>
  <c r="G50" i="9" a="1"/>
  <c r="G50" i="9" s="1"/>
  <c r="G61" i="9" a="1"/>
  <c r="G61" i="9" s="1"/>
  <c r="H52" i="9" a="1"/>
  <c r="H52" i="9" s="1"/>
  <c r="G95" i="9"/>
  <c r="V16" i="9" s="1" a="1"/>
  <c r="V16" i="9" s="1"/>
  <c r="J52" i="9" a="1"/>
  <c r="J52" i="9" s="1"/>
  <c r="A6" i="20"/>
  <c r="A15" i="20"/>
  <c r="B12" i="9"/>
  <c r="B16" i="9"/>
  <c r="F89" i="9"/>
  <c r="U10" i="9" s="1" a="1"/>
  <c r="U10" i="9" s="1"/>
  <c r="F101" i="9"/>
  <c r="U22" i="9" s="1" a="1"/>
  <c r="U22" i="9" s="1"/>
  <c r="I51" i="9" a="1"/>
  <c r="I51" i="9" s="1"/>
  <c r="G55" i="9" a="1"/>
  <c r="G55" i="9" s="1"/>
  <c r="G101" i="9"/>
  <c r="V22" i="9" s="1" a="1"/>
  <c r="V22" i="9" s="1"/>
  <c r="A11" i="21"/>
  <c r="B11" i="21" s="1"/>
  <c r="A7" i="20"/>
  <c r="A9" i="20"/>
  <c r="L57" i="9"/>
  <c r="E97" i="9"/>
  <c r="T18" i="9" s="1" a="1"/>
  <c r="T18" i="9" s="1"/>
  <c r="E93" i="9"/>
  <c r="T14" i="9" s="1" a="1"/>
  <c r="T14" i="9" s="1"/>
  <c r="C95" i="9"/>
  <c r="R16" i="9" s="1" a="1"/>
  <c r="R16" i="9" s="1"/>
  <c r="F85" i="9"/>
  <c r="U6" i="9" s="1" a="1"/>
  <c r="U6" i="9" s="1"/>
  <c r="F91" i="9"/>
  <c r="U12" i="9" s="1" a="1"/>
  <c r="U12" i="9" s="1"/>
  <c r="F103" i="9"/>
  <c r="U24" i="9" s="1" a="1"/>
  <c r="U24" i="9" s="1"/>
  <c r="H103" i="9"/>
  <c r="W24" i="9" s="1" a="1"/>
  <c r="W24" i="9" s="1"/>
  <c r="G52" i="9" a="1"/>
  <c r="G52" i="9" s="1"/>
  <c r="J62" i="9" a="1"/>
  <c r="J62" i="9" s="1"/>
  <c r="I53" i="9" a="1"/>
  <c r="I53" i="9" s="1"/>
  <c r="J58" i="9" a="1"/>
  <c r="J58" i="9" s="1"/>
  <c r="J65" i="9" a="1"/>
  <c r="J65" i="9" s="1"/>
  <c r="G58" i="9" a="1"/>
  <c r="G58" i="9" s="1"/>
  <c r="A19" i="21"/>
  <c r="B19" i="21" s="1"/>
  <c r="L92" i="9"/>
  <c r="AA13" i="9" s="1"/>
  <c r="B10" i="20" s="1"/>
  <c r="E85" i="9"/>
  <c r="T6" i="9" s="1" a="1"/>
  <c r="T6" i="9" s="1"/>
  <c r="E102" i="9"/>
  <c r="T23" i="9" s="1" a="1"/>
  <c r="T23" i="9" s="1"/>
  <c r="C98" i="9"/>
  <c r="R19" i="9" s="1" a="1"/>
  <c r="R19" i="9" s="1"/>
  <c r="F99" i="9"/>
  <c r="U20" i="9" s="1" a="1"/>
  <c r="U20" i="9" s="1"/>
  <c r="E87" i="9"/>
  <c r="T8" i="9" s="1" a="1"/>
  <c r="T8" i="9" s="1"/>
  <c r="J57" i="9" a="1"/>
  <c r="J57" i="9" s="1"/>
  <c r="F97" i="9"/>
  <c r="U18" i="9" s="1" a="1"/>
  <c r="U18" i="9" s="1"/>
  <c r="D95" i="9"/>
  <c r="S16" i="9" s="1" a="1"/>
  <c r="S16" i="9" s="1"/>
  <c r="D87" i="9"/>
  <c r="S8" i="9" s="1" a="1"/>
  <c r="S8" i="9" s="1"/>
  <c r="J67" i="9" a="1"/>
  <c r="J67" i="9" s="1"/>
  <c r="J66" i="9" a="1"/>
  <c r="J66" i="9" s="1"/>
  <c r="A13" i="21"/>
  <c r="B13" i="21" s="1"/>
  <c r="A3" i="21"/>
  <c r="B3" i="21" s="1"/>
  <c r="A12" i="21"/>
  <c r="B12" i="21" s="1"/>
  <c r="F87" i="9"/>
  <c r="U8" i="9" s="1" a="1"/>
  <c r="U8" i="9" s="1"/>
  <c r="E101" i="9"/>
  <c r="T22" i="9" s="1" a="1"/>
  <c r="T22" i="9" s="1"/>
  <c r="H59" i="9" a="1"/>
  <c r="H59" i="9" s="1"/>
  <c r="G64" i="9" a="1"/>
  <c r="G64" i="9" s="1"/>
  <c r="A20" i="21"/>
  <c r="B20" i="21" s="1"/>
  <c r="A6" i="21"/>
  <c r="B6" i="21" s="1"/>
  <c r="A7" i="21"/>
  <c r="B7" i="21" s="1"/>
  <c r="A13" i="20"/>
  <c r="A8" i="21"/>
  <c r="B8" i="21" s="1"/>
  <c r="L65" i="9"/>
  <c r="B7" i="9"/>
  <c r="L62" i="9"/>
  <c r="L54" i="9"/>
  <c r="D93" i="9"/>
  <c r="S14" i="9" s="1" a="1"/>
  <c r="S14" i="9" s="1"/>
  <c r="L87" i="9"/>
  <c r="AA8" i="9" s="1"/>
  <c r="B5" i="20" s="1"/>
  <c r="F93" i="9"/>
  <c r="U14" i="9" s="1" a="1"/>
  <c r="U14" i="9" s="1"/>
  <c r="F94" i="9"/>
  <c r="U15" i="9" s="1" a="1"/>
  <c r="U15" i="9" s="1"/>
  <c r="E86" i="9"/>
  <c r="T7" i="9" s="1" a="1"/>
  <c r="T7" i="9" s="1"/>
  <c r="F100" i="9"/>
  <c r="U21" i="9" s="1" a="1"/>
  <c r="U21" i="9" s="1"/>
  <c r="J59" i="9" a="1"/>
  <c r="J59" i="9" s="1"/>
  <c r="G51" i="9" a="1"/>
  <c r="G51" i="9" s="1"/>
  <c r="G53" i="9" a="1"/>
  <c r="G53" i="9" s="1"/>
  <c r="G60" i="9" a="1"/>
  <c r="G60" i="9" s="1"/>
  <c r="H55" i="9" a="1"/>
  <c r="H55" i="9" s="1"/>
  <c r="H66" i="9" a="1"/>
  <c r="H66" i="9" s="1"/>
  <c r="A21" i="21"/>
  <c r="B21" i="21" s="1"/>
  <c r="J94" i="9"/>
  <c r="Y15" i="9" s="1" a="1"/>
  <c r="Y15" i="9" s="1"/>
  <c r="L88" i="9"/>
  <c r="AA9" i="9" s="1"/>
  <c r="B6" i="20" s="1"/>
  <c r="A10" i="21"/>
  <c r="B10" i="21" s="1"/>
  <c r="B9" i="9"/>
  <c r="D103" i="9"/>
  <c r="S24" i="9" s="1" a="1"/>
  <c r="S24" i="9" s="1"/>
  <c r="H62" i="9" a="1"/>
  <c r="H62" i="9" s="1"/>
  <c r="I58" i="9" a="1"/>
  <c r="I58" i="9" s="1"/>
  <c r="L91" i="9"/>
  <c r="AA12" i="9" s="1"/>
  <c r="B9" i="20" s="1"/>
  <c r="D88" i="9"/>
  <c r="S9" i="9" s="1" a="1"/>
  <c r="S9" i="9" s="1"/>
  <c r="J68" i="9" a="1"/>
  <c r="J68" i="9" s="1"/>
  <c r="J55" i="9" a="1"/>
  <c r="J55" i="9" s="1"/>
  <c r="A20" i="20"/>
  <c r="A10" i="20"/>
  <c r="A3" i="20"/>
  <c r="L66" i="9"/>
  <c r="A14" i="21"/>
  <c r="B14" i="21" s="1"/>
  <c r="B3" i="9"/>
  <c r="H99" i="9"/>
  <c r="W20" i="9" s="1" a="1"/>
  <c r="W20" i="9" s="1"/>
  <c r="C99" i="9"/>
  <c r="R20" i="9" s="1" a="1"/>
  <c r="R20" i="9" s="1"/>
  <c r="E94" i="9"/>
  <c r="T15" i="9" s="1" a="1"/>
  <c r="T15" i="9" s="1"/>
  <c r="C88" i="9"/>
  <c r="R9" i="9" s="1" a="1"/>
  <c r="R9" i="9" s="1"/>
  <c r="D90" i="9"/>
  <c r="S11" i="9" s="1" a="1"/>
  <c r="S11" i="9" s="1"/>
  <c r="D86" i="9"/>
  <c r="S7" i="9" s="1" a="1"/>
  <c r="S7" i="9" s="1"/>
  <c r="G66" i="9" a="1"/>
  <c r="G66" i="9" s="1"/>
  <c r="J56" i="9" a="1"/>
  <c r="J56" i="9" s="1"/>
  <c r="I56" i="9" a="1"/>
  <c r="I56" i="9" s="1"/>
  <c r="I50" i="9" a="1"/>
  <c r="I50" i="9" s="1"/>
  <c r="H65" i="9" a="1"/>
  <c r="H65" i="9" s="1"/>
  <c r="I52" i="9" a="1"/>
  <c r="I52" i="9" s="1"/>
  <c r="I63" i="9" a="1"/>
  <c r="I63" i="9" s="1"/>
  <c r="A9" i="21"/>
  <c r="B9" i="21" s="1"/>
  <c r="A15" i="21"/>
  <c r="B15" i="21" s="1"/>
  <c r="B49" i="9"/>
  <c r="I84" i="9" s="1"/>
  <c r="X5" i="9" s="1" a="1"/>
  <c r="X5" i="9" s="1"/>
  <c r="L63" i="9"/>
  <c r="I59" i="9" a="1"/>
  <c r="I59" i="9" s="1"/>
  <c r="A14" i="20"/>
  <c r="A19" i="20"/>
  <c r="B8" i="9"/>
  <c r="L53" i="9"/>
  <c r="D98" i="9"/>
  <c r="S19" i="9" s="1" a="1"/>
  <c r="S19" i="9" s="1"/>
  <c r="F95" i="9"/>
  <c r="U16" i="9" s="1" a="1"/>
  <c r="U16" i="9" s="1"/>
  <c r="E90" i="9"/>
  <c r="T11" i="9" s="1" a="1"/>
  <c r="T11" i="9" s="1"/>
  <c r="F92" i="9"/>
  <c r="U13" i="9" s="1" a="1"/>
  <c r="U13" i="9" s="1"/>
  <c r="D97" i="9"/>
  <c r="S18" i="9" s="1" a="1"/>
  <c r="S18" i="9" s="1"/>
  <c r="D102" i="9"/>
  <c r="S23" i="9" s="1" a="1"/>
  <c r="S23" i="9" s="1"/>
  <c r="H63" i="9" a="1"/>
  <c r="H63" i="9" s="1"/>
  <c r="G54" i="9" a="1"/>
  <c r="G54" i="9" s="1"/>
  <c r="G62" i="9" a="1"/>
  <c r="G62" i="9" s="1"/>
  <c r="G63" i="9" a="1"/>
  <c r="G63" i="9" s="1"/>
  <c r="G67" i="9" a="1"/>
  <c r="G67" i="9" s="1"/>
  <c r="H54" i="9" a="1"/>
  <c r="H54" i="9" s="1"/>
  <c r="J59" i="1"/>
  <c r="I101" i="9"/>
  <c r="X22" i="9" s="1" a="1"/>
  <c r="X22" i="9" s="1"/>
  <c r="J44" i="1"/>
  <c r="I86" i="9"/>
  <c r="X7" i="9" s="1" a="1"/>
  <c r="X7" i="9" s="1"/>
  <c r="Z35" i="9"/>
  <c r="AB35" i="9" s="1"/>
  <c r="Z32" i="9"/>
  <c r="AB32" i="9" s="1"/>
  <c r="Z28" i="9"/>
  <c r="AB28" i="9" s="1"/>
  <c r="C25" i="20" s="1"/>
  <c r="H88" i="9"/>
  <c r="W9" i="9" s="1" a="1"/>
  <c r="W9" i="9" s="1"/>
  <c r="J95" i="9"/>
  <c r="Y16" i="9" s="1" a="1"/>
  <c r="Y16" i="9" s="1"/>
  <c r="J40" i="1"/>
  <c r="H102" i="9"/>
  <c r="W23" i="9" s="1" a="1"/>
  <c r="W23" i="9" s="1"/>
  <c r="J62" i="1"/>
  <c r="J51" i="1"/>
  <c r="I93" i="9"/>
  <c r="X14" i="9" s="1" a="1"/>
  <c r="X14" i="9" s="1"/>
  <c r="J90" i="9"/>
  <c r="Y11" i="9" s="1" a="1"/>
  <c r="Y11" i="9" s="1"/>
  <c r="J68" i="1"/>
  <c r="J45" i="1"/>
  <c r="I87" i="9"/>
  <c r="X8" i="9" s="1" a="1"/>
  <c r="X8" i="9" s="1"/>
  <c r="G85" i="9"/>
  <c r="V6" i="9" s="1" a="1"/>
  <c r="V6" i="9" s="1"/>
  <c r="J3" i="1"/>
  <c r="J28" i="1"/>
  <c r="H90" i="9"/>
  <c r="W11" i="9" s="1" a="1"/>
  <c r="W11" i="9" s="1"/>
  <c r="J92" i="9"/>
  <c r="Y13" i="9" s="1" a="1"/>
  <c r="Y13" i="9" s="1"/>
  <c r="J70" i="1"/>
  <c r="Z30" i="9"/>
  <c r="AB30" i="9" s="1"/>
  <c r="C27" i="20" s="1"/>
  <c r="H96" i="9"/>
  <c r="W17" i="9" s="1" a="1"/>
  <c r="W17" i="9" s="1"/>
  <c r="J19" i="1"/>
  <c r="Z29" i="9"/>
  <c r="AB29" i="9" s="1"/>
  <c r="C26" i="20" s="1"/>
  <c r="J97" i="9"/>
  <c r="Y18" i="9" s="1" a="1"/>
  <c r="Y18" i="9" s="1"/>
  <c r="H100" i="9"/>
  <c r="W21" i="9" s="1" a="1"/>
  <c r="W21" i="9" s="1"/>
  <c r="J93" i="9"/>
  <c r="Y14" i="9" s="1" a="1"/>
  <c r="Y14" i="9" s="1"/>
  <c r="Z33" i="9"/>
  <c r="AB33" i="9" s="1"/>
  <c r="J13" i="1"/>
  <c r="J6" i="1"/>
  <c r="H85" i="9"/>
  <c r="W6" i="9" s="1" a="1"/>
  <c r="W6" i="9" s="1"/>
  <c r="I92" i="9"/>
  <c r="X13" i="9" s="1" a="1"/>
  <c r="X13" i="9" s="1"/>
  <c r="J79" i="1"/>
  <c r="J101" i="9"/>
  <c r="Y22" i="9" s="1" a="1"/>
  <c r="Y22" i="9" s="1"/>
  <c r="J54" i="1"/>
  <c r="I96" i="9"/>
  <c r="X17" i="9" s="1" a="1"/>
  <c r="X17" i="9" s="1"/>
  <c r="J64" i="1"/>
  <c r="J86" i="9"/>
  <c r="Y7" i="9" s="1" a="1"/>
  <c r="Y7" i="9" s="1"/>
  <c r="G97" i="9"/>
  <c r="V18" i="9" s="1" a="1"/>
  <c r="V18" i="9" s="1"/>
  <c r="J15" i="1"/>
  <c r="J18" i="1"/>
  <c r="G100" i="9"/>
  <c r="I85" i="9"/>
  <c r="X6" i="9" s="1" a="1"/>
  <c r="X6" i="9" s="1"/>
  <c r="J43" i="1"/>
  <c r="G90" i="9"/>
  <c r="J8" i="1"/>
  <c r="J77" i="1"/>
  <c r="J99" i="9"/>
  <c r="Y20" i="9" s="1" a="1"/>
  <c r="Y20" i="9" s="1"/>
  <c r="J76" i="1"/>
  <c r="J98" i="9"/>
  <c r="Y19" i="9" s="1" a="1"/>
  <c r="Y19" i="9" s="1"/>
  <c r="I99" i="9"/>
  <c r="X20" i="9" s="1" a="1"/>
  <c r="X20" i="9" s="1"/>
  <c r="J57" i="1"/>
  <c r="J55" i="1"/>
  <c r="I97" i="9"/>
  <c r="X18" i="9" s="1" a="1"/>
  <c r="X18" i="9" s="1"/>
  <c r="J91" i="9"/>
  <c r="Y12" i="9" s="1" a="1"/>
  <c r="Y12" i="9" s="1"/>
  <c r="J69" i="1"/>
  <c r="I98" i="9"/>
  <c r="X19" i="9" s="1" a="1"/>
  <c r="X19" i="9" s="1"/>
  <c r="J56" i="1"/>
  <c r="H92" i="9"/>
  <c r="W13" i="9" s="1" a="1"/>
  <c r="W13" i="9" s="1"/>
  <c r="J30" i="1"/>
  <c r="H91" i="9"/>
  <c r="W12" i="9" s="1" a="1"/>
  <c r="W12" i="9" s="1"/>
  <c r="J29" i="1"/>
  <c r="J17" i="1"/>
  <c r="G99" i="9"/>
  <c r="J63" i="1"/>
  <c r="J85" i="9"/>
  <c r="Y6" i="9" s="1" a="1"/>
  <c r="Y6" i="9" s="1"/>
  <c r="J22" i="1"/>
  <c r="J42" i="1"/>
  <c r="H101" i="9"/>
  <c r="W22" i="9" s="1" a="1"/>
  <c r="W22" i="9" s="1"/>
  <c r="J39" i="1"/>
  <c r="G96" i="9"/>
  <c r="V17" i="9" s="1" a="1"/>
  <c r="V17" i="9" s="1"/>
  <c r="J14" i="1"/>
  <c r="J74" i="1"/>
  <c r="J96" i="9"/>
  <c r="Y17" i="9" s="1" a="1"/>
  <c r="Y17" i="9" s="1"/>
  <c r="J89" i="9"/>
  <c r="Y10" i="9" s="1" a="1"/>
  <c r="Y10" i="9" s="1"/>
  <c r="J67" i="1"/>
  <c r="J31" i="1"/>
  <c r="H93" i="9"/>
  <c r="W14" i="9" s="1" a="1"/>
  <c r="W14" i="9" s="1"/>
  <c r="J66" i="1"/>
  <c r="J88" i="9"/>
  <c r="Y9" i="9" s="1" a="1"/>
  <c r="Y9" i="9" s="1"/>
  <c r="J9" i="1"/>
  <c r="G91" i="9"/>
  <c r="I89" i="9"/>
  <c r="X10" i="9" s="1" a="1"/>
  <c r="X10" i="9" s="1"/>
  <c r="J47" i="1"/>
  <c r="J80" i="1"/>
  <c r="J102" i="9"/>
  <c r="Y23" i="9" s="1" a="1"/>
  <c r="Y23" i="9" s="1"/>
  <c r="G92" i="9"/>
  <c r="V13" i="9" s="1" a="1"/>
  <c r="V13" i="9" s="1"/>
  <c r="J10" i="1"/>
  <c r="I90" i="9"/>
  <c r="X11" i="9" s="1" a="1"/>
  <c r="X11" i="9" s="1"/>
  <c r="J48" i="1"/>
  <c r="J7" i="1"/>
  <c r="G89" i="9"/>
  <c r="J4" i="1"/>
  <c r="G86" i="9"/>
  <c r="V7" i="9" s="1" a="1"/>
  <c r="V7" i="9" s="1"/>
  <c r="G93" i="9"/>
  <c r="V14" i="9" s="1" a="1"/>
  <c r="V14" i="9" s="1"/>
  <c r="J11" i="1"/>
  <c r="J87" i="9"/>
  <c r="Y8" i="9" s="1" a="1"/>
  <c r="Y8" i="9" s="1"/>
  <c r="J65" i="1"/>
  <c r="J35" i="1"/>
  <c r="H97" i="9"/>
  <c r="W18" i="9" s="1" a="1"/>
  <c r="W18" i="9" s="1"/>
  <c r="J52" i="1"/>
  <c r="I94" i="9"/>
  <c r="X15" i="9" s="1" a="1"/>
  <c r="X15" i="9" s="1"/>
  <c r="H98" i="9"/>
  <c r="W19" i="9" s="1" a="1"/>
  <c r="W19" i="9" s="1"/>
  <c r="J36" i="1"/>
  <c r="J2" i="1"/>
  <c r="G102" i="9"/>
  <c r="V23" i="9" s="1" a="1"/>
  <c r="V23" i="9" s="1"/>
  <c r="J20" i="1"/>
  <c r="H86" i="9"/>
  <c r="W7" i="9" s="1" a="1"/>
  <c r="W7" i="9" s="1"/>
  <c r="J24" i="1"/>
  <c r="J25" i="1"/>
  <c r="H87" i="9"/>
  <c r="W8" i="9" s="1" a="1"/>
  <c r="W8" i="9" s="1"/>
  <c r="J49" i="1"/>
  <c r="I91" i="9"/>
  <c r="X12" i="9" s="1" a="1"/>
  <c r="X12" i="9" s="1"/>
  <c r="G94" i="9"/>
  <c r="V15" i="9" s="1" a="1"/>
  <c r="V15" i="9" s="1"/>
  <c r="J12" i="1"/>
  <c r="J103" i="9"/>
  <c r="Y24" i="9" s="1" a="1"/>
  <c r="Y24" i="9" s="1"/>
  <c r="J81" i="1"/>
  <c r="I103" i="9"/>
  <c r="X24" i="9" s="1" a="1"/>
  <c r="X24" i="9" s="1"/>
  <c r="J61" i="1"/>
  <c r="J27" i="1"/>
  <c r="H89" i="9"/>
  <c r="W10" i="9" s="1" a="1"/>
  <c r="W10" i="9" s="1"/>
  <c r="H94" i="9"/>
  <c r="W15" i="9" s="1" a="1"/>
  <c r="W15" i="9" s="1"/>
  <c r="J32" i="1"/>
  <c r="H95" i="9"/>
  <c r="W16" i="9" s="1" a="1"/>
  <c r="W16" i="9" s="1"/>
  <c r="J16" i="1"/>
  <c r="I102" i="9"/>
  <c r="X23" i="9" s="1" a="1"/>
  <c r="X23" i="9" s="1"/>
  <c r="I88" i="9"/>
  <c r="X9" i="9" s="1" a="1"/>
  <c r="X9" i="9" s="1"/>
  <c r="G87" i="9"/>
  <c r="Z34" i="9"/>
  <c r="AB34" i="9" s="1"/>
  <c r="Z31" i="9"/>
  <c r="AB31" i="9" s="1"/>
  <c r="C28" i="20" s="1"/>
  <c r="J58" i="1"/>
  <c r="I95" i="9"/>
  <c r="X16" i="9" s="1" a="1"/>
  <c r="X16" i="9" s="1"/>
  <c r="J72" i="1"/>
  <c r="J100" i="9"/>
  <c r="Y21" i="9" s="1" a="1"/>
  <c r="Y21" i="9" s="1"/>
  <c r="L97" i="9"/>
  <c r="AA18" i="9" s="1"/>
  <c r="B15" i="20" s="1"/>
  <c r="L103" i="9"/>
  <c r="AA24" i="9" s="1"/>
  <c r="B21" i="20" s="1"/>
  <c r="L95" i="9"/>
  <c r="AA16" i="9" s="1"/>
  <c r="B13" i="20" s="1"/>
  <c r="L85" i="9"/>
  <c r="AA6" i="9" s="1"/>
  <c r="B3" i="20" s="1"/>
  <c r="L98" i="9"/>
  <c r="AA19" i="9" s="1"/>
  <c r="B16" i="20" s="1"/>
  <c r="L86" i="9"/>
  <c r="AA7" i="9" s="1"/>
  <c r="B4" i="20" s="1"/>
  <c r="L102" i="9"/>
  <c r="AA23" i="9" s="1"/>
  <c r="B20" i="20" s="1"/>
  <c r="L96" i="9"/>
  <c r="AA17" i="9" s="1"/>
  <c r="B14" i="20" s="1"/>
  <c r="L100" i="9"/>
  <c r="AA21" i="9" s="1"/>
  <c r="L93" i="9"/>
  <c r="AA14" i="9" s="1"/>
  <c r="B11" i="20" s="1"/>
  <c r="L89" i="9"/>
  <c r="AA10" i="9" s="1"/>
  <c r="B7" i="20" s="1"/>
  <c r="L99" i="9"/>
  <c r="AA20" i="9" s="1"/>
  <c r="B17" i="20" s="1"/>
  <c r="K122" i="1"/>
  <c r="H50" i="9" a="1"/>
  <c r="H50" i="9" s="1"/>
  <c r="H68" i="9" a="1"/>
  <c r="H68" i="9" s="1"/>
  <c r="H51" i="9" a="1"/>
  <c r="H51" i="9" s="1"/>
  <c r="H6" i="7"/>
  <c r="B28" i="20"/>
  <c r="N7" i="17"/>
  <c r="C19" i="10" s="1"/>
  <c r="J37" i="14"/>
  <c r="C12" i="8" s="1"/>
  <c r="H11" i="15"/>
  <c r="I20" i="6"/>
  <c r="G11" i="15"/>
  <c r="H20" i="6"/>
  <c r="D37" i="14"/>
  <c r="C10" i="8" s="1"/>
  <c r="C43" i="12"/>
  <c r="E38" i="18"/>
  <c r="I37" i="12"/>
  <c r="D38" i="18"/>
  <c r="C11" i="8" s="1"/>
  <c r="D86" i="17"/>
  <c r="C12" i="10"/>
  <c r="D2" i="2"/>
  <c r="H87" i="1" l="1"/>
  <c r="H85" i="1"/>
  <c r="H107" i="1"/>
  <c r="H117" i="1"/>
  <c r="H115" i="1"/>
  <c r="H114" i="1"/>
  <c r="Z25" i="9"/>
  <c r="AB25" i="9" s="1"/>
  <c r="C22" i="20" s="1"/>
  <c r="AB27" i="9"/>
  <c r="C24" i="20" s="1"/>
  <c r="H112" i="1"/>
  <c r="H106" i="1"/>
  <c r="H104" i="1"/>
  <c r="H103" i="1"/>
  <c r="H102" i="1"/>
  <c r="H108" i="1"/>
  <c r="Z26" i="9"/>
  <c r="AB26" i="9" s="1"/>
  <c r="C23" i="20" s="1"/>
  <c r="E13" i="9"/>
  <c r="K69" i="9"/>
  <c r="M69" i="9" s="1"/>
  <c r="C14" i="9"/>
  <c r="E17" i="9"/>
  <c r="K55" i="9"/>
  <c r="M55" i="9" s="1"/>
  <c r="K56" i="9"/>
  <c r="M56" i="9" s="1"/>
  <c r="K62" i="9"/>
  <c r="M62" i="9" s="1"/>
  <c r="K60" i="9"/>
  <c r="M60" i="9" s="1"/>
  <c r="K53" i="9"/>
  <c r="M53" i="9" s="1"/>
  <c r="K68" i="9"/>
  <c r="M68" i="9" s="1"/>
  <c r="K58" i="9"/>
  <c r="M58" i="9" s="1"/>
  <c r="K61" i="9"/>
  <c r="M61" i="9" s="1"/>
  <c r="K63" i="9"/>
  <c r="M63" i="9" s="1"/>
  <c r="K57" i="9"/>
  <c r="M57" i="9" s="1"/>
  <c r="Z14" i="9"/>
  <c r="AB14" i="9" s="1"/>
  <c r="C11" i="20" s="1"/>
  <c r="K54" i="9"/>
  <c r="M54" i="9" s="1"/>
  <c r="K65" i="9"/>
  <c r="M65" i="9" s="1"/>
  <c r="E4" i="9"/>
  <c r="C4" i="9"/>
  <c r="E49" i="9" a="1"/>
  <c r="E49" i="9" s="1"/>
  <c r="E10" i="9"/>
  <c r="C10" i="9"/>
  <c r="J122" i="1" a="1"/>
  <c r="J122" i="1" s="1"/>
  <c r="K52" i="9"/>
  <c r="M52" i="9" s="1"/>
  <c r="L84" i="9"/>
  <c r="AA5" i="9" s="1"/>
  <c r="B2" i="20" s="1"/>
  <c r="K59" i="9"/>
  <c r="M59" i="9" s="1"/>
  <c r="Z24" i="9"/>
  <c r="AB24" i="9" s="1"/>
  <c r="C21" i="20" s="1"/>
  <c r="K66" i="9"/>
  <c r="M66" i="9" s="1"/>
  <c r="J84" i="9"/>
  <c r="Y5" i="9" s="1" a="1"/>
  <c r="Y5" i="9" s="1"/>
  <c r="K67" i="9"/>
  <c r="M67" i="9" s="1"/>
  <c r="A2" i="20"/>
  <c r="A2" i="21"/>
  <c r="B2" i="21" s="1"/>
  <c r="H84" i="9"/>
  <c r="W5" i="9" s="1" a="1"/>
  <c r="W5" i="9" s="1"/>
  <c r="K64" i="9"/>
  <c r="M64" i="9" s="1"/>
  <c r="C5" i="9"/>
  <c r="E5" i="9"/>
  <c r="K51" i="9"/>
  <c r="M51" i="9" s="1"/>
  <c r="G84" i="9"/>
  <c r="V5" i="9" s="1" a="1"/>
  <c r="V5" i="9" s="1"/>
  <c r="C8" i="9"/>
  <c r="E8" i="9"/>
  <c r="H49" i="9" a="1"/>
  <c r="H49" i="9" s="1"/>
  <c r="D49" i="9" a="1"/>
  <c r="D49" i="9" s="1"/>
  <c r="J49" i="9" a="1"/>
  <c r="J49" i="9" s="1"/>
  <c r="B2" i="9"/>
  <c r="L49" i="9"/>
  <c r="G49" i="9" a="1"/>
  <c r="G49" i="9" s="1"/>
  <c r="C14" i="19" a="1"/>
  <c r="C14" i="19" s="1"/>
  <c r="E84" i="9"/>
  <c r="T5" i="9" s="1" a="1"/>
  <c r="T5" i="9" s="1"/>
  <c r="D12" i="19" s="1" a="1"/>
  <c r="D12" i="19" s="1"/>
  <c r="D84" i="9"/>
  <c r="S5" i="9" s="1" a="1"/>
  <c r="S5" i="9" s="1"/>
  <c r="D10" i="19" s="1" a="1"/>
  <c r="D10" i="19" s="1"/>
  <c r="F49" i="9" a="1"/>
  <c r="F49" i="9" s="1"/>
  <c r="I49" i="9" a="1"/>
  <c r="I49" i="9" s="1"/>
  <c r="F84" i="9"/>
  <c r="U5" i="9" s="1" a="1"/>
  <c r="U5" i="9" s="1"/>
  <c r="D14" i="19" s="1" a="1"/>
  <c r="D14" i="19" s="1"/>
  <c r="C49" i="9" a="1"/>
  <c r="C49" i="9" s="1"/>
  <c r="C84" i="9"/>
  <c r="R5" i="9" s="1" a="1"/>
  <c r="R5" i="9" s="1"/>
  <c r="D8" i="19" s="1" a="1"/>
  <c r="D8" i="19" s="1"/>
  <c r="C12" i="19" a="1"/>
  <c r="C12" i="19" s="1"/>
  <c r="C11" i="9"/>
  <c r="E11" i="9"/>
  <c r="C7" i="9"/>
  <c r="E7" i="9" a="1"/>
  <c r="E7" i="9" s="1"/>
  <c r="C6" i="9"/>
  <c r="E6" i="9"/>
  <c r="Z13" i="9"/>
  <c r="AB13" i="9" s="1"/>
  <c r="C10" i="20" s="1"/>
  <c r="C9" i="9"/>
  <c r="E9" i="9"/>
  <c r="C16" i="9"/>
  <c r="E16" i="9"/>
  <c r="C18" i="9"/>
  <c r="E18" i="9"/>
  <c r="E3" i="9"/>
  <c r="C3" i="9"/>
  <c r="K88" i="9"/>
  <c r="M88" i="9" s="1"/>
  <c r="E12" i="9"/>
  <c r="C12" i="9"/>
  <c r="E15" i="9"/>
  <c r="C15" i="9"/>
  <c r="Z9" i="9"/>
  <c r="AB9" i="9" s="1"/>
  <c r="C6" i="20" s="1"/>
  <c r="Z15" i="9"/>
  <c r="AB15" i="9" s="1"/>
  <c r="C12" i="20" s="1"/>
  <c r="Z17" i="9"/>
  <c r="AB17" i="9" s="1"/>
  <c r="C14" i="20" s="1"/>
  <c r="K93" i="9"/>
  <c r="M93" i="9" s="1"/>
  <c r="Z16" i="9"/>
  <c r="AB16" i="9" s="1"/>
  <c r="C13" i="20" s="1"/>
  <c r="Z22" i="9"/>
  <c r="AB22" i="9" s="1"/>
  <c r="C19" i="20" s="1"/>
  <c r="K92" i="9"/>
  <c r="M92" i="9" s="1"/>
  <c r="K85" i="9"/>
  <c r="M85" i="9" s="1"/>
  <c r="Z6" i="9"/>
  <c r="AB6" i="9" s="1"/>
  <c r="C3" i="20" s="1"/>
  <c r="K86" i="9"/>
  <c r="M86" i="9" s="1"/>
  <c r="Z18" i="9"/>
  <c r="AB18" i="9" s="1"/>
  <c r="C15" i="20" s="1"/>
  <c r="K87" i="9"/>
  <c r="M87" i="9" s="1"/>
  <c r="V8" i="9" a="1"/>
  <c r="V8" i="9" s="1"/>
  <c r="Z8" i="9" s="1"/>
  <c r="AB8" i="9" s="1"/>
  <c r="C5" i="20" s="1"/>
  <c r="K95" i="9"/>
  <c r="M95" i="9" s="1"/>
  <c r="K102" i="9"/>
  <c r="M102" i="9" s="1"/>
  <c r="V10" i="9" a="1"/>
  <c r="V10" i="9" s="1"/>
  <c r="Z10" i="9" s="1"/>
  <c r="AB10" i="9" s="1"/>
  <c r="C7" i="20" s="1"/>
  <c r="K89" i="9"/>
  <c r="M89" i="9" s="1"/>
  <c r="Z23" i="9"/>
  <c r="AB23" i="9" s="1"/>
  <c r="C20" i="20" s="1"/>
  <c r="V20" i="9" a="1"/>
  <c r="V20" i="9" s="1"/>
  <c r="Z20" i="9" s="1"/>
  <c r="AB20" i="9" s="1"/>
  <c r="C17" i="20" s="1"/>
  <c r="K99" i="9"/>
  <c r="M99" i="9" s="1"/>
  <c r="Z19" i="9"/>
  <c r="AB19" i="9" s="1"/>
  <c r="C16" i="20" s="1"/>
  <c r="V12" i="9" a="1"/>
  <c r="V12" i="9" s="1"/>
  <c r="Z12" i="9" s="1"/>
  <c r="AB12" i="9" s="1"/>
  <c r="C9" i="20" s="1"/>
  <c r="K91" i="9"/>
  <c r="M91" i="9" s="1"/>
  <c r="K97" i="9"/>
  <c r="M97" i="9" s="1"/>
  <c r="K94" i="9"/>
  <c r="M94" i="9" s="1"/>
  <c r="K98" i="9"/>
  <c r="M98" i="9" s="1"/>
  <c r="V11" i="9" a="1"/>
  <c r="V11" i="9" s="1"/>
  <c r="Z11" i="9" s="1"/>
  <c r="AB11" i="9" s="1"/>
  <c r="C8" i="20" s="1"/>
  <c r="K90" i="9"/>
  <c r="M90" i="9" s="1"/>
  <c r="K101" i="9"/>
  <c r="M101" i="9" s="1"/>
  <c r="K103" i="9"/>
  <c r="M103" i="9" s="1"/>
  <c r="V21" i="9" a="1"/>
  <c r="V21" i="9" s="1"/>
  <c r="Z21" i="9" s="1"/>
  <c r="AB21" i="9" s="1"/>
  <c r="C18" i="20" s="1"/>
  <c r="K100" i="9"/>
  <c r="M100" i="9" s="1"/>
  <c r="K96" i="9"/>
  <c r="M96" i="9" s="1"/>
  <c r="B18" i="20"/>
  <c r="Z7" i="9"/>
  <c r="AB7" i="9" s="1"/>
  <c r="C4" i="20" s="1"/>
  <c r="K50" i="9"/>
  <c r="P7" i="17"/>
  <c r="C9" i="8"/>
  <c r="C14" i="8" s="1"/>
  <c r="C4" i="10" s="1"/>
  <c r="C15" i="10" s="1"/>
  <c r="C17" i="10" s="1"/>
  <c r="F38" i="18"/>
  <c r="F86" i="17"/>
  <c r="K5" i="17"/>
  <c r="K6" i="17" s="1"/>
  <c r="Z5" i="9" l="1"/>
  <c r="AB5" i="9" s="1"/>
  <c r="C2" i="20" s="1"/>
  <c r="E18" i="19" a="1"/>
  <c r="E18" i="19" s="1"/>
  <c r="K84" i="9"/>
  <c r="M84" i="9" s="1"/>
  <c r="E12" i="19"/>
  <c r="K49" i="9"/>
  <c r="M49" i="9" s="1"/>
  <c r="C2" i="9"/>
  <c r="E2" i="9"/>
  <c r="E14" i="19"/>
  <c r="C21" i="9"/>
  <c r="M50" i="9"/>
  <c r="E20" i="19" l="1" a="1"/>
  <c r="E20" i="19" s="1"/>
  <c r="C23" i="9"/>
  <c r="C3" i="10" s="1"/>
  <c r="C11" i="10" s="1"/>
  <c r="C13" i="10" s="1"/>
  <c r="C21" i="10" s="1"/>
  <c r="E16" i="1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<sst xmlns="http://schemas.openxmlformats.org/spreadsheetml/2006/main" count="1021" uniqueCount="260">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</sst>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65"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2">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718727</xdr:colOff>
      <xdr:row>109</xdr:row>
      <xdr:rowOff>87338</xdr:rowOff>
    </xdr:from>
    <xdr:to>
      <xdr:col>15</xdr:col>
      <xdr:colOff>842364</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546965</xdr:colOff>
      <xdr:row>7</xdr:row>
      <xdr:rowOff>43181</xdr:rowOff>
    </xdr:from>
    <xdr:to>
      <xdr:col>13</xdr:col>
      <xdr:colOff>423368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245254</xdr:colOff>
      <xdr:row>12</xdr:row>
      <xdr:rowOff>138748</xdr:rowOff>
    </xdr:from>
    <xdr:to>
      <xdr:col>14</xdr:col>
      <xdr:colOff>559111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455524</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5.957589120371" createdVersion="8" refreshedVersion="8" minRefreshableVersion="3" recordCount="79" xr:uid="{B5BDFB73-D93A-4A7A-8149-666BC190B09B}">
  <cacheSource type="worksheet">
    <worksheetSource name="Table14"/>
  </cacheSource>
  <cacheFields count="7">
    <cacheField name="Date" numFmtId="14">
      <sharedItems containsSemiMixedTypes="0" containsNonDate="0" containsDate="1" containsString="0" minDate="2025-10-17T00:00:00" maxDate="2025-11-25T00:00:00"/>
    </cacheField>
    <cacheField name="Party" numFmtId="0">
      <sharedItems containsBlank="1" count="63">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m u="1"/>
        <s v="Closing September CF" u="1"/>
        <s v="Ishaq" u="1"/>
        <s v="Temp" u="1"/>
        <s v="Sajad khan" u="1"/>
        <s v="Unicolour" u="1"/>
        <s v="copper" u="1"/>
        <s v="sunsuper theka" u="1"/>
        <s v="Dyes" u="1"/>
        <s v="electric bill" u="1"/>
        <s v="Shafique Ansari" u="1"/>
        <s v="Chain Acc" u="1"/>
        <s v="Ubaidullah" u="1"/>
        <s v="Amjad 7up" u="1"/>
        <s v="Hazrat khan" u="1"/>
        <s v="Sufi Nawaz Sahab" u="1"/>
        <s v="Hafiz Qureshi" u="1"/>
        <s v="Faysal Akraam" u="1"/>
        <s v="Raaz Fabric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584716" maxValue="1000000"/>
    </cacheField>
    <cacheField name="Description" numFmtId="0">
      <sharedItems containsDate="1" containsBlank="1" containsMixedTypes="1" minDate="2025-11-19T00:00:00" maxDate="2025-11-25T00:00:00"/>
    </cacheField>
    <cacheField name="Mode" numFmtId="0">
      <sharedItems/>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5.95758969907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35306.32772494515"/>
    </cacheField>
    <cacheField name="Rate" numFmtId="0">
      <sharedItems containsString="0" containsBlank="1" containsNumber="1" minValue="10" maxValue="12"/>
    </cacheField>
    <cacheField name="Total" numFmtId="164">
      <sharedItems containsSemiMixedTypes="0" containsString="0" containsNumber="1" minValue="0" maxValue="1353063.277249451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5.957589930556" createdVersion="8" refreshedVersion="8" minRefreshableVersion="3" recordCount="4" xr:uid="{AC867DCC-CE64-4D1A-827D-F1F3EE10EE4E}">
  <cacheSource type="worksheet">
    <worksheetSource name="Table8"/>
  </cacheSource>
  <cacheFields count="9">
    <cacheField name="Date" numFmtId="14">
      <sharedItems containsSemiMixedTypes="0" containsNonDate="0" containsDate="1" containsString="0" minDate="2025-05-16T00:00:00" maxDate="2025-11-21T00:00:00" count="37">
        <d v="2025-10-17T00:00:00"/>
        <d v="2025-11-18T00:00:00"/>
        <d v="2025-11-20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41950" maxValue="141950"/>
    </cacheField>
    <cacheField name="Party" numFmtId="0">
      <sharedItems containsBlank="1" count="6">
        <s v="Unicolour"/>
        <s v="madina dyes"/>
        <s v="General Dyes"/>
        <m u="1"/>
        <s v="Al madina" u="1"/>
        <s v="-" u="1"/>
      </sharedItems>
    </cacheField>
    <cacheField name="Paid" numFmtId="0">
      <sharedItems containsSemiMixedTypes="0" containsString="0" containsNumber="1" containsInteger="1" minValue="0" maxValue="141950"/>
    </cacheField>
    <cacheField name="Balance" numFmtId="0">
      <sharedItems containsSemiMixedTypes="0" containsString="0" containsNumber="1" containsInteger="1" minValue="0"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5.957590509257" createdVersion="8" refreshedVersion="8" minRefreshableVersion="3" recordCount="11" xr:uid="{3E5C2981-ACF5-44A9-8567-B1D65DB3A8D2}">
  <cacheSource type="worksheet">
    <worksheetSource name="Table3"/>
  </cacheSource>
  <cacheFields count="9">
    <cacheField name="Date" numFmtId="14">
      <sharedItems containsSemiMixedTypes="0" containsNonDate="0" containsDate="1" containsString="0" minDate="2025-05-02T00:00:00" maxDate="2025-11-22T00:00:00" count="111">
        <d v="2025-10-17T00:00:00"/>
        <d v="2025-11-18T00:00:00"/>
        <d v="2025-11-19T00:00:00"/>
        <d v="2025-11-20T00:00:00"/>
        <d v="2025-11-21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56">
        <s v="Closing Balance CF"/>
        <m/>
        <s v="TKL 36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456" maxValue="456"/>
    </cacheField>
    <cacheField name="Rate" numFmtId="164">
      <sharedItems containsString="0" containsBlank="1" containsNumber="1" containsInteger="1" minValue="810" maxValue="810"/>
    </cacheField>
    <cacheField name="Rent" numFmtId="164">
      <sharedItems containsString="0" containsBlank="1" containsNumber="1" containsInteger="1" minValue="80300" maxValue="80300"/>
    </cacheField>
    <cacheField name="Total" numFmtId="164">
      <sharedItems containsSemiMixedTypes="0" containsString="0" containsNumber="1" containsInteger="1" minValue="0" maxValue="36936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5.95759085648" createdVersion="8" refreshedVersion="8" minRefreshableVersion="3" recordCount="6" xr:uid="{376A650C-1F79-4049-BC45-E34989F046B2}">
  <cacheSource type="worksheet">
    <worksheetSource name="Table2"/>
  </cacheSource>
  <cacheFields count="8">
    <cacheField name="Date" numFmtId="14">
      <sharedItems containsSemiMixedTypes="0" containsNonDate="0" containsDate="1" containsString="0" minDate="2025-11-18T00:00:00" maxDate="2025-11-23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50000"/>
    </cacheField>
    <cacheField name="Paid" numFmtId="0">
      <sharedItems containsSemiMixedTypes="0" containsString="0" containsNumber="1" containsInteger="1" minValue="0" maxValue="24000"/>
    </cacheField>
    <cacheField name="Balance" numFmtId="0">
      <sharedItems containsSemiMixedTypes="0" containsString="0" containsNumber="1" containsInteger="1" minValue="-1000" maxValue="50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5.957591087965" createdVersion="8" refreshedVersion="8" minRefreshableVersion="3" recordCount="120" xr:uid="{46CBB50D-3613-4E5B-8212-DD0313DCD05A}">
  <cacheSource type="worksheet">
    <worksheetSource name="Table1"/>
  </cacheSource>
  <cacheFields count="14">
    <cacheField name="Date" numFmtId="14">
      <sharedItems containsSemiMixedTypes="0" containsNonDate="0" containsDate="1" containsString="0" minDate="2025-07-25T00:00:00" maxDate="2025-11-25T00:00:00" count="98">
        <d v="2025-11-18T00:00:00"/>
        <d v="2025-11-19T00:00:00"/>
        <d v="2025-11-20T00:00:00"/>
        <d v="2025-11-21T00:00:00"/>
        <d v="2025-11-22T00:00:00"/>
        <d v="2025-11-24T00:00:00"/>
        <d v="2025-10-17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3T00:00:00" u="1"/>
        <d v="2025-11-04T00:00:00" u="1"/>
        <d v="2025-11-05T00:00:00" u="1"/>
        <d v="2025-11-06T00:00:00" u="1"/>
        <d v="2025-11-07T00:00:00" u="1"/>
        <d v="2025-11-08T00:00:00" u="1"/>
        <d v="2025-11-14T00:00:00" u="1"/>
        <d v="2025-11-15T00:00:00" u="1"/>
        <d v="2025-11-17T00:00:00" u="1"/>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8">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m/>
        <s v="YING" u="1"/>
        <s v="Meow" u="1"/>
        <s v="Umer Sb" u="1"/>
        <s v="-" u="1"/>
        <s v="Sajjad" u="1"/>
        <s v="Haji Ejaz" u="1"/>
      </sharedItems>
    </cacheField>
    <cacheField name="Bill Number" numFmtId="0">
      <sharedItems containsMixedTypes="1" containsNumber="1" containsInteger="1" minValue="604" maxValue="1130" count="513">
        <s v="October Closing CF"/>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985" u="1"/>
        <n v="986" u="1"/>
        <n v="987" u="1"/>
        <n v="988" u="1"/>
        <n v="989" u="1"/>
        <n v="990" u="1"/>
        <n v="991" u="1"/>
        <n v="992" u="1"/>
        <n v="993" u="1"/>
        <n v="994" u="1"/>
        <n v="995" u="1"/>
        <n v="996" u="1"/>
        <n v="997" u="1"/>
        <n v="998" u="1"/>
        <n v="999" u="1"/>
        <n v="1000" u="1"/>
        <n v="1001" u="1"/>
        <n v="1002" u="1"/>
        <n v="1003" u="1"/>
        <n v="1004" u="1"/>
        <n v="1005" u="1"/>
        <n v="1006" u="1"/>
        <n v="1007" u="1"/>
        <n v="1008" u="1"/>
        <n v="1009" u="1"/>
        <n v="1010" u="1"/>
        <n v="1011" u="1"/>
        <n v="1012" u="1"/>
        <n v="1013" u="1"/>
        <n v="1014" u="1"/>
        <n v="1015" u="1"/>
        <n v="1016" u="1"/>
        <n v="1017" u="1"/>
        <n v="1018" u="1"/>
        <n v="1019" u="1"/>
        <n v="1020" u="1"/>
        <n v="1021" u="1"/>
        <n v="1022" u="1"/>
        <n v="1023" u="1"/>
        <n v="1024" u="1"/>
        <n v="1025" u="1"/>
        <n v="1026" u="1"/>
        <n v="1027" u="1"/>
        <n v="1028" u="1"/>
        <n v="1029" u="1"/>
        <n v="1030" u="1"/>
        <n v="1031" u="1"/>
        <n v="1032" u="1"/>
        <n v="1033" u="1"/>
        <n v="1034" u="1"/>
        <n v="1035" u="1"/>
        <n v="1036" u="1"/>
        <n v="1037" u="1"/>
        <n v="1038" u="1"/>
        <n v="1039" u="1"/>
        <n v="1040" u="1"/>
        <n v="1041" u="1"/>
        <n v="1042" u="1"/>
        <n v="1043" u="1"/>
        <n v="1044" u="1"/>
        <n v="1045" u="1"/>
        <n v="1046" u="1"/>
        <n v="1047" u="1"/>
        <n v="1048" u="1"/>
        <n v="1049" u="1"/>
        <n v="1050" u="1"/>
        <n v="1051" u="1"/>
        <n v="1052" u="1"/>
        <n v="1053" u="1"/>
        <n v="1054" u="1"/>
        <n v="1055" u="1"/>
        <n v="1056" u="1"/>
        <n v="1057" u="1"/>
        <n v="1058" u="1"/>
        <n v="1059" u="1"/>
        <n v="1060" u="1"/>
        <n v="1061" u="1"/>
        <n v="1062" u="1"/>
        <n v="1063" u="1"/>
        <n v="1064" u="1"/>
        <n v="1065" u="1"/>
        <n v="1066" u="1"/>
        <n v="1067" u="1"/>
        <n v="1068" u="1"/>
        <n v="1069" u="1"/>
        <n v="1070" u="1"/>
        <n v="1071" u="1"/>
        <n v="1072" u="1"/>
        <n v="1073" u="1"/>
        <n v="1074" u="1"/>
        <n v="1075" u="1"/>
        <n v="1076" u="1"/>
        <n v="1077" u="1"/>
        <n v="1078" u="1"/>
        <n v="1079" u="1"/>
        <n v="1080" u="1"/>
        <n v="1081" u="1"/>
        <n v="1082" u="1"/>
        <n v="1083" u="1"/>
        <n v="1084" u="1"/>
        <n v="1085" u="1"/>
        <n v="1086" u="1"/>
        <n v="1087" u="1"/>
        <n v="1088" u="1"/>
        <n v="1089" u="1"/>
        <n v="1090" u="1"/>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70">
        <m/>
        <n v="1879"/>
        <n v="1867"/>
        <s v="1880+1885"/>
        <n v="1878"/>
        <n v="1897"/>
        <n v="1920"/>
        <n v="1898"/>
        <n v="1875"/>
        <n v="1918"/>
        <n v="1906"/>
        <n v="1873"/>
        <n v="1883"/>
        <n v="1917"/>
        <n v="1900"/>
        <n v="1930"/>
        <n v="1911"/>
        <n v="1887"/>
        <s v="1670+1671"/>
        <n v="1882"/>
        <n v="1890"/>
        <n v="1877"/>
        <n v="1853"/>
        <n v="1889"/>
        <s v="1822+1823"/>
        <n v="1884"/>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8003" maxValue="69241"/>
    </cacheField>
    <cacheField name="Tiyaar/gaz" numFmtId="164">
      <sharedItems containsString="0" containsBlank="1" containsNumber="1" containsInteger="1" minValue="835" maxValue="37340"/>
    </cacheField>
    <cacheField name="shortage %" numFmtId="165">
      <sharedItems containsBlank="1" containsMixedTypes="1" containsNumber="1" minValue="0.41191115321976213"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d v="2025-10-17T00:00:00"/>
    <x v="0"/>
    <m/>
    <n v="455524"/>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72040.051207022683"/>
    <n v="10"/>
    <n v="825246.89100219461"/>
  </r>
  <r>
    <x v="1"/>
    <n v="14893.928310168252"/>
    <n v="10"/>
    <n v="178727.13972201903"/>
  </r>
  <r>
    <x v="2"/>
    <n v="24349.853694220925"/>
    <n v="10"/>
    <n v="292198.24433065113"/>
  </r>
  <r>
    <x v="3"/>
    <n v="0"/>
    <n v="10.5"/>
    <n v="0"/>
  </r>
  <r>
    <x v="4"/>
    <n v="0"/>
    <n v="10"/>
    <n v="0"/>
  </r>
  <r>
    <x v="5"/>
    <n v="135306.32772494515"/>
    <n v="10"/>
    <n v="1353063.2772494515"/>
  </r>
  <r>
    <x v="6"/>
    <n v="23614.667154352599"/>
    <n v="10"/>
    <n v="236146.671543526"/>
  </r>
  <r>
    <x v="7"/>
    <n v="64606.803218727146"/>
    <n v="10"/>
    <n v="646068.0321872714"/>
  </r>
  <r>
    <x v="8"/>
    <n v="0"/>
    <n v="10"/>
    <n v="0"/>
  </r>
  <r>
    <x v="9"/>
    <n v="0"/>
    <n v="12"/>
    <n v="0"/>
  </r>
  <r>
    <x v="10"/>
    <n v="0"/>
    <m/>
    <n v="0"/>
  </r>
  <r>
    <x v="11"/>
    <n v="6258.2297000731533"/>
    <m/>
    <n v="62582.297000731531"/>
  </r>
  <r>
    <x v="12"/>
    <n v="0"/>
    <m/>
    <n v="0"/>
  </r>
  <r>
    <x v="13"/>
    <n v="0"/>
    <m/>
    <n v="0"/>
  </r>
  <r>
    <x v="14"/>
    <n v="0"/>
    <m/>
    <n v="0"/>
  </r>
  <r>
    <x v="15"/>
    <n v="0"/>
    <m/>
    <n v="0"/>
  </r>
  <r>
    <x v="16"/>
    <n v="27720.373079736652"/>
    <m/>
    <n v="332644.4769568397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s v="Dyes"/>
    <m/>
    <m/>
    <m/>
    <x v="0"/>
    <n v="0"/>
    <n v="240125"/>
    <s v="closing CF"/>
  </r>
  <r>
    <x v="0"/>
    <s v="Dyes"/>
    <m/>
    <m/>
    <m/>
    <x v="1"/>
    <n v="0"/>
    <n v="0"/>
    <s v="closing CF"/>
  </r>
  <r>
    <x v="1"/>
    <s v="Dyes"/>
    <m/>
    <m/>
    <m/>
    <x v="2"/>
    <n v="0"/>
    <n v="0"/>
    <s v="closing CF"/>
  </r>
  <r>
    <x v="2"/>
    <s v="Dyes"/>
    <m/>
    <m/>
    <n v="141950"/>
    <x v="1"/>
    <n v="14195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5-11-18T00:00:00"/>
    <x v="0"/>
    <s v="September Closing CF"/>
    <m/>
    <m/>
    <n v="0"/>
    <n v="0"/>
    <n v="0"/>
  </r>
  <r>
    <d v="2025-11-18T00:00:00"/>
    <x v="1"/>
    <s v="September Closing CF"/>
    <m/>
    <m/>
    <n v="0"/>
    <n v="0"/>
    <n v="-1000"/>
  </r>
  <r>
    <d v="2025-11-18T00:00:00"/>
    <x v="2"/>
    <s v="September Closing CF"/>
    <m/>
    <m/>
    <n v="0"/>
    <n v="0"/>
    <n v="0"/>
  </r>
  <r>
    <d v="2025-11-19T00:00:00"/>
    <x v="0"/>
    <s v="SM"/>
    <m/>
    <m/>
    <n v="24000"/>
    <n v="24000"/>
    <n v="0"/>
  </r>
  <r>
    <d v="2025-11-20T00:00:00"/>
    <x v="1"/>
    <s v="SM"/>
    <m/>
    <m/>
    <n v="19000"/>
    <n v="0"/>
    <n v="19000"/>
  </r>
  <r>
    <d v="2025-11-22T00:00:00"/>
    <x v="1"/>
    <s v="PVA"/>
    <m/>
    <m/>
    <n v="50000"/>
    <n v="0"/>
    <n v="5000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s v="Chamki"/>
    <x v="0"/>
    <m/>
    <m/>
    <e v="#DIV/0!"/>
    <n v="1895402.3408924653"/>
    <n v="18954023.408924658"/>
    <m/>
  </r>
  <r>
    <x v="0"/>
    <x v="1"/>
    <x v="0"/>
    <s v="Chamki"/>
    <x v="0"/>
    <m/>
    <m/>
    <e v="#DIV/0!"/>
    <n v="148145.57425018289"/>
    <n v="1481455.7425018288"/>
    <m/>
  </r>
  <r>
    <x v="0"/>
    <x v="2"/>
    <x v="0"/>
    <s v="Chamki"/>
    <x v="0"/>
    <m/>
    <m/>
    <e v="#DIV/0!"/>
    <n v="392581.38258961233"/>
    <n v="3925813.8258961234"/>
    <m/>
  </r>
  <r>
    <x v="0"/>
    <x v="3"/>
    <x v="0"/>
    <s v="Chamki"/>
    <x v="0"/>
    <m/>
    <m/>
    <e v="#DIV/0!"/>
    <n v="123086.13752743235"/>
    <n v="1269270.3440380397"/>
    <m/>
  </r>
  <r>
    <x v="0"/>
    <x v="4"/>
    <x v="0"/>
    <s v="Chamki"/>
    <x v="0"/>
    <m/>
    <m/>
    <e v="#DIV/0!"/>
    <n v="599330.65106071695"/>
    <n v="5408917.8595464528"/>
    <m/>
  </r>
  <r>
    <x v="0"/>
    <x v="5"/>
    <x v="0"/>
    <s v="Chamki"/>
    <x v="0"/>
    <m/>
    <m/>
    <e v="#DIV/0!"/>
    <n v="547436.90563277248"/>
    <n v="5474369.0563277248"/>
    <m/>
  </r>
  <r>
    <x v="0"/>
    <x v="6"/>
    <x v="0"/>
    <s v="Chamki"/>
    <x v="0"/>
    <m/>
    <m/>
    <e v="#DIV/0!"/>
    <n v="92278.712509144127"/>
    <n v="922787.12509144121"/>
    <m/>
  </r>
  <r>
    <x v="0"/>
    <x v="7"/>
    <x v="0"/>
    <s v="Chamki"/>
    <x v="0"/>
    <m/>
    <m/>
    <e v="#DIV/0!"/>
    <n v="161808.70519385519"/>
    <n v="1618087.0519385519"/>
    <m/>
  </r>
  <r>
    <x v="0"/>
    <x v="8"/>
    <x v="0"/>
    <s v="Chamki"/>
    <x v="0"/>
    <m/>
    <m/>
    <e v="#DIV/0!"/>
    <n v="46132.955376737387"/>
    <n v="461329.5537673739"/>
    <m/>
  </r>
  <r>
    <x v="0"/>
    <x v="9"/>
    <x v="0"/>
    <s v="Crinkle"/>
    <x v="0"/>
    <m/>
    <m/>
    <e v="#DIV/0!"/>
    <n v="21310.35113386979"/>
    <n v="255724.21360643749"/>
    <m/>
  </r>
  <r>
    <x v="0"/>
    <x v="10"/>
    <x v="0"/>
    <s v="Chamki"/>
    <x v="0"/>
    <m/>
    <m/>
    <e v="#DIV/0!"/>
    <n v="121151.24359912217"/>
    <n v="1211512.4359912218"/>
    <m/>
  </r>
  <r>
    <x v="0"/>
    <x v="11"/>
    <x v="0"/>
    <s v="Chamki"/>
    <x v="0"/>
    <m/>
    <m/>
    <e v="#DIV/0!"/>
    <n v="341790.4169714704"/>
    <n v="3417904.1697147042"/>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47437.820043891741"/>
    <n v="474378.20043891744"/>
    <m/>
  </r>
  <r>
    <x v="0"/>
    <x v="16"/>
    <x v="0"/>
    <s v="Chamki"/>
    <x v="0"/>
    <m/>
    <m/>
    <e v="#DIV/0!"/>
    <n v="0"/>
    <n v="0"/>
    <m/>
  </r>
  <r>
    <x v="0"/>
    <x v="17"/>
    <x v="0"/>
    <s v="Chamki"/>
    <x v="0"/>
    <m/>
    <m/>
    <e v="#DIV/0!"/>
    <n v="64300.475493782011"/>
    <n v="643004.75493782014"/>
    <m/>
  </r>
  <r>
    <x v="0"/>
    <x v="18"/>
    <x v="0"/>
    <s v="Chamki"/>
    <x v="0"/>
    <m/>
    <m/>
    <e v="#DIV/0!"/>
    <n v="43834.125822970011"/>
    <n v="552414.04535479157"/>
    <m/>
  </r>
  <r>
    <x v="0"/>
    <x v="19"/>
    <x v="0"/>
    <s v="Chamki"/>
    <x v="0"/>
    <m/>
    <m/>
    <e v="#DIV/0!"/>
    <n v="0"/>
    <n v="0"/>
    <m/>
  </r>
  <r>
    <x v="0"/>
    <x v="0"/>
    <x v="0"/>
    <s v="Silky"/>
    <x v="0"/>
    <m/>
    <m/>
    <e v="#DIV/0!"/>
    <n v="121247.2567666423"/>
    <n v="1487858.4491587421"/>
    <m/>
  </r>
  <r>
    <x v="0"/>
    <x v="1"/>
    <x v="0"/>
    <s v="Silky"/>
    <x v="0"/>
    <m/>
    <m/>
    <e v="#DIV/0!"/>
    <n v="105915.32553035846"/>
    <n v="1317755.1207022679"/>
    <m/>
  </r>
  <r>
    <x v="0"/>
    <x v="2"/>
    <x v="0"/>
    <s v="Silky"/>
    <x v="0"/>
    <m/>
    <m/>
    <e v="#DIV/0!"/>
    <n v="14794.257498171179"/>
    <n v="177531.08997805414"/>
    <m/>
  </r>
  <r>
    <x v="0"/>
    <x v="3"/>
    <x v="0"/>
    <s v="Silky"/>
    <x v="0"/>
    <m/>
    <m/>
    <e v="#DIV/0!"/>
    <n v="0"/>
    <n v="0"/>
    <m/>
  </r>
  <r>
    <x v="0"/>
    <x v="4"/>
    <x v="0"/>
    <s v="Silky"/>
    <x v="0"/>
    <m/>
    <m/>
    <e v="#DIV/0!"/>
    <n v="485823.88441843458"/>
    <n v="5829886.6130212145"/>
    <m/>
  </r>
  <r>
    <x v="0"/>
    <x v="5"/>
    <x v="0"/>
    <s v="Silky"/>
    <x v="0"/>
    <m/>
    <m/>
    <e v="#DIV/0!"/>
    <n v="0"/>
    <n v="0"/>
    <m/>
  </r>
  <r>
    <x v="0"/>
    <x v="6"/>
    <x v="0"/>
    <s v="Silky"/>
    <x v="0"/>
    <m/>
    <m/>
    <e v="#DIV/0!"/>
    <n v="0"/>
    <n v="0"/>
    <m/>
  </r>
  <r>
    <x v="0"/>
    <x v="7"/>
    <x v="0"/>
    <s v="Silky"/>
    <x v="0"/>
    <m/>
    <m/>
    <e v="#DIV/0!"/>
    <n v="25188.368690563279"/>
    <n v="327448.79297732259"/>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9232.809070958303"/>
    <n v="120026.51792245793"/>
    <m/>
  </r>
  <r>
    <x v="0"/>
    <x v="16"/>
    <x v="0"/>
    <s v="Silky"/>
    <x v="0"/>
    <m/>
    <m/>
    <m/>
    <n v="200198.42721287493"/>
    <n v="2602579.5537673743"/>
    <m/>
  </r>
  <r>
    <x v="0"/>
    <x v="17"/>
    <x v="0"/>
    <s v="Silky"/>
    <x v="0"/>
    <m/>
    <m/>
    <m/>
    <n v="7565.8376005852242"/>
    <n v="98355.888807607917"/>
    <m/>
  </r>
  <r>
    <x v="0"/>
    <x v="18"/>
    <x v="0"/>
    <s v="Silky"/>
    <x v="0"/>
    <m/>
    <m/>
    <m/>
    <n v="43834.125822970011"/>
    <n v="569843.63569861022"/>
    <m/>
  </r>
  <r>
    <x v="0"/>
    <x v="19"/>
    <x v="0"/>
    <s v="Silky"/>
    <x v="0"/>
    <m/>
    <m/>
    <m/>
    <n v="0"/>
    <n v="0"/>
    <m/>
  </r>
  <r>
    <x v="0"/>
    <x v="0"/>
    <x v="0"/>
    <s v="Slub"/>
    <x v="0"/>
    <m/>
    <m/>
    <m/>
    <m/>
    <n v="0"/>
    <m/>
  </r>
  <r>
    <x v="0"/>
    <x v="1"/>
    <x v="0"/>
    <s v="Slub"/>
    <x v="0"/>
    <m/>
    <m/>
    <m/>
    <m/>
    <n v="0"/>
    <m/>
  </r>
  <r>
    <x v="0"/>
    <x v="2"/>
    <x v="0"/>
    <s v="Slub"/>
    <x v="0"/>
    <m/>
    <m/>
    <m/>
    <m/>
    <n v="0"/>
    <m/>
  </r>
  <r>
    <x v="0"/>
    <x v="3"/>
    <x v="0"/>
    <s v="Slub"/>
    <x v="0"/>
    <m/>
    <m/>
    <m/>
    <m/>
    <n v="0"/>
    <m/>
  </r>
  <r>
    <x v="0"/>
    <x v="4"/>
    <x v="0"/>
    <s v="Slub"/>
    <x v="0"/>
    <m/>
    <m/>
    <e v="#DIV/0!"/>
    <m/>
    <n v="0"/>
    <m/>
  </r>
  <r>
    <x v="0"/>
    <x v="5"/>
    <x v="0"/>
    <s v="Slub"/>
    <x v="0"/>
    <m/>
    <m/>
    <e v="#DIV/0!"/>
    <m/>
    <n v="71359.729334308722"/>
    <m/>
  </r>
  <r>
    <x v="0"/>
    <x v="6"/>
    <x v="0"/>
    <s v="Slub"/>
    <x v="0"/>
    <m/>
    <m/>
    <e v="#DIV/0!"/>
    <m/>
    <n v="0"/>
    <m/>
  </r>
  <r>
    <x v="0"/>
    <x v="7"/>
    <x v="0"/>
    <s v="Slub"/>
    <x v="0"/>
    <m/>
    <m/>
    <e v="#DIV/0!"/>
    <m/>
    <n v="0"/>
    <m/>
  </r>
  <r>
    <x v="0"/>
    <x v="8"/>
    <x v="0"/>
    <s v="Slub"/>
    <x v="0"/>
    <m/>
    <m/>
    <e v="#DIV/0!"/>
    <m/>
    <n v="0"/>
    <m/>
  </r>
  <r>
    <x v="0"/>
    <x v="9"/>
    <x v="0"/>
    <s v="Slub"/>
    <x v="0"/>
    <m/>
    <m/>
    <e v="#DIV/0!"/>
    <m/>
    <n v="0"/>
    <m/>
  </r>
  <r>
    <x v="0"/>
    <x v="10"/>
    <x v="0"/>
    <s v="Slub"/>
    <x v="0"/>
    <m/>
    <m/>
    <e v="#DIV/0!"/>
    <m/>
    <n v="0"/>
    <m/>
  </r>
  <r>
    <x v="0"/>
    <x v="11"/>
    <x v="0"/>
    <s v="Slub"/>
    <x v="0"/>
    <m/>
    <m/>
    <e v="#DIV/0!"/>
    <m/>
    <n v="0"/>
    <m/>
  </r>
  <r>
    <x v="0"/>
    <x v="12"/>
    <x v="0"/>
    <s v="Slub"/>
    <x v="0"/>
    <m/>
    <m/>
    <e v="#DIV/0!"/>
    <m/>
    <n v="0"/>
    <m/>
  </r>
  <r>
    <x v="0"/>
    <x v="13"/>
    <x v="0"/>
    <s v="Slub"/>
    <x v="0"/>
    <m/>
    <m/>
    <e v="#DIV/0!"/>
    <m/>
    <n v="0"/>
    <m/>
  </r>
  <r>
    <x v="0"/>
    <x v="14"/>
    <x v="0"/>
    <s v="Slub"/>
    <x v="0"/>
    <m/>
    <m/>
    <e v="#DIV/0!"/>
    <m/>
    <n v="0"/>
    <m/>
  </r>
  <r>
    <x v="0"/>
    <x v="15"/>
    <x v="0"/>
    <s v="Slub"/>
    <x v="0"/>
    <m/>
    <m/>
    <e v="#DIV/0!"/>
    <m/>
    <n v="0"/>
    <m/>
  </r>
  <r>
    <x v="0"/>
    <x v="16"/>
    <x v="0"/>
    <s v="Slub"/>
    <x v="0"/>
    <m/>
    <m/>
    <e v="#DIV/0!"/>
    <m/>
    <n v="44550.109729334312"/>
    <m/>
  </r>
  <r>
    <x v="0"/>
    <x v="17"/>
    <x v="0"/>
    <s v="Slub"/>
    <x v="0"/>
    <m/>
    <m/>
    <e v="#DIV/0!"/>
    <m/>
    <n v="0"/>
    <m/>
  </r>
  <r>
    <x v="0"/>
    <x v="18"/>
    <x v="0"/>
    <s v="Slub"/>
    <x v="0"/>
    <m/>
    <m/>
    <e v="#DIV/0!"/>
    <m/>
    <n v="0"/>
    <m/>
  </r>
  <r>
    <x v="0"/>
    <x v="19"/>
    <x v="0"/>
    <s v="Slub"/>
    <x v="0"/>
    <m/>
    <m/>
    <e v="#DIV/0!"/>
    <m/>
    <n v="0"/>
    <m/>
  </r>
  <r>
    <x v="0"/>
    <x v="0"/>
    <x v="0"/>
    <s v="Satin"/>
    <x v="0"/>
    <m/>
    <m/>
    <e v="#DIV/0!"/>
    <m/>
    <n v="0"/>
    <m/>
  </r>
  <r>
    <x v="0"/>
    <x v="1"/>
    <x v="0"/>
    <s v="Satin"/>
    <x v="0"/>
    <m/>
    <m/>
    <e v="#DIV/0!"/>
    <m/>
    <n v="0"/>
    <m/>
  </r>
  <r>
    <x v="0"/>
    <x v="2"/>
    <x v="0"/>
    <s v="Satin"/>
    <x v="0"/>
    <m/>
    <m/>
    <e v="#DIV/0!"/>
    <m/>
    <n v="0"/>
    <m/>
  </r>
  <r>
    <x v="0"/>
    <x v="3"/>
    <x v="0"/>
    <s v="Satin"/>
    <x v="0"/>
    <m/>
    <m/>
    <e v="#DIV/0!"/>
    <m/>
    <n v="0"/>
    <m/>
  </r>
  <r>
    <x v="0"/>
    <x v="4"/>
    <x v="0"/>
    <s v="Satin"/>
    <x v="0"/>
    <m/>
    <m/>
    <e v="#DIV/0!"/>
    <m/>
    <n v="0"/>
    <m/>
  </r>
  <r>
    <x v="0"/>
    <x v="5"/>
    <x v="0"/>
    <s v="Satin"/>
    <x v="0"/>
    <m/>
    <m/>
    <e v="#DIV/0!"/>
    <m/>
    <n v="0"/>
    <m/>
  </r>
  <r>
    <x v="0"/>
    <x v="6"/>
    <x v="0"/>
    <s v="Satin"/>
    <x v="0"/>
    <m/>
    <m/>
    <e v="#DIV/0!"/>
    <m/>
    <n v="0"/>
    <m/>
  </r>
  <r>
    <x v="0"/>
    <x v="7"/>
    <x v="0"/>
    <s v="Satin"/>
    <x v="0"/>
    <m/>
    <m/>
    <e v="#DIV/0!"/>
    <m/>
    <n v="0"/>
    <m/>
  </r>
  <r>
    <x v="0"/>
    <x v="8"/>
    <x v="0"/>
    <s v="Satin"/>
    <x v="0"/>
    <m/>
    <m/>
    <e v="#DIV/0!"/>
    <m/>
    <n v="0"/>
    <m/>
  </r>
  <r>
    <x v="0"/>
    <x v="9"/>
    <x v="0"/>
    <s v="Satin"/>
    <x v="0"/>
    <m/>
    <m/>
    <e v="#DIV/0!"/>
    <m/>
    <n v="0"/>
    <m/>
  </r>
  <r>
    <x v="0"/>
    <x v="10"/>
    <x v="0"/>
    <s v="Satin"/>
    <x v="0"/>
    <m/>
    <m/>
    <e v="#DIV/0!"/>
    <m/>
    <n v="0"/>
    <m/>
  </r>
  <r>
    <x v="0"/>
    <x v="11"/>
    <x v="0"/>
    <s v="Satin"/>
    <x v="0"/>
    <m/>
    <m/>
    <e v="#DIV/0!"/>
    <m/>
    <n v="0"/>
    <m/>
  </r>
  <r>
    <x v="0"/>
    <x v="12"/>
    <x v="0"/>
    <s v="Satin"/>
    <x v="0"/>
    <m/>
    <m/>
    <e v="#DIV/0!"/>
    <m/>
    <n v="0"/>
    <m/>
  </r>
  <r>
    <x v="0"/>
    <x v="13"/>
    <x v="0"/>
    <s v="Satin"/>
    <x v="0"/>
    <m/>
    <m/>
    <e v="#DIV/0!"/>
    <m/>
    <n v="0"/>
    <m/>
  </r>
  <r>
    <x v="0"/>
    <x v="14"/>
    <x v="0"/>
    <s v="Satin"/>
    <x v="0"/>
    <m/>
    <m/>
    <e v="#DIV/0!"/>
    <m/>
    <n v="0"/>
    <m/>
  </r>
  <r>
    <x v="0"/>
    <x v="15"/>
    <x v="0"/>
    <s v="Satin"/>
    <x v="0"/>
    <m/>
    <m/>
    <e v="#DIV/0!"/>
    <m/>
    <n v="0"/>
    <m/>
  </r>
  <r>
    <x v="0"/>
    <x v="16"/>
    <x v="0"/>
    <s v="Satin"/>
    <x v="0"/>
    <m/>
    <m/>
    <e v="#DIV/0!"/>
    <m/>
    <n v="0"/>
    <m/>
  </r>
  <r>
    <x v="0"/>
    <x v="17"/>
    <x v="0"/>
    <s v="Satin"/>
    <x v="0"/>
    <m/>
    <m/>
    <e v="#DIV/0!"/>
    <m/>
    <n v="94656.181419166067"/>
    <m/>
  </r>
  <r>
    <x v="0"/>
    <x v="18"/>
    <x v="0"/>
    <s v="Satin"/>
    <x v="0"/>
    <m/>
    <m/>
    <e v="#DIV/0!"/>
    <m/>
    <n v="0"/>
    <m/>
  </r>
  <r>
    <x v="0"/>
    <x v="19"/>
    <x v="0"/>
    <s v="Satin"/>
    <x v="0"/>
    <m/>
    <m/>
    <e v="#DIV/0!"/>
    <m/>
    <n v="0"/>
    <m/>
  </r>
  <r>
    <x v="0"/>
    <x v="19"/>
    <x v="1"/>
    <s v="Silky"/>
    <x v="1"/>
    <n v="15061"/>
    <n v="8370"/>
    <n v="1.5221542124693741"/>
    <n v="7653.6210680321883"/>
    <n v="99497.073884418453"/>
    <m/>
  </r>
  <r>
    <x v="0"/>
    <x v="1"/>
    <x v="2"/>
    <s v="Silky"/>
    <x v="2"/>
    <n v="15147"/>
    <n v="16288"/>
    <n v="1.6707710426602347"/>
    <n v="14893.928310168252"/>
    <n v="193621.06803218729"/>
    <m/>
  </r>
  <r>
    <x v="0"/>
    <x v="19"/>
    <x v="3"/>
    <s v="Silky"/>
    <x v="1"/>
    <n v="15061"/>
    <n v="7850"/>
    <n v="1.5221542124693741"/>
    <n v="7178.1272860277986"/>
    <n v="93315.654718361387"/>
    <m/>
  </r>
  <r>
    <x v="0"/>
    <x v="19"/>
    <x v="4"/>
    <s v="Silky"/>
    <x v="3"/>
    <n v="17020"/>
    <n v="3280"/>
    <n v="2.6007098667001287"/>
    <n v="2999.268471104609"/>
    <n v="38990.490124359916"/>
    <m/>
  </r>
  <r>
    <x v="0"/>
    <x v="19"/>
    <x v="5"/>
    <s v="Silky"/>
    <x v="3"/>
    <n v="17020"/>
    <n v="2238"/>
    <n v="2.6007098667001287"/>
    <n v="2046.452084857352"/>
    <n v="26603.877103145576"/>
    <m/>
  </r>
  <r>
    <x v="0"/>
    <x v="19"/>
    <x v="6"/>
    <s v="Silky"/>
    <x v="3"/>
    <n v="17020"/>
    <n v="7449"/>
    <n v="2.6007098667001287"/>
    <n v="6811.4484272128757"/>
    <n v="88548.829553767384"/>
    <m/>
  </r>
  <r>
    <x v="0"/>
    <x v="19"/>
    <x v="7"/>
    <s v="Silky"/>
    <x v="3"/>
    <n v="17020"/>
    <n v="5162"/>
    <n v="2.6007098667001287"/>
    <n v="4720.1901975128021"/>
    <n v="61362.472567666424"/>
    <m/>
  </r>
  <r>
    <x v="1"/>
    <x v="2"/>
    <x v="8"/>
    <s v="Silky"/>
    <x v="4"/>
    <n v="25021"/>
    <n v="26629"/>
    <n v="2.6823320641823756"/>
    <n v="24349.853694220925"/>
    <n v="316548.09802487202"/>
    <m/>
  </r>
  <r>
    <x v="1"/>
    <x v="0"/>
    <x v="9"/>
    <s v="Silky"/>
    <x v="5"/>
    <n v="11127"/>
    <n v="11819"/>
    <n v="2.8720677784827728"/>
    <n v="10807.425018288222"/>
    <n v="140496.52523774689"/>
    <m/>
  </r>
  <r>
    <x v="1"/>
    <x v="0"/>
    <x v="10"/>
    <s v="Silky"/>
    <x v="6"/>
    <n v="12000"/>
    <n v="6508"/>
    <n v="1.4645818093147938"/>
    <n v="5950.9875640087785"/>
    <n v="77362.838332114115"/>
    <m/>
  </r>
  <r>
    <x v="1"/>
    <x v="0"/>
    <x v="11"/>
    <s v="Silky"/>
    <x v="7"/>
    <n v="8003"/>
    <n v="5167"/>
    <n v="2.5031852996603874"/>
    <n v="4724.7622531089983"/>
    <n v="61421.909290416981"/>
    <m/>
  </r>
  <r>
    <x v="1"/>
    <x v="0"/>
    <x v="12"/>
    <s v="Silky"/>
    <x v="7"/>
    <n v="8003"/>
    <n v="3366"/>
    <n v="2.5031852996603874"/>
    <n v="3077.9078273591808"/>
    <n v="40012.801755669352"/>
    <m/>
  </r>
  <r>
    <x v="1"/>
    <x v="0"/>
    <x v="13"/>
    <s v="Silky"/>
    <x v="6"/>
    <n v="12000"/>
    <n v="6423"/>
    <n v="1.4645818093147938"/>
    <n v="5873.2626188734457"/>
    <n v="76352.414045354788"/>
    <m/>
  </r>
  <r>
    <x v="1"/>
    <x v="0"/>
    <x v="14"/>
    <s v="Silky"/>
    <x v="8"/>
    <n v="8051"/>
    <n v="8739"/>
    <n v="0.74476746948880646"/>
    <n v="7991.0387710314562"/>
    <n v="103883.50402340892"/>
    <m/>
  </r>
  <r>
    <x v="1"/>
    <x v="0"/>
    <x v="15"/>
    <s v="Silky"/>
    <x v="9"/>
    <n v="24516"/>
    <n v="6876"/>
    <n v="49.639505090684388"/>
    <n v="6287.4908558888083"/>
    <n v="81737.381126554508"/>
    <m/>
  </r>
  <r>
    <x v="2"/>
    <x v="16"/>
    <x v="16"/>
    <s v="Silky"/>
    <x v="10"/>
    <n v="36489"/>
    <n v="27661"/>
    <n v="30.681778154304624"/>
    <n v="25293.52596927579"/>
    <n v="328815.83760058525"/>
    <m/>
  </r>
  <r>
    <x v="2"/>
    <x v="16"/>
    <x v="17"/>
    <s v="Silky"/>
    <x v="11"/>
    <n v="42762"/>
    <n v="835"/>
    <n v="98.2144584337385"/>
    <n v="763.53328456474037"/>
    <n v="9925.9326993416253"/>
    <m/>
  </r>
  <r>
    <x v="2"/>
    <x v="16"/>
    <x v="18"/>
    <s v="Silky"/>
    <x v="12"/>
    <n v="8030"/>
    <n v="1819"/>
    <n v="79.286253724830345"/>
    <n v="1663.313825896123"/>
    <n v="21623.079736649601"/>
    <m/>
  </r>
  <r>
    <x v="2"/>
    <x v="0"/>
    <x v="19"/>
    <s v="Silky"/>
    <x v="9"/>
    <n v="24116"/>
    <n v="6626"/>
    <n v="49.639505090684388"/>
    <n v="6058.8880760790053"/>
    <n v="78765.544989027068"/>
    <m/>
  </r>
  <r>
    <x v="2"/>
    <x v="0"/>
    <x v="20"/>
    <s v="Silky"/>
    <x v="13"/>
    <n v="10009"/>
    <n v="1806"/>
    <n v="83.500584660345552"/>
    <n v="1651.4264813460134"/>
    <n v="21468.544257498175"/>
    <m/>
  </r>
  <r>
    <x v="2"/>
    <x v="20"/>
    <x v="21"/>
    <s v="Chamki"/>
    <x v="14"/>
    <n v="15833"/>
    <n v="16832"/>
    <n v="2.7893137179663796"/>
    <n v="15391.367959034384"/>
    <n v="153913.67959034385"/>
    <m/>
  </r>
  <r>
    <x v="2"/>
    <x v="0"/>
    <x v="22"/>
    <s v="Chamki"/>
    <x v="15"/>
    <n v="19698"/>
    <n v="21453"/>
    <n v="0.41191115321976213"/>
    <n v="19616.861741038774"/>
    <n v="196168.61741038773"/>
    <m/>
  </r>
  <r>
    <x v="3"/>
    <x v="20"/>
    <x v="23"/>
    <s v="Chamki"/>
    <x v="16"/>
    <n v="25728"/>
    <n v="26729"/>
    <n v="5.0011862323350158"/>
    <n v="24441.294806144844"/>
    <n v="244412.94806144843"/>
    <m/>
  </r>
  <r>
    <x v="3"/>
    <x v="5"/>
    <x v="24"/>
    <s v="Chamki"/>
    <x v="17"/>
    <n v="53910"/>
    <n v="19686"/>
    <n v="6.6829120087843137"/>
    <n v="18001.097293343089"/>
    <n v="180010.97293343089"/>
    <m/>
  </r>
  <r>
    <x v="3"/>
    <x v="6"/>
    <x v="25"/>
    <s v="Chamki"/>
    <x v="18"/>
    <n v="24227"/>
    <n v="25825"/>
    <n v="2.5274810981442357"/>
    <n v="23614.667154352599"/>
    <n v="236146.671543526"/>
    <m/>
  </r>
  <r>
    <x v="3"/>
    <x v="7"/>
    <x v="26"/>
    <s v="Chamki"/>
    <x v="19"/>
    <n v="26019"/>
    <n v="4064"/>
    <n v="85.717488033405786"/>
    <n v="3716.1667885881498"/>
    <n v="37161.667885881499"/>
    <m/>
  </r>
  <r>
    <x v="4"/>
    <x v="5"/>
    <x v="27"/>
    <s v="Chamki"/>
    <x v="17"/>
    <n v="53910"/>
    <n v="33096"/>
    <n v="6.6829120087843137"/>
    <n v="30263.350402340897"/>
    <n v="302633.50402340898"/>
    <m/>
  </r>
  <r>
    <x v="4"/>
    <x v="5"/>
    <x v="28"/>
    <s v="Chamki"/>
    <x v="20"/>
    <n v="24030"/>
    <n v="8374"/>
    <n v="2.8052900224390385"/>
    <n v="7657.2787125091445"/>
    <n v="76572.787125091447"/>
    <m/>
  </r>
  <r>
    <x v="4"/>
    <x v="5"/>
    <x v="29"/>
    <s v="Chamki"/>
    <x v="20"/>
    <n v="24030"/>
    <n v="17168"/>
    <n v="2.8052900224390385"/>
    <n v="15698.610095098758"/>
    <n v="156986.10095098757"/>
    <m/>
  </r>
  <r>
    <x v="4"/>
    <x v="5"/>
    <x v="30"/>
    <s v="Chamki"/>
    <x v="21"/>
    <n v="25519"/>
    <n v="27328"/>
    <n v="2.0767778260545811"/>
    <n v="24989.027066569131"/>
    <n v="249890.27066569132"/>
    <m/>
  </r>
  <r>
    <x v="4"/>
    <x v="5"/>
    <x v="31"/>
    <s v="Chamki"/>
    <x v="17"/>
    <n v="53910"/>
    <n v="2234"/>
    <n v="6.6829120087843137"/>
    <n v="2042.7944403803951"/>
    <n v="20427.944403803951"/>
    <m/>
  </r>
  <r>
    <x v="4"/>
    <x v="7"/>
    <x v="32"/>
    <s v="Chamki"/>
    <x v="19"/>
    <n v="26019"/>
    <n v="23535"/>
    <n v="85.717488033405786"/>
    <m/>
    <m/>
    <m/>
  </r>
  <r>
    <x v="4"/>
    <x v="7"/>
    <x v="33"/>
    <s v="Chamki"/>
    <x v="22"/>
    <n v="40243"/>
    <n v="25269"/>
    <s v="NF"/>
    <m/>
    <m/>
    <m/>
  </r>
  <r>
    <x v="4"/>
    <x v="7"/>
    <x v="34"/>
    <s v="Chamki"/>
    <x v="22"/>
    <n v="40243"/>
    <n v="17786"/>
    <s v="NF"/>
    <m/>
    <m/>
    <m/>
  </r>
  <r>
    <x v="5"/>
    <x v="5"/>
    <x v="35"/>
    <s v="Chamki"/>
    <x v="23"/>
    <n v="35271"/>
    <n v="32780"/>
    <s v="NF"/>
    <m/>
    <m/>
    <m/>
  </r>
  <r>
    <x v="5"/>
    <x v="5"/>
    <x v="36"/>
    <s v="Chamki"/>
    <x v="17"/>
    <n v="53910"/>
    <n v="2589"/>
    <n v="6.6829120087843137"/>
    <m/>
    <m/>
    <m/>
  </r>
  <r>
    <x v="5"/>
    <x v="11"/>
    <x v="37"/>
    <s v="Chamki"/>
    <x v="24"/>
    <n v="69241"/>
    <n v="6844"/>
    <s v="NF"/>
    <m/>
    <m/>
    <m/>
  </r>
  <r>
    <x v="5"/>
    <x v="18"/>
    <x v="38"/>
    <s v="Chamki"/>
    <x v="25"/>
    <n v="34783"/>
    <n v="37340"/>
    <s v="NF"/>
    <m/>
    <m/>
    <m/>
  </r>
  <r>
    <x v="5"/>
    <x v="21"/>
    <x v="39"/>
    <m/>
    <x v="0"/>
    <m/>
    <m/>
    <e v="#DIV/0!"/>
    <m/>
    <m/>
    <m/>
  </r>
  <r>
    <x v="5"/>
    <x v="5"/>
    <x v="40"/>
    <s v="Chamki"/>
    <x v="23"/>
    <n v="35271"/>
    <n v="4716"/>
    <s v="NF"/>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53:K160" firstHeaderRow="0" firstDataRow="1" firstDataCol="1"/>
  <pivotFields count="14">
    <pivotField axis="axisRow" numFmtId="14" showAll="0">
      <items count="99">
        <item m="1" x="82"/>
        <item m="1" x="83"/>
        <item m="1" x="84"/>
        <item m="1" x="85"/>
        <item m="1" x="86"/>
        <item m="1" x="87"/>
        <item m="1" x="97"/>
        <item m="1" x="88"/>
        <item m="1" x="89"/>
        <item m="1" x="90"/>
        <item m="1" x="91"/>
        <item m="1" x="92"/>
        <item m="1" x="93"/>
        <item m="1" x="94"/>
        <item m="1" x="95"/>
        <item m="1" x="96"/>
        <item m="1" x="59"/>
        <item m="1" x="58"/>
        <item m="1" x="53"/>
        <item m="1" x="60"/>
        <item m="1" x="61"/>
        <item m="1" x="62"/>
        <item m="1" x="63"/>
        <item m="1" x="64"/>
        <item m="1" x="65"/>
        <item m="1" x="66"/>
        <item m="1" x="67"/>
        <item m="1" x="68"/>
        <item m="1" x="69"/>
        <item m="1" x="70"/>
        <item m="1" x="71"/>
        <item m="1" x="72"/>
        <item m="1" x="73"/>
        <item m="1" x="74"/>
        <item m="1" x="75"/>
        <item m="1" x="76"/>
        <item m="1" x="77"/>
        <item m="1" x="78"/>
        <item m="1" x="79"/>
        <item m="1" x="80"/>
        <item m="1" x="81"/>
        <item m="1" x="31"/>
        <item m="1" x="32"/>
        <item m="1" x="33"/>
        <item m="1" x="34"/>
        <item m="1" x="35"/>
        <item m="1" x="36"/>
        <item m="1" x="37"/>
        <item m="1" x="38"/>
        <item m="1" x="39"/>
        <item m="1" x="40"/>
        <item m="1" x="41"/>
        <item m="1" x="42"/>
        <item m="1" x="43"/>
        <item m="1" x="44"/>
        <item m="1" x="54"/>
        <item m="1" x="45"/>
        <item m="1" x="46"/>
        <item m="1" x="55"/>
        <item m="1" x="47"/>
        <item m="1" x="48"/>
        <item m="1" x="49"/>
        <item m="1" x="56"/>
        <item m="1" x="57"/>
        <item m="1" x="50"/>
        <item m="1" x="51"/>
        <item m="1" x="52"/>
        <item m="1" x="6"/>
        <item m="1" x="7"/>
        <item m="1" x="8"/>
        <item m="1" x="9"/>
        <item m="1" x="10"/>
        <item m="1" x="11"/>
        <item m="1" x="12"/>
        <item m="1" x="13"/>
        <item m="1" x="14"/>
        <item m="1" x="15"/>
        <item m="1" x="16"/>
        <item m="1" x="17"/>
        <item m="1" x="18"/>
        <item m="1" x="19"/>
        <item m="1" x="30"/>
        <item m="1" x="20"/>
        <item m="1" x="21"/>
        <item m="1" x="22"/>
        <item m="1" x="23"/>
        <item m="1" x="24"/>
        <item m="1" x="25"/>
        <item m="1" x="29"/>
        <item m="1" x="26"/>
        <item m="1" x="27"/>
        <item m="1" x="28"/>
        <item x="0"/>
        <item x="1"/>
        <item x="2"/>
        <item x="3"/>
        <item x="4"/>
        <item x="5"/>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7">
    <i>
      <x v="92"/>
    </i>
    <i>
      <x v="93"/>
    </i>
    <i>
      <x v="94"/>
    </i>
    <i>
      <x v="95"/>
    </i>
    <i>
      <x v="96"/>
    </i>
    <i>
      <x v="97"/>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53:G195" firstHeaderRow="0" firstDataRow="1" firstDataCol="1" rowPageCount="3" colPageCount="1"/>
  <pivotFields count="14">
    <pivotField axis="axisPage" showAll="0">
      <items count="99">
        <item m="1" x="82"/>
        <item m="1" x="83"/>
        <item m="1" x="84"/>
        <item m="1" x="85"/>
        <item m="1" x="86"/>
        <item m="1" x="87"/>
        <item m="1" x="97"/>
        <item m="1" x="88"/>
        <item m="1" x="89"/>
        <item m="1" x="90"/>
        <item m="1" x="91"/>
        <item m="1" x="92"/>
        <item m="1" x="93"/>
        <item m="1" x="94"/>
        <item m="1" x="95"/>
        <item m="1" x="96"/>
        <item m="1" x="59"/>
        <item m="1" x="58"/>
        <item m="1" x="53"/>
        <item m="1" x="60"/>
        <item m="1" x="61"/>
        <item m="1" x="62"/>
        <item m="1" x="63"/>
        <item m="1" x="64"/>
        <item m="1" x="65"/>
        <item m="1" x="66"/>
        <item m="1" x="67"/>
        <item m="1" x="68"/>
        <item m="1" x="69"/>
        <item m="1" x="70"/>
        <item m="1" x="71"/>
        <item m="1" x="72"/>
        <item m="1" x="73"/>
        <item m="1" x="74"/>
        <item m="1" x="75"/>
        <item m="1" x="76"/>
        <item m="1" x="77"/>
        <item m="1" x="78"/>
        <item m="1" x="79"/>
        <item m="1" x="80"/>
        <item m="1" x="81"/>
        <item m="1" x="31"/>
        <item m="1" x="32"/>
        <item m="1" x="33"/>
        <item m="1" x="34"/>
        <item m="1" x="35"/>
        <item m="1" x="36"/>
        <item m="1" x="37"/>
        <item m="1" x="38"/>
        <item m="1" x="39"/>
        <item m="1" x="40"/>
        <item m="1" x="41"/>
        <item m="1" x="42"/>
        <item m="1" x="43"/>
        <item m="1" x="44"/>
        <item m="1" x="54"/>
        <item m="1" x="45"/>
        <item m="1" x="46"/>
        <item m="1" x="55"/>
        <item m="1" x="47"/>
        <item m="1" x="48"/>
        <item m="1" x="49"/>
        <item m="1" x="56"/>
        <item m="1" x="57"/>
        <item m="1" x="50"/>
        <item m="1" x="51"/>
        <item m="1" x="52"/>
        <item m="1" x="6"/>
        <item m="1" x="7"/>
        <item m="1" x="8"/>
        <item m="1" x="9"/>
        <item m="1" x="10"/>
        <item m="1" x="11"/>
        <item m="1" x="12"/>
        <item m="1" x="13"/>
        <item m="1" x="14"/>
        <item m="1" x="15"/>
        <item m="1" x="16"/>
        <item m="1" x="17"/>
        <item m="1" x="18"/>
        <item m="1" x="19"/>
        <item m="1" x="30"/>
        <item m="1" x="20"/>
        <item m="1" x="21"/>
        <item m="1" x="22"/>
        <item m="1" x="23"/>
        <item m="1" x="24"/>
        <item m="1" x="25"/>
        <item m="1" x="29"/>
        <item m="1" x="26"/>
        <item m="1" x="27"/>
        <item m="1" x="28"/>
        <item x="0"/>
        <item x="1"/>
        <item x="2"/>
        <item x="3"/>
        <item x="4"/>
        <item x="5"/>
        <item t="default"/>
      </items>
    </pivotField>
    <pivotField axis="axisPage" multipleItemSelectionAllowed="1" showAll="0">
      <items count="29">
        <item x="2"/>
        <item x="0"/>
        <item m="1" x="27"/>
        <item x="6"/>
        <item m="1" x="26"/>
        <item m="1" x="25"/>
        <item m="1" x="24"/>
        <item x="1"/>
        <item x="3"/>
        <item m="1" x="23"/>
        <item x="4"/>
        <item m="1" x="22"/>
        <item x="21"/>
        <item x="5"/>
        <item x="10"/>
        <item x="8"/>
        <item x="9"/>
        <item x="7"/>
        <item x="11"/>
        <item x="12"/>
        <item x="13"/>
        <item x="14"/>
        <item x="15"/>
        <item x="16"/>
        <item x="17"/>
        <item x="18"/>
        <item x="19"/>
        <item x="20"/>
        <item t="default"/>
      </items>
    </pivotField>
    <pivotField axis="axisRow" numFmtId="164" showAll="0">
      <items count="51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403"/>
        <item m="1" x="404"/>
        <item m="1" x="405"/>
        <item m="1" x="406"/>
        <item m="1" x="407"/>
        <item m="1" x="408"/>
        <item m="1" x="409"/>
        <item m="1" x="410"/>
        <item m="1" x="411"/>
        <item m="1" x="412"/>
        <item m="1" x="413"/>
        <item m="1" x="414"/>
        <item m="1" x="415"/>
        <item m="1" x="416"/>
        <item m="1" x="417"/>
        <item m="1" x="418"/>
        <item m="1" x="419"/>
        <item m="1" x="420"/>
        <item m="1" x="449"/>
        <item m="1" x="421"/>
        <item m="1" x="422"/>
        <item m="1" x="423"/>
        <item m="1" x="424"/>
        <item m="1" x="425"/>
        <item m="1" x="426"/>
        <item m="1" x="438"/>
        <item m="1" x="427"/>
        <item m="1" x="428"/>
        <item m="1" x="429"/>
        <item m="1" x="430"/>
        <item m="1" x="431"/>
        <item m="1" x="432"/>
        <item m="1" x="433"/>
        <item m="1" x="434"/>
        <item m="1" x="435"/>
        <item m="1" x="436"/>
        <item m="1" x="437"/>
        <item m="1" x="439"/>
        <item m="1" x="440"/>
        <item m="1" x="441"/>
        <item m="1" x="442"/>
        <item m="1" x="443"/>
        <item m="1" x="444"/>
        <item m="1" x="445"/>
        <item m="1" x="446"/>
        <item m="1" x="447"/>
        <item m="1" x="448"/>
        <item m="1" x="450"/>
        <item m="1" x="451"/>
        <item m="1" x="452"/>
        <item m="1" x="453"/>
        <item m="1" x="454"/>
        <item m="1" x="455"/>
        <item m="1" x="456"/>
        <item m="1" x="457"/>
        <item m="1" x="458"/>
        <item m="1" x="459"/>
        <item m="1" x="460"/>
        <item m="1" x="461"/>
        <item m="1" x="462"/>
        <item m="1" x="463"/>
        <item m="1" x="464"/>
        <item m="1" x="295"/>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296"/>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3"/>
        <item m="1" x="394"/>
        <item m="1" x="395"/>
        <item m="1" x="392"/>
        <item m="1" x="396"/>
        <item m="1" x="397"/>
        <item m="1" x="398"/>
        <item m="1" x="399"/>
        <item m="1" x="400"/>
        <item m="1" x="401"/>
        <item m="1" x="402"/>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x="1"/>
        <item x="2"/>
        <item x="3"/>
        <item x="4"/>
        <item x="5"/>
        <item x="6"/>
        <item x="7"/>
        <item x="8"/>
        <item x="0"/>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axis="axisPage" multipleItemSelectionAllowed="1" showAll="0">
      <items count="271">
        <item m="1" x="224"/>
        <item m="1" x="253"/>
        <item m="1" x="254"/>
        <item m="1" x="262"/>
        <item m="1" x="252"/>
        <item m="1" x="251"/>
        <item m="1" x="255"/>
        <item m="1" x="266"/>
        <item m="1" x="258"/>
        <item m="1" x="259"/>
        <item m="1" x="256"/>
        <item m="1" x="257"/>
        <item m="1" x="267"/>
        <item m="1" x="260"/>
        <item m="1" x="261"/>
        <item m="1" x="264"/>
        <item m="1" x="265"/>
        <item m="1" x="263"/>
        <item m="1" x="219"/>
        <item m="1" x="269"/>
        <item m="1" x="218"/>
        <item m="1" x="268"/>
        <item m="1" x="221"/>
        <item m="1" x="220"/>
        <item m="1" x="222"/>
        <item m="1" x="228"/>
        <item m="1" x="223"/>
        <item m="1" x="225"/>
        <item m="1" x="229"/>
        <item m="1" x="230"/>
        <item m="1" x="249"/>
        <item m="1" x="226"/>
        <item m="1" x="227"/>
        <item m="1" x="189"/>
        <item m="1" x="211"/>
        <item m="1" x="250"/>
        <item m="1" x="231"/>
        <item m="1" x="232"/>
        <item m="1" x="233"/>
        <item m="1" x="234"/>
        <item m="1" x="235"/>
        <item m="1" x="165"/>
        <item m="1" x="236"/>
        <item m="1" x="237"/>
        <item m="1" x="238"/>
        <item m="1" x="239"/>
        <item m="1" x="240"/>
        <item m="1" x="241"/>
        <item m="1" x="242"/>
        <item m="1" x="243"/>
        <item m="1" x="244"/>
        <item m="1" x="245"/>
        <item m="1" x="246"/>
        <item m="1" x="247"/>
        <item m="1" x="248"/>
        <item x="0"/>
        <item m="1" x="164"/>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2"/>
        <item m="1" x="213"/>
        <item m="1" x="214"/>
        <item m="1" x="215"/>
        <item m="1" x="216"/>
        <item m="1" x="217"/>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63"/>
        <item m="1" x="144"/>
        <item m="1" x="145"/>
        <item m="1" x="146"/>
        <item m="1" x="147"/>
        <item m="1" x="148"/>
        <item m="1" x="149"/>
        <item m="1" x="150"/>
        <item m="1" x="151"/>
        <item m="1" x="152"/>
        <item m="1" x="153"/>
        <item m="1" x="154"/>
        <item m="1" x="155"/>
        <item m="1" x="156"/>
        <item m="1" x="157"/>
        <item m="1" x="158"/>
        <item m="1" x="159"/>
        <item m="1" x="160"/>
        <item m="1" x="161"/>
        <item m="1" x="162"/>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x="11"/>
        <item m="1" x="81"/>
        <item x="1"/>
        <item x="2"/>
        <item x="3"/>
        <item x="4"/>
        <item x="5"/>
        <item x="6"/>
        <item x="7"/>
        <item x="8"/>
        <item x="9"/>
        <item x="10"/>
        <item x="12"/>
        <item x="13"/>
        <item x="14"/>
        <item x="15"/>
        <item x="16"/>
        <item x="17"/>
        <item x="18"/>
        <item x="19"/>
        <item x="20"/>
        <item x="21"/>
        <item x="22"/>
        <item x="23"/>
        <item x="24"/>
        <item x="25"/>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42">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9" firstHeaderRow="0" firstDataRow="1" firstDataCol="1" rowPageCount="1" colPageCount="1"/>
  <pivotFields count="9">
    <pivotField axis="axisRow" numFmtId="14" showAll="0">
      <items count="112">
        <item m="1" x="95"/>
        <item m="1" x="96"/>
        <item m="1" x="97"/>
        <item m="1" x="98"/>
        <item m="1" x="99"/>
        <item m="1" x="100"/>
        <item m="1" x="101"/>
        <item m="1" x="110"/>
        <item m="1" x="91"/>
        <item m="1" x="102"/>
        <item m="1" x="103"/>
        <item m="1" x="104"/>
        <item m="1" x="105"/>
        <item m="1" x="106"/>
        <item m="1" x="107"/>
        <item m="1" x="108"/>
        <item m="1" x="62"/>
        <item m="1" x="63"/>
        <item m="1" x="109"/>
        <item m="1" x="64"/>
        <item m="1" x="61"/>
        <item m="1" x="65"/>
        <item m="1" x="67"/>
        <item m="1" x="68"/>
        <item m="1" x="69"/>
        <item m="1" x="71"/>
        <item m="1" x="72"/>
        <item m="1" x="73"/>
        <item m="1" x="66"/>
        <item m="1" x="70"/>
        <item m="1" x="74"/>
        <item m="1" x="75"/>
        <item m="1" x="76"/>
        <item m="1" x="77"/>
        <item m="1" x="60"/>
        <item m="1" x="78"/>
        <item m="1" x="92"/>
        <item m="1" x="93"/>
        <item m="1" x="94"/>
        <item m="1" x="79"/>
        <item m="1" x="80"/>
        <item m="1" x="81"/>
        <item m="1" x="82"/>
        <item m="1" x="83"/>
        <item m="1" x="84"/>
        <item m="1" x="85"/>
        <item m="1" x="86"/>
        <item m="1" x="87"/>
        <item m="1" x="88"/>
        <item m="1" x="89"/>
        <item m="1" x="90"/>
        <item m="1" x="31"/>
        <item m="1" x="32"/>
        <item m="1" x="33"/>
        <item m="1" x="34"/>
        <item m="1" x="35"/>
        <item m="1" x="36"/>
        <item m="1" x="37"/>
        <item m="1" x="38"/>
        <item m="1" x="40"/>
        <item m="1" x="41"/>
        <item m="1" x="42"/>
        <item m="1" x="39"/>
        <item m="1" x="43"/>
        <item m="1" x="44"/>
        <item m="1" x="45"/>
        <item m="1" x="46"/>
        <item m="1" x="47"/>
        <item m="1" x="48"/>
        <item m="1" x="49"/>
        <item m="1" x="50"/>
        <item m="1" x="51"/>
        <item m="1" x="52"/>
        <item m="1" x="53"/>
        <item m="1" x="54"/>
        <item m="1" x="55"/>
        <item m="1" x="56"/>
        <item m="1" x="57"/>
        <item m="1" x="58"/>
        <item m="1" x="59"/>
        <item x="0"/>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x="1"/>
        <item x="4"/>
        <item x="2"/>
        <item x="3"/>
        <item t="default"/>
      </items>
    </pivotField>
    <pivotField axis="axisPage" showAll="0">
      <items count="10">
        <item x="1"/>
        <item x="0"/>
        <item m="1" x="6"/>
        <item m="1" x="8"/>
        <item x="2"/>
        <item x="3"/>
        <item x="4"/>
        <item m="1" x="7"/>
        <item x="5"/>
        <item t="default"/>
      </items>
    </pivotField>
    <pivotField axis="axisRow" showAll="0">
      <items count="57">
        <item m="1" x="46"/>
        <item m="1" x="30"/>
        <item m="1" x="42"/>
        <item m="1" x="12"/>
        <item m="1" x="47"/>
        <item m="1" x="48"/>
        <item m="1" x="43"/>
        <item m="1" x="44"/>
        <item m="1" x="45"/>
        <item m="1" x="23"/>
        <item m="1" x="49"/>
        <item m="1" x="50"/>
        <item m="1" x="51"/>
        <item m="1" x="52"/>
        <item m="1" x="53"/>
        <item m="1" x="54"/>
        <item m="1" x="19"/>
        <item m="1" x="20"/>
        <item m="1" x="55"/>
        <item m="1" x="21"/>
        <item x="0"/>
        <item m="1" x="22"/>
        <item m="1" x="24"/>
        <item m="1" x="25"/>
        <item m="1" x="26"/>
        <item m="1" x="27"/>
        <item m="1" x="28"/>
        <item m="1" x="29"/>
        <item m="1" x="31"/>
        <item m="1" x="32"/>
        <item m="1" x="14"/>
        <item m="1" x="33"/>
        <item m="1" x="34"/>
        <item m="1" x="35"/>
        <item m="1" x="18"/>
        <item m="1" x="36"/>
        <item m="1" x="37"/>
        <item m="1" x="16"/>
        <item m="1" x="38"/>
        <item m="1" x="39"/>
        <item m="1" x="40"/>
        <item m="1" x="41"/>
        <item m="1" x="4"/>
        <item m="1" x="5"/>
        <item m="1" x="6"/>
        <item m="1" x="7"/>
        <item m="1" x="8"/>
        <item m="1" x="9"/>
        <item m="1" x="10"/>
        <item m="1" x="11"/>
        <item m="1" x="13"/>
        <item m="1" x="15"/>
        <item m="1" x="17"/>
        <item m="1" x="3"/>
        <item x="1"/>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1">
    <i>
      <x v="80"/>
    </i>
    <i r="1">
      <x v="20"/>
    </i>
    <i>
      <x v="107"/>
    </i>
    <i r="1">
      <x v="20"/>
    </i>
    <i>
      <x v="108"/>
    </i>
    <i r="1">
      <x v="54"/>
    </i>
    <i>
      <x v="109"/>
    </i>
    <i r="1">
      <x v="54"/>
    </i>
    <i>
      <x v="110"/>
    </i>
    <i r="1">
      <x v="55"/>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6">
      <pivotArea dataOnly="0" labelOnly="1" outline="0" fieldPosition="0">
        <references count="1">
          <reference field="1" count="1">
            <x v="1"/>
          </reference>
        </references>
      </pivotArea>
    </format>
    <format dxfId="8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1" firstHeaderRow="0" firstDataRow="1" firstDataCol="1"/>
  <pivotFields count="7">
    <pivotField numFmtId="14" showAll="0"/>
    <pivotField axis="axisRow" showAll="0">
      <items count="64">
        <item x="13"/>
        <item x="9"/>
        <item x="7"/>
        <item m="1" x="49"/>
        <item m="1" x="53"/>
        <item x="12"/>
        <item x="5"/>
        <item x="25"/>
        <item x="6"/>
        <item x="10"/>
        <item x="8"/>
        <item m="1" x="61"/>
        <item m="1" x="48"/>
        <item x="11"/>
        <item m="1" x="44"/>
        <item m="1" x="59"/>
        <item x="2"/>
        <item m="1" x="30"/>
        <item x="1"/>
        <item x="15"/>
        <item m="1" x="27"/>
        <item m="1" x="31"/>
        <item m="1" x="62"/>
        <item m="1" x="42"/>
        <item m="1" x="43"/>
        <item m="1" x="60"/>
        <item m="1" x="52"/>
        <item m="1" x="32"/>
        <item m="1" x="54"/>
        <item m="1" x="55"/>
        <item m="1" x="56"/>
        <item m="1" x="57"/>
        <item m="1" x="39"/>
        <item m="1" x="58"/>
        <item m="1" x="45"/>
        <item x="26"/>
        <item m="1" x="35"/>
        <item x="17"/>
        <item m="1" x="47"/>
        <item m="1" x="38"/>
        <item x="18"/>
        <item x="3"/>
        <item m="1" x="29"/>
        <item m="1" x="50"/>
        <item x="22"/>
        <item m="1" x="51"/>
        <item m="1" x="28"/>
        <item x="24"/>
        <item x="14"/>
        <item m="1" x="33"/>
        <item m="1" x="34"/>
        <item m="1" x="36"/>
        <item m="1" x="37"/>
        <item m="1" x="40"/>
        <item x="19"/>
        <item x="20"/>
        <item m="1" x="41"/>
        <item m="1" x="46"/>
        <item x="4"/>
        <item x="23"/>
        <item x="0"/>
        <item x="16"/>
        <item x="21"/>
        <item t="default"/>
      </items>
    </pivotField>
    <pivotField dataField="1" showAll="0"/>
    <pivotField dataField="1" showAll="0"/>
    <pivotField showAll="0"/>
    <pivotField showAll="0"/>
    <pivotField showAll="0"/>
  </pivotFields>
  <rowFields count="1">
    <field x="1"/>
  </rowFields>
  <rowItems count="28">
    <i>
      <x/>
    </i>
    <i>
      <x v="1"/>
    </i>
    <i>
      <x v="2"/>
    </i>
    <i>
      <x v="5"/>
    </i>
    <i>
      <x v="6"/>
    </i>
    <i>
      <x v="7"/>
    </i>
    <i>
      <x v="8"/>
    </i>
    <i>
      <x v="9"/>
    </i>
    <i>
      <x v="10"/>
    </i>
    <i>
      <x v="13"/>
    </i>
    <i>
      <x v="16"/>
    </i>
    <i>
      <x v="18"/>
    </i>
    <i>
      <x v="19"/>
    </i>
    <i>
      <x v="35"/>
    </i>
    <i>
      <x v="37"/>
    </i>
    <i>
      <x v="40"/>
    </i>
    <i>
      <x v="41"/>
    </i>
    <i>
      <x v="44"/>
    </i>
    <i>
      <x v="47"/>
    </i>
    <i>
      <x v="48"/>
    </i>
    <i>
      <x v="54"/>
    </i>
    <i>
      <x v="55"/>
    </i>
    <i>
      <x v="58"/>
    </i>
    <i>
      <x v="59"/>
    </i>
    <i>
      <x v="60"/>
    </i>
    <i>
      <x v="61"/>
    </i>
    <i>
      <x v="62"/>
    </i>
    <i t="grand">
      <x/>
    </i>
  </rowItems>
  <colFields count="1">
    <field x="-2"/>
  </colFields>
  <colItems count="2">
    <i>
      <x/>
    </i>
    <i i="1">
      <x v="1"/>
    </i>
  </colItems>
  <dataFields count="2">
    <dataField name="Sum of Credit" fld="3" baseField="0" baseItem="0"/>
    <dataField name="Sum of Debit" fld="2" baseField="0" baseItem="0"/>
  </dataFields>
  <formats count="1">
    <format dxfId="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8">
        <item m="1" x="32"/>
        <item m="1" x="33"/>
        <item m="1" x="34"/>
        <item m="1" x="35"/>
        <item m="1" x="36"/>
        <item m="1" x="31"/>
        <item m="1" x="19"/>
        <item m="1" x="20"/>
        <item m="1" x="24"/>
        <item m="1" x="25"/>
        <item m="1" x="21"/>
        <item m="1" x="26"/>
        <item m="1" x="27"/>
        <item m="1" x="28"/>
        <item m="1" x="29"/>
        <item m="1" x="30"/>
        <item m="1" x="18"/>
        <item m="1" x="22"/>
        <item m="1" x="23"/>
        <item m="1" x="11"/>
        <item m="1" x="12"/>
        <item m="1" x="13"/>
        <item m="1" x="14"/>
        <item m="1" x="15"/>
        <item m="1" x="16"/>
        <item m="1" x="17"/>
        <item x="0"/>
        <item m="1" x="3"/>
        <item m="1" x="4"/>
        <item m="1" x="5"/>
        <item m="1" x="6"/>
        <item m="1" x="7"/>
        <item m="1" x="8"/>
        <item m="1" x="9"/>
        <item m="1" x="10"/>
        <item x="1"/>
        <item x="2"/>
        <item t="default"/>
      </items>
    </pivotField>
    <pivotField showAll="0"/>
    <pivotField showAll="0"/>
    <pivotField showAll="0"/>
    <pivotField dataField="1" showAll="0"/>
    <pivotField axis="axisPage" showAll="0">
      <items count="7">
        <item x="0"/>
        <item m="1" x="3"/>
        <item m="1" x="5"/>
        <item m="1" x="4"/>
        <item x="1"/>
        <item x="2"/>
        <item t="default"/>
      </items>
    </pivotField>
    <pivotField showAll="0"/>
    <pivotField dataField="1" showAll="0"/>
    <pivotField showAll="0"/>
  </pivotFields>
  <rowFields count="1">
    <field x="0"/>
  </rowFields>
  <rowItems count="4">
    <i>
      <x v="26"/>
    </i>
    <i>
      <x v="35"/>
    </i>
    <i>
      <x v="3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0" firstHeaderRow="0" firstDataRow="1" firstDataCol="1" rowPageCount="1" colPageCount="1"/>
  <pivotFields count="14">
    <pivotField showAll="0"/>
    <pivotField axis="axisPage" multipleItemSelectionAllowed="1" showAll="0">
      <items count="29">
        <item m="1" x="25"/>
        <item x="2"/>
        <item x="0"/>
        <item x="1"/>
        <item m="1" x="27"/>
        <item m="1" x="23"/>
        <item x="6"/>
        <item m="1" x="26"/>
        <item x="3"/>
        <item x="4"/>
        <item m="1" x="24"/>
        <item m="1" x="22"/>
        <item x="21"/>
        <item x="5"/>
        <item x="10"/>
        <item x="8"/>
        <item x="9"/>
        <item x="7"/>
        <item x="11"/>
        <item x="12"/>
        <item x="13"/>
        <item x="14"/>
        <item x="15"/>
        <item x="16"/>
        <item x="17"/>
        <item x="18"/>
        <item x="19"/>
        <item x="20"/>
        <item t="default"/>
      </items>
    </pivotField>
    <pivotField showAll="0"/>
    <pivotField showAll="0"/>
    <pivotField axis="axisRow" showAll="0">
      <items count="271">
        <item m="1" x="253"/>
        <item m="1" x="254"/>
        <item m="1" x="252"/>
        <item m="1" x="251"/>
        <item m="1" x="255"/>
        <item m="1" x="257"/>
        <item m="1" x="256"/>
        <item m="1" x="258"/>
        <item m="1" x="259"/>
        <item m="1" x="260"/>
        <item m="1" x="261"/>
        <item m="1" x="262"/>
        <item m="1" x="263"/>
        <item m="1" x="264"/>
        <item m="1" x="189"/>
        <item m="1" x="211"/>
        <item m="1" x="265"/>
        <item m="1" x="266"/>
        <item m="1" x="267"/>
        <item m="1" x="219"/>
        <item m="1" x="218"/>
        <item m="1" x="268"/>
        <item m="1" x="269"/>
        <item m="1" x="228"/>
        <item m="1" x="220"/>
        <item m="1" x="221"/>
        <item m="1" x="222"/>
        <item m="1" x="223"/>
        <item m="1" x="224"/>
        <item m="1" x="225"/>
        <item m="1" x="226"/>
        <item m="1" x="227"/>
        <item m="1" x="229"/>
        <item m="1" x="249"/>
        <item m="1" x="230"/>
        <item m="1" x="250"/>
        <item m="1" x="231"/>
        <item m="1" x="232"/>
        <item m="1" x="233"/>
        <item m="1" x="234"/>
        <item m="1" x="235"/>
        <item m="1" x="165"/>
        <item m="1" x="236"/>
        <item m="1" x="237"/>
        <item m="1" x="238"/>
        <item m="1" x="239"/>
        <item m="1" x="240"/>
        <item m="1" x="241"/>
        <item m="1" x="242"/>
        <item m="1" x="243"/>
        <item m="1" x="244"/>
        <item m="1" x="245"/>
        <item m="1" x="246"/>
        <item m="1" x="247"/>
        <item m="1" x="248"/>
        <item x="0"/>
        <item m="1" x="164"/>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2"/>
        <item m="1" x="213"/>
        <item m="1" x="214"/>
        <item m="1" x="215"/>
        <item m="1" x="216"/>
        <item m="1" x="217"/>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63"/>
        <item m="1" x="144"/>
        <item m="1" x="145"/>
        <item m="1" x="146"/>
        <item m="1" x="147"/>
        <item m="1" x="148"/>
        <item m="1" x="149"/>
        <item m="1" x="150"/>
        <item m="1" x="151"/>
        <item m="1" x="152"/>
        <item m="1" x="153"/>
        <item m="1" x="154"/>
        <item m="1" x="155"/>
        <item m="1" x="156"/>
        <item m="1" x="157"/>
        <item m="1" x="158"/>
        <item m="1" x="159"/>
        <item m="1" x="160"/>
        <item m="1" x="161"/>
        <item m="1" x="162"/>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x="11"/>
        <item m="1" x="81"/>
        <item x="1"/>
        <item x="2"/>
        <item x="3"/>
        <item x="4"/>
        <item x="5"/>
        <item x="6"/>
        <item x="7"/>
        <item x="8"/>
        <item x="9"/>
        <item x="10"/>
        <item x="12"/>
        <item x="13"/>
        <item x="14"/>
        <item x="15"/>
        <item x="16"/>
        <item x="17"/>
        <item x="18"/>
        <item x="19"/>
        <item x="20"/>
        <item x="21"/>
        <item x="22"/>
        <item x="23"/>
        <item x="24"/>
        <item x="25"/>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7">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3">
      <pivotArea type="all" dataOnly="0" outline="0" fieldPosition="0"/>
    </format>
    <format dxfId="22">
      <pivotArea outline="0" collapsedLevelsAreSubtotals="1" fieldPosition="0"/>
    </format>
    <format dxfId="21">
      <pivotArea field="4" type="button" dataOnly="0" labelOnly="1" outline="0" axis="axisRow" fieldPosition="0"/>
    </format>
    <format dxfId="20">
      <pivotArea dataOnly="0" labelOnly="1" fieldPosition="0">
        <references count="1">
          <reference field="4" count="0"/>
        </references>
      </pivotArea>
    </format>
    <format dxfId="19">
      <pivotArea dataOnly="0" labelOnly="1" grandRow="1" outline="0" fieldPosition="0"/>
    </format>
    <format dxfId="18">
      <pivotArea dataOnly="0" labelOnly="1" outline="0" fieldPosition="0">
        <references count="1">
          <reference field="4294967294" count="2">
            <x v="0"/>
            <x v="1"/>
          </reference>
        </references>
      </pivotArea>
    </format>
    <format dxfId="17">
      <pivotArea grandRow="1" outline="0" collapsedLevelsAreSubtotals="1" fieldPosition="0"/>
    </format>
    <format dxfId="16">
      <pivotArea field="4" type="button" dataOnly="0" labelOnly="1" outline="0" axis="axisRow" fieldPosition="0"/>
    </format>
    <format dxfId="1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70">
        <i x="22" s="1"/>
        <i x="2" s="1"/>
        <i x="11" s="1"/>
        <i x="8" s="1"/>
        <i x="21" s="1"/>
        <i x="4" s="1"/>
        <i x="1" s="1"/>
        <i x="19" s="1"/>
        <i x="12" s="1"/>
        <i x="25" s="1"/>
        <i x="17" s="1"/>
        <i x="23" s="1"/>
        <i x="20" s="1"/>
        <i x="5" s="1"/>
        <i x="7" s="1"/>
        <i x="14" s="1"/>
        <i x="10" s="1"/>
        <i x="16" s="1"/>
        <i x="13" s="1"/>
        <i x="9" s="1"/>
        <i x="6" s="1"/>
        <i x="15" s="1"/>
        <i x="18" s="1"/>
        <i x="24" s="1"/>
        <i x="3" s="1"/>
        <i x="224" s="1" nd="1"/>
        <i x="253" s="1" nd="1"/>
        <i x="254" s="1" nd="1"/>
        <i x="262" s="1" nd="1"/>
        <i x="252" s="1" nd="1"/>
        <i x="251" s="1" nd="1"/>
        <i x="255" s="1" nd="1"/>
        <i x="266" s="1" nd="1"/>
        <i x="258" s="1" nd="1"/>
        <i x="259" s="1" nd="1"/>
        <i x="256" s="1" nd="1"/>
        <i x="257" s="1" nd="1"/>
        <i x="267" s="1" nd="1"/>
        <i x="260" s="1" nd="1"/>
        <i x="261" s="1" nd="1"/>
        <i x="264" s="1" nd="1"/>
        <i x="265" s="1" nd="1"/>
        <i x="263" s="1" nd="1"/>
        <i x="219" s="1" nd="1"/>
        <i x="269" s="1" nd="1"/>
        <i x="218" s="1" nd="1"/>
        <i x="268" s="1" nd="1"/>
        <i x="221" s="1" nd="1"/>
        <i x="182" s="1" nd="1"/>
        <i x="220" s="1" nd="1"/>
        <i x="222" s="1" nd="1"/>
        <i x="228" s="1" nd="1"/>
        <i x="223" s="1" nd="1"/>
        <i x="225" s="1" nd="1"/>
        <i x="241" s="1" nd="1"/>
        <i x="164" s="1" nd="1"/>
        <i x="229" s="1" nd="1"/>
        <i x="169" s="1" nd="1"/>
        <i x="235" s="1" nd="1"/>
        <i x="230" s="1" nd="1"/>
        <i x="233" s="1" nd="1"/>
        <i x="238" s="1" nd="1"/>
        <i x="249" s="1" nd="1"/>
        <i x="231" s="1" nd="1"/>
        <i x="243" s="1" nd="1"/>
        <i x="246" s="1" nd="1"/>
        <i x="237" s="1" nd="1"/>
        <i x="226" s="1" nd="1"/>
        <i x="234" s="1" nd="1"/>
        <i x="227" s="1" nd="1"/>
        <i x="232" s="1" nd="1"/>
        <i x="165" s="1" nd="1"/>
        <i x="236" s="1" nd="1"/>
        <i x="242" s="1" nd="1"/>
        <i x="179" s="1" nd="1"/>
        <i x="239" s="1" nd="1"/>
        <i x="244" s="1" nd="1"/>
        <i x="240" s="1" nd="1"/>
        <i x="206" s="1" nd="1"/>
        <i x="245" s="1" nd="1"/>
        <i x="247" s="1" nd="1"/>
        <i x="167" s="1" nd="1"/>
        <i x="174" s="1" nd="1"/>
        <i x="248" s="1" nd="1"/>
        <i x="171" s="1" nd="1"/>
        <i x="172" s="1" nd="1"/>
        <i x="166" s="1" nd="1"/>
        <i x="170" s="1" nd="1"/>
        <i x="57" s="1" nd="1"/>
        <i x="168" s="1" nd="1"/>
        <i x="177" s="1" nd="1"/>
        <i x="173" s="1" nd="1"/>
        <i x="175" s="1" nd="1"/>
        <i x="178" s="1" nd="1"/>
        <i x="186" s="1" nd="1"/>
        <i x="176" s="1" nd="1"/>
        <i x="185" s="1" nd="1"/>
        <i x="190" s="1" nd="1"/>
        <i x="184" s="1" nd="1"/>
        <i x="187" s="1" nd="1"/>
        <i x="197" s="1" nd="1"/>
        <i x="183" s="1" nd="1"/>
        <i x="180" s="1" nd="1"/>
        <i x="181" s="1" nd="1"/>
        <i x="196" s="1" nd="1"/>
        <i x="53" s="1" nd="1"/>
        <i x="189" s="1" nd="1"/>
        <i x="200" s="1" nd="1"/>
        <i x="195" s="1" nd="1"/>
        <i x="188" s="1" nd="1"/>
        <i x="212" s="1" nd="1"/>
        <i x="193" s="1" nd="1"/>
        <i x="203" s="1" nd="1"/>
        <i x="201" s="1" nd="1"/>
        <i x="191" s="1" nd="1"/>
        <i x="199" s="1" nd="1"/>
        <i x="198" s="1" nd="1"/>
        <i x="194" s="1" nd="1"/>
        <i x="204" s="1" nd="1"/>
        <i x="202" s="1" nd="1"/>
        <i x="205" s="1" nd="1"/>
        <i x="192" s="1" nd="1"/>
        <i x="133" s="1" nd="1"/>
        <i x="207" s="1" nd="1"/>
        <i x="208" s="1" nd="1"/>
        <i x="91" s="1" nd="1"/>
        <i x="93" s="1" nd="1"/>
        <i x="215" s="1" nd="1"/>
        <i x="87" s="1" nd="1"/>
        <i x="134" s="1" nd="1"/>
        <i x="209" s="1" nd="1"/>
        <i x="210" s="1" nd="1"/>
        <i x="90" s="1" nd="1"/>
        <i x="217" s="1" nd="1"/>
        <i x="89" s="1" nd="1"/>
        <i x="104" s="1" nd="1"/>
        <i x="216" s="1" nd="1"/>
        <i x="211" s="1" nd="1"/>
        <i x="108" s="1" nd="1"/>
        <i x="214" s="1" nd="1"/>
        <i x="213" s="1" nd="1"/>
        <i x="129" s="1" nd="1"/>
        <i x="82" s="1" nd="1"/>
        <i x="94" s="1" nd="1"/>
        <i x="130" s="1" nd="1"/>
        <i x="128" s="1" nd="1"/>
        <i x="86" s="1" nd="1"/>
        <i x="88" s="1" nd="1"/>
        <i x="92" s="1" nd="1"/>
        <i x="83" s="1" nd="1"/>
        <i x="118" s="1" nd="1"/>
        <i x="123" s="1" nd="1"/>
        <i x="84" s="1" nd="1"/>
        <i x="85" s="1" nd="1"/>
        <i x="95" s="1" nd="1"/>
        <i x="98" s="1" nd="1"/>
        <i x="105" s="1" nd="1"/>
        <i x="97" s="1" nd="1"/>
        <i x="100" s="1" nd="1"/>
        <i x="99" s="1" nd="1"/>
        <i x="142" s="1" nd="1"/>
        <i x="96" s="1" nd="1"/>
        <i x="121" s="1" nd="1"/>
        <i x="137" s="1" nd="1"/>
        <i x="101" s="1" nd="1"/>
        <i x="126" s="1" nd="1"/>
        <i x="139" s="1" nd="1"/>
        <i x="110" s="1" nd="1"/>
        <i x="151" s="1" nd="1"/>
        <i x="109" s="1" nd="1"/>
        <i x="106" s="1" nd="1"/>
        <i x="102" s="1" nd="1"/>
        <i x="103" s="1" nd="1"/>
        <i x="122" s="1" nd="1"/>
        <i x="111" s="1" nd="1"/>
        <i x="34" s="1" nd="1"/>
        <i x="112" s="1" nd="1"/>
        <i x="107" s="1" nd="1"/>
        <i x="114" s="1" nd="1"/>
        <i x="115" s="1" nd="1"/>
        <i x="144" s="1" nd="1"/>
        <i x="113" s="1" nd="1"/>
        <i x="131" s="1" nd="1"/>
        <i x="119" s="1" nd="1"/>
        <i x="116" s="1" nd="1"/>
        <i x="120" s="1" nd="1"/>
        <i x="117" s="1" nd="1"/>
        <i x="124" s="1" nd="1"/>
        <i x="143" s="1" nd="1"/>
        <i x="138" s="1" nd="1"/>
        <i x="157" s="1" nd="1"/>
        <i x="125" s="1" nd="1"/>
        <i x="27" s="1" nd="1"/>
        <i x="136" s="1" nd="1"/>
        <i x="127" s="1" nd="1"/>
        <i x="152" s="1" nd="1"/>
        <i x="135" s="1" nd="1"/>
        <i x="150" s="1" nd="1"/>
        <i x="35" s="1" nd="1"/>
        <i x="141" s="1" nd="1"/>
        <i x="140" s="1" nd="1"/>
        <i x="156" s="1" nd="1"/>
        <i x="153" s="1" nd="1"/>
        <i x="46" s="1" nd="1"/>
        <i x="161" s="1" nd="1"/>
        <i x="145" s="1" nd="1"/>
        <i x="154" s="1" nd="1"/>
        <i x="159" s="1" nd="1"/>
        <i x="37" s="1" nd="1"/>
        <i x="63" s="1" nd="1"/>
        <i x="163" s="1" nd="1"/>
        <i x="160" s="1" nd="1"/>
        <i x="28" s="1" nd="1"/>
        <i x="48" s="1" nd="1"/>
        <i x="155" s="1" nd="1"/>
        <i x="30" s="1" nd="1"/>
        <i x="146" s="1" nd="1"/>
        <i x="149" s="1" nd="1"/>
        <i x="45" s="1" nd="1"/>
        <i x="158" s="1" nd="1"/>
        <i x="147" s="1" nd="1"/>
        <i x="148" s="1" nd="1"/>
        <i x="32" s="1" nd="1"/>
        <i x="50" s="1" nd="1"/>
        <i x="51" s="1" nd="1"/>
        <i x="64" s="1" nd="1"/>
        <i x="162" s="1" nd="1"/>
        <i x="26" s="1" nd="1"/>
        <i x="49" s="1" nd="1"/>
        <i x="42" s="1" nd="1"/>
        <i x="29" s="1" nd="1"/>
        <i x="33" s="1" nd="1"/>
        <i x="39" s="1" nd="1"/>
        <i x="31" s="1" nd="1"/>
        <i x="55" s="1" nd="1"/>
        <i x="59" s="1" nd="1"/>
        <i x="60" s="1" nd="1"/>
        <i x="52" s="1" nd="1"/>
        <i x="36" s="1" nd="1"/>
        <i x="38" s="1" nd="1"/>
        <i x="40" s="1" nd="1"/>
        <i x="43" s="1" nd="1"/>
        <i x="56" s="1" nd="1"/>
        <i x="41" s="1" nd="1"/>
        <i x="62" s="1" nd="1"/>
        <i x="77" s="1" nd="1"/>
        <i x="44" s="1" nd="1"/>
        <i x="65" s="1" nd="1"/>
        <i x="61" s="1" nd="1"/>
        <i x="47" s="1" nd="1"/>
        <i x="69" s="1" nd="1"/>
        <i x="54" s="1" nd="1"/>
        <i x="78" s="1" nd="1"/>
        <i x="58" s="1" nd="1"/>
        <i x="81" s="1" nd="1"/>
        <i x="68" s="1" nd="1"/>
        <i x="73" s="1" nd="1"/>
        <i x="70" s="1" nd="1"/>
        <i x="72" s="1" nd="1"/>
        <i x="67" s="1" nd="1"/>
        <i x="66" s="1" nd="1"/>
        <i x="71" s="1" nd="1"/>
        <i x="79" s="1" nd="1"/>
        <i x="75" s="1" nd="1"/>
        <i x="74" s="1" nd="1"/>
        <i x="80" s="1" nd="1"/>
        <i x="76" s="1" nd="1"/>
        <i x="132" s="1" nd="1"/>
        <i x="25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22" totalsRowCount="1" headerRowDxfId="106" dataDxfId="105" headerRowCellStyle="Comma" dataCellStyle="Comma">
  <autoFilter ref="A1:K121" xr:uid="{11DACEC6-751B-4B1D-817F-5C5BCD38EF6D}"/>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99" dataCellStyle="Comma"/>
    <tableColumn id="6" xr3:uid="{F4E1FD2B-9017-4DEB-B772-BF447ECE56F7}" name="Kora/metre" dataDxfId="98" totalsRowDxfId="97" dataCellStyle="Comma"/>
    <tableColumn id="7" xr3:uid="{52ACC1DA-7A76-4A90-B809-3A1AE728E7EA}" name="Tiyaar/gaz" dataDxfId="96" totalsRowDxfId="95" dataCellStyle="Comma"/>
    <tableColumn id="8" xr3:uid="{31A0FF5E-56F0-44D1-9865-73256B964660}" name="shortage %" dataDxfId="94" totalsRowDxfId="93" dataCellStyle="Comma">
      <calculatedColumnFormula>_xlfn.XLOOKUP(Table1[[#This Row],[Shipment Number]], 'pivot '!A:A,'pivot '!G:G, "NF")</calculatedColumnFormula>
    </tableColumn>
    <tableColumn id="9" xr3:uid="{F99075E0-AC8E-094D-BB85-272AD2C6C568}" name="tiyar/meters" totalsRowFunction="custom" dataDxfId="92" totalsRowDxfId="91"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0" totalsRowDxfId="89"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88" totalsRowDxfId="87"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20" totalsRowCount="1" headerRowDxfId="84" headerRowBorderDxfId="83" tableBorderDxfId="82">
  <autoFilter ref="A1:I19" xr:uid="{F8E8C957-ABE7-4E4F-8D4E-7D44E26B334F}"/>
  <tableColumns count="9">
    <tableColumn id="1" xr3:uid="{C2E817D6-AB98-4DDD-8890-736B27F261CD}" name="Date" dataDxfId="81" totalsRowDxfId="80"/>
    <tableColumn id="2" xr3:uid="{CFB51890-CCDC-463C-81C9-3F8BD7469CB9}" name="Party Name"/>
    <tableColumn id="3" xr3:uid="{A113D971-1C9D-4733-99C4-BD0CC4333209}" name="Vehicle Number"/>
    <tableColumn id="4" xr3:uid="{49780304-3DD1-4AE9-98EE-2BC7EB8F3B57}" name="Weight" dataDxfId="79" totalsRowDxfId="78" dataCellStyle="Comma"/>
    <tableColumn id="5" xr3:uid="{FCAF1BC6-1D8C-42AD-8BBC-F924BF2DC7FE}" name="Rate" dataDxfId="77" totalsRowDxfId="76" dataCellStyle="Comma"/>
    <tableColumn id="6" xr3:uid="{8C70A624-4134-410C-9C45-9FDEB51D51BF}" name="Rent" dataDxfId="75" totalsRowDxfId="74" dataCellStyle="Comma"/>
    <tableColumn id="7" xr3:uid="{EBCE10AE-9634-4982-9C95-37ABC8A7078C}" name="Total" totalsRowFunction="sum" dataDxfId="73" totalsRowDxfId="72" dataCellStyle="Comma">
      <calculatedColumnFormula>D2*E2</calculatedColumnFormula>
    </tableColumn>
    <tableColumn id="9" xr3:uid="{D4788559-C94A-44D9-B9AE-E72B214355AC}" name="Paid" totalsRowFunction="sum" dataDxfId="71" totalsRowDxfId="70" dataCellStyle="Comma"/>
    <tableColumn id="8" xr3:uid="{E26F5BF0-1875-4FC6-994D-49F202ED562B}" name="balance" totalsRowFunction="sum" dataDxfId="69" totalsRowDxfId="68"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86" totalsRowCount="1">
  <autoFilter ref="A1:G85" xr:uid="{CB032221-B416-47A8-9A76-693DE76CFD04}"/>
  <tableColumns count="7">
    <tableColumn id="1" xr3:uid="{554B1EED-65B6-4E9A-B646-82727FAC40DE}" name="Date" dataDxfId="66" totalsRowDxfId="3"/>
    <tableColumn id="2" xr3:uid="{32259059-42CF-4947-83DE-115AA430BE2B}" name="Party"/>
    <tableColumn id="3" xr3:uid="{A1320223-D55D-483C-91C3-AB19B95CC9D8}" name="Debit" totalsRowFunction="sum" dataDxfId="65" totalsRowDxfId="2" dataCellStyle="Comma"/>
    <tableColumn id="4" xr3:uid="{E9745767-9FF0-4B1C-9052-FF335D1D7588}" name="Credit" totalsRowFunction="sum" dataDxfId="64" totalsRowDxfId="1" dataCellStyle="Comma"/>
    <tableColumn id="5" xr3:uid="{5C88A48E-2467-4E6D-B626-2442B7FD0BE4}" name="Description"/>
    <tableColumn id="6" xr3:uid="{63CA4666-144E-4BE6-8B7C-7CB992BD3041}" name="Mode" totalsRowFunction="custom" dataDxfId="63"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2" tableBorderDxfId="61" totalsRowBorderDxfId="60">
  <autoFilter ref="J3:K6" xr:uid="{DCE01694-23ED-48BF-8B92-4186B9ED10A8}"/>
  <tableColumns count="2">
    <tableColumn id="1" xr3:uid="{C8484DAF-2989-4C2F-9AEC-A6917E1C57F6}" name="Type" dataDxfId="59"/>
    <tableColumn id="2" xr3:uid="{B07B7A2A-4D4E-4654-BED6-FE2F0A7BEC34}" name="Amount" dataDxfId="5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7" headerRowBorderDxfId="56" tableBorderDxfId="55" totalsRowBorderDxfId="54">
  <autoFilter ref="M3:O6" xr:uid="{D166BDD1-ACD7-45D7-8AE9-7350373F8CEB}"/>
  <tableColumns count="3">
    <tableColumn id="1" xr3:uid="{64F0205E-DEA7-4571-BA86-E4374A5FEE28}" name="Type" totalsRowLabel="Total" dataDxfId="53" totalsRowDxfId="52"/>
    <tableColumn id="2" xr3:uid="{15FA05F9-789C-4459-9BE0-5C1EC84D3365}" name="amount" totalsRowFunction="custom" dataDxfId="51" totalsRowDxfId="50">
      <totalsRowFormula>SUM(N5:N6)</totalsRowFormula>
    </tableColumn>
    <tableColumn id="3" xr3:uid="{3681D409-90C6-44D0-BDE2-4B5943A516F0}" name="Actual" totalsRowFunction="custom" totalsRowDxfId="49">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8" totalsRowDxfId="47"/>
    <tableColumn id="2" xr3:uid="{5B9D0FEE-4304-4C5C-A05C-5B27CF7841D3}" name="Type"/>
    <tableColumn id="3" xr3:uid="{6A91CA0D-C802-4C6F-9F39-CA53687E8EDE}" name="Description"/>
    <tableColumn id="4" xr3:uid="{A251D40C-AB87-4BB4-85F8-444B20E32FDF}" name="Total" totalsRowFunction="custom" dataDxfId="46" totalsRowDxfId="45"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 totalsRowCount="1" headerRowDxfId="44" headerRowBorderDxfId="43">
  <autoFilter ref="A1:I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2"/>
    <tableColumn id="4" xr3:uid="{1889A312-9B41-4EC4-BD8F-05252F27084A}" name="Price" totalsRowFunction="sum"/>
    <tableColumn id="6" xr3:uid="{8B974B20-F003-4E67-8660-024FA4F324A9}" name="Party"/>
    <tableColumn id="7" xr3:uid="{0A5A5C21-FD61-47DA-9F54-66A6479FA557}" name="Paid" dataDxfId="41">
      <calculatedColumnFormula>SUMIFS(Table14[Debit], Table14[Date], Table8[[#This Row],[Date]], Table14[Party], Table8[[#This Row],[Party]])</calculatedColumnFormula>
    </tableColumn>
    <tableColumn id="8" xr3:uid="{8DCB3B43-2161-4081-82EC-CDB0F4DE4E6F}" name="Balance" totalsRowFunction="sum" dataDxfId="4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2:E39" totalsRowCount="1">
  <autoFilter ref="A12:E38"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1" totalsRowCount="1" headerRowDxfId="39" headerRowBorderDxfId="38">
  <autoFilter ref="A4:H10" xr:uid="{A4C80688-A8BA-4BA7-90B4-791CD99446B4}"/>
  <sortState xmlns:xlrd2="http://schemas.microsoft.com/office/spreadsheetml/2017/richdata2" ref="A5:H6">
    <sortCondition ref="A4:A6"/>
  </sortState>
  <tableColumns count="8">
    <tableColumn id="1" xr3:uid="{4A818912-918E-4111-ACFC-BC93FEF7C1AD}" name="Date" dataDxfId="37" totalsRowDxfId="36"/>
    <tableColumn id="8" xr3:uid="{477ACFD5-62AF-4F69-974B-E9B974C11D7D}" name="Party Name" dataDxfId="3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4">
      <calculatedColumnFormula>Table2[[#This Row],[Quantity]]*200*Table2[[#This Row],[Boxes]]</calculatedColumnFormula>
    </tableColumn>
    <tableColumn id="6" xr3:uid="{30432929-CBD4-4BA8-B63F-CD0F6CF6405F}" name="Paid" totalsRowFunction="sum" dataDxfId="33">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1" totalsRowDxfId="3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9" totalsRowDxfId="28"/>
    <tableColumn id="2" xr3:uid="{053BFC14-4828-417C-9F9F-95B6E232A945}" name="Amount" totalsRowFunction="custom" dataDxfId="27" totalsRowDxfId="2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5" totalsRowDxfId="2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14" totalsRowDxfId="1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2" totalsRowDxfId="1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0">
      <calculatedColumnFormula>Billing!Q5</calculatedColumnFormula>
    </tableColumn>
    <tableColumn id="2" xr3:uid="{7093A59E-B58F-487D-888A-9AA8156B5F9A}" name="Amount Paid" dataDxfId="9">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8"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5"/>
  <sheetViews>
    <sheetView topLeftCell="Q2" zoomScale="80" zoomScaleNormal="80" workbookViewId="0">
      <selection activeCell="AA5" sqref="AA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33203125" bestFit="1" customWidth="1"/>
    <col min="25" max="25" width="12.77734375" bestFit="1" customWidth="1"/>
    <col min="26" max="26" width="11.7773437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72040.051207022683</v>
      </c>
      <c r="D2">
        <v>10</v>
      </c>
      <c r="E2" s="14">
        <f>(SUMIFS(ledger!G:G, ledger!B:B, B2, ledger!E:E, "&lt;&gt;*RD*",ledger!D:D, "Silky") / 1.0936)*12 + (SUMIFS(ledger!G:G, ledger!B:B, B2, ledger!E:E, "&lt;&gt;*RD*",ledger!D:D, "Chamki") / 1.0936)*10</f>
        <v>825246.89100219461</v>
      </c>
      <c r="Q2" t="s">
        <v>1</v>
      </c>
    </row>
    <row r="3" spans="2:30" x14ac:dyDescent="0.3">
      <c r="B3" t="str">
        <f t="shared" si="0"/>
        <v>Ejaz Sahab</v>
      </c>
      <c r="C3" s="18">
        <f>SUMIFS(ledger!G:G, ledger!B:B, B3, ledger!E:E, "&lt;&gt;*RD*") / 1.0936</f>
        <v>14893.928310168252</v>
      </c>
      <c r="D3">
        <v>10</v>
      </c>
      <c r="E3" s="14">
        <f>(SUMIFS(ledger!G:G, ledger!B:B, B3, ledger!E:E, "&lt;&gt;*RD*",ledger!D:D, "Silky") / 1.0936)*12 + (SUMIFS(ledger!G:G, ledger!B:B, B3, ledger!E:E, "&lt;&gt;*RD*",ledger!D:D, "Chamki") / 1.0936)*10</f>
        <v>178727.13972201903</v>
      </c>
    </row>
    <row r="4" spans="2:30" x14ac:dyDescent="0.3">
      <c r="B4" t="str">
        <f t="shared" si="0"/>
        <v>Arshad</v>
      </c>
      <c r="C4" s="18">
        <f>SUMIFS(ledger!G:G, ledger!B:B, B4, ledger!E:E, "&lt;&gt;*RD*") / 1.0936</f>
        <v>24349.853694220925</v>
      </c>
      <c r="D4">
        <v>10</v>
      </c>
      <c r="E4" s="14">
        <f>(SUMIFS(ledger!G:G, ledger!B:B, B4, ledger!E:E, "&lt;&gt;*RD*",ledger!D:D, "Silky") / 1.0936)*12 + (SUMIFS(ledger!G:G, ledger!B:B, B4, ledger!E:E, "&lt;&gt;*RD*",ledger!D:D, "Chamki") / 1.0936)*10</f>
        <v>292198.24433065113</v>
      </c>
      <c r="Q4" s="21"/>
      <c r="R4" s="23" t="s">
        <v>10</v>
      </c>
      <c r="S4" s="23" t="s">
        <v>11</v>
      </c>
      <c r="T4" s="23" t="s">
        <v>12</v>
      </c>
      <c r="U4" s="23" t="s">
        <v>13</v>
      </c>
      <c r="V4" s="23" t="s">
        <v>14</v>
      </c>
      <c r="W4" s="23" t="s">
        <v>15</v>
      </c>
      <c r="X4" s="23" t="s">
        <v>192</v>
      </c>
      <c r="Y4" s="23" t="s">
        <v>193</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6">_xlfn.UNIQUE(Table1[Party Name])</f>
        <v>BSC</v>
      </c>
      <c r="R5" s="22" cm="1">
        <f t="array" ref="R5">_xlfn.BYROW(B49,_xlfn.LAMBDA(_xlpm.party,SUMIFS(ledger!G:G,ledger!B:B,_xlpm.party,ledger!E:E,"&lt;&gt;*RD*")))+_xlfn.IFNA(C84,0)</f>
        <v>2284191</v>
      </c>
      <c r="S5" s="22" cm="1">
        <f t="array" ref="S5">_xlfn.BYROW(B49, _xlfn.LAMBDA(_xlpm.party, SUMIFS(ledger!G:G, ledger!B:B, _xlpm.party, ledger!E:E, "&lt;&gt;*RD*") / 1.0936 ))+_xlfn.IFNA(D84,0)</f>
        <v>2088689.6488661305</v>
      </c>
      <c r="T5" s="22" cm="1">
        <f t="array" ref="T5">(_xlfn.BYROW(B49,_xlfn.LAMBDA(_xlpm.party,SUMIFS(ledger!G:G,ledger!B:B,_xlpm.party,ledger!E:E,"&lt;&gt;*RD*",ledger!D:D,"Chamki")+SUMIFS(ledger!G:G, ledger!B:B, _xlpm.party, ledger!E:E, "&lt;&gt;*RD*", ledger!D:D, "Crinkle")))/1.0936)+_xlfn.IFNA(E84,0)</f>
        <v>1915019.2026335041</v>
      </c>
      <c r="U5" s="70" cm="1">
        <f t="array" ref="U5">(_xlfn.BYROW(B49,_xlfn.LAMBDA(_xlpm.party,SUMIFS(ledger!G:G,ledger!B:B,_xlpm.party,ledger!E:E,"&lt;&gt;*RD*",ledger!D:D,"Silky")))/1.0936)+_xlfn.IFNA(F84,0)</f>
        <v>173670.44623262621</v>
      </c>
      <c r="V5" s="22" cm="1">
        <f t="array" ref="V5">(_xlfn.BYROW(B49,_xlfn.LAMBDA(_xlpm.party,
(SUMIFS(ledger!J:J,ledger!B:B,_xlpm.party,ledger!E:E,"&lt;&gt;*RD*",ledger!D:D,"Chamki",ledger!C:C,"&lt;&gt;October Closing CF")+
SUMIFS(ledger!J:J,ledger!B:B,_xlpm.party,ledger!E:E,"&lt;&gt;*RD*",ledger!D:D,"Crinkle",ledger!C:C,"&lt;&gt;October Closing CF")
)+_xlfn.IFNA(G84,0))))</f>
        <v>19150192.026335046</v>
      </c>
      <c r="W5" s="70" cm="1">
        <f t="array" ref="W5">_xlfn.BYROW(B49, _xlfn.LAMBDA(_xlpm.party,
   SUMIFS(ledger!J:J, ledger!B:B, _xlpm.party, ledger!E:E, "&lt;&gt;*RD*", ledger!D:D, "Silky", ledger!C:C, "&lt;&gt;October Closing CF")
)) + _xlfn.IFNA(H84, 0)</f>
        <v>2169359.912216533</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21319551.938551579</v>
      </c>
      <c r="AA5" s="22">
        <f>(SUMIF(Table14[Party],Q5,Table14[Credit]))+_xlfn.IFNA(L84,0)</f>
        <v>19010004</v>
      </c>
      <c r="AB5" s="33">
        <f>Z5-AA5</f>
        <v>2309547.9385515787</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294129</v>
      </c>
      <c r="S6" s="22" cm="1">
        <f t="array" ref="S6">_xlfn.BYROW(B50, _xlfn.LAMBDA(_xlpm.party, SUMIFS(ledger!G:G, ledger!B:B, _xlpm.party, ledger!E:E, "&lt;&gt;*RD*") / 1.0936 ))+_xlfn.IFNA(D85,0)</f>
        <v>268954.82809070963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120809.25384052671</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1511376.188734455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2992831.9312362839</v>
      </c>
      <c r="AA6" s="22">
        <f>(SUMIF(Table14[Party],Q6,Table14[Credit]))+_xlfn.IFNA(L85,0)</f>
        <v>3363904</v>
      </c>
      <c r="AB6" s="33">
        <f>Z6-AA6</f>
        <v>-371072.06876371615</v>
      </c>
      <c r="AC6" s="21">
        <v>10</v>
      </c>
      <c r="AD6" s="21">
        <v>13</v>
      </c>
    </row>
    <row r="7" spans="2:30"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472135</v>
      </c>
      <c r="S7" s="22" cm="1">
        <f t="array" ref="S7">_xlfn.BYROW(B51, _xlfn.LAMBDA(_xlpm.party, SUMIFS(ledger!G:G, ledger!B:B, _xlpm.party, ledger!E:E, "&lt;&gt;*RD*") / 1.0936 ))+_xlfn.IFNA(D86,0)</f>
        <v>431725.49378200446</v>
      </c>
      <c r="T7" s="22" cm="1">
        <f t="array" ref="T7">(_xlfn.BYROW(B51,_xlfn.LAMBDA(_xlpm.party,SUMIFS(ledger!G:G,ledger!B:B,_xlpm.party,ledger!E:E,"&lt;&gt;*RD*",ledger!D:D,"Chamki")+SUMIFS(ledger!G:G, ledger!B:B, _xlpm.party, ledger!E:E, "&lt;&gt;*RD*", ledger!D:D, "Crinkle")))/1.0936)+_xlfn.IFNA(E86,0)</f>
        <v>392581.38258961233</v>
      </c>
      <c r="U7" s="70" cm="1">
        <f t="array" ref="U7">(_xlfn.BYROW(B51,_xlfn.LAMBDA(_xlpm.party,SUMIFS(ledger!G:G,ledger!B:B,_xlpm.party,ledger!E:E,"&lt;&gt;*RD*",ledger!D:D,"Silky")))/1.0936)+_xlfn.IFNA(F86,0)</f>
        <v>39144.111192392105</v>
      </c>
      <c r="V7" s="22" cm="1">
        <f t="array" ref="V7">(_xlfn.BYROW(B51,_xlfn.LAMBDA(_xlpm.party,
(SUMIFS(ledger!J:J,ledger!B:B,_xlpm.party,ledger!E:E,"&lt;&gt;*RD*",ledger!D:D,"Chamki",ledger!C:C,"&lt;&gt;October Closing CF")+
SUMIFS(ledger!J:J,ledger!B:B,_xlpm.party,ledger!E:E,"&lt;&gt;*RD*",ledger!D:D,"Crinkle",ledger!C:C,"&lt;&gt;October Closing CF")
)+_xlfn.IFNA(G86,0))))</f>
        <v>3925813.8258961234</v>
      </c>
      <c r="W7" s="70" cm="1">
        <f t="array" ref="W7">_xlfn.BYROW(B51, _xlfn.LAMBDA(_xlpm.party,
   SUMIFS(ledger!J:J, ledger!B:B, _xlpm.party, ledger!E:E, "&lt;&gt;*RD*", ledger!D:D, "Silky", ledger!C:C, "&lt;&gt;October Closing CF")
)) + _xlfn.IFNA(H86, 0)</f>
        <v>494079.18800292618</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4419893.0138990497</v>
      </c>
      <c r="AA7" s="22">
        <f>(SUMIF(Table14[Party],Q7,Table14[Credit]))+_xlfn.IFNA(L86,0)</f>
        <v>4452935</v>
      </c>
      <c r="AB7" s="33">
        <f>Z7-AA7</f>
        <v>-33041.986100950278</v>
      </c>
      <c r="AC7" s="21">
        <v>10</v>
      </c>
      <c r="AD7" s="21">
        <v>13</v>
      </c>
    </row>
    <row r="8" spans="2:30" x14ac:dyDescent="0.3">
      <c r="B8" t="str">
        <f t="shared" si="0"/>
        <v>Raaz Fabrics</v>
      </c>
      <c r="C8" s="18">
        <f>SUMIFS(ledger!G:G, ledger!B:B, B8, ledger!E:E, "&lt;&gt;*RD*") / 1.0936</f>
        <v>23614.667154352599</v>
      </c>
      <c r="D8">
        <v>10</v>
      </c>
      <c r="E8" s="14">
        <f>(SUMIFS(ledger!G:G, ledger!B:B, B8, ledger!E:E, "&lt;&gt;*RD*",ledger!D:D, "Silky") / 1.0936)*12 + (SUMIFS(ledger!G:G, ledger!B:B, B8, ledger!E:E, "&lt;&gt;*RD*",ledger!D:D, "chamki") / 1.0936)*10 +(SUMIFS(ledger!G:G, ledger!B:B, B8, ledger!E:E, "&lt;&gt;*RD*",ledger!D:D, "Crinkle") / 1.0936)*10</f>
        <v>236146.671543526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64606.803218727146</v>
      </c>
      <c r="D9">
        <v>10</v>
      </c>
      <c r="E9" s="14">
        <f>(SUMIFS(ledger!G:G, ledger!B:B, B9, ledger!E:E, "&lt;&gt;*RD*",ledger!D:D, "Silky") / 1.0936)*12 + (SUMIFS(ledger!G:G, ledger!B:B, B9, ledger!E:E, "&lt;&gt;*RD*",ledger!D:D, "Chamki") / 1.0936)*10</f>
        <v>646068.0321872714</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6898792.0629114853</v>
      </c>
      <c r="AA10" s="22">
        <f>(SUMIF(Table14[Party],Q10,Table14[Credit]))+_xlfn.IFNA(L89,0)</f>
        <v>5544810</v>
      </c>
      <c r="AB10" s="33">
        <f t="shared" si="2"/>
        <v>1353982.0629114853</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126741</v>
      </c>
      <c r="S11" s="22" cm="1">
        <f t="array" ref="S11">_xlfn.BYROW(B55, _xlfn.LAMBDA(_xlpm.party, SUMIFS(ledger!G:G, ledger!B:B, _xlpm.party, ledger!E:E, "&lt;&gt;*RD*") / 1.0936 ))+_xlfn.IFNA(D90,0)</f>
        <v>115893.37966349673</v>
      </c>
      <c r="T11" s="22" cm="1">
        <f t="array" ref="T11">(_xlfn.BYROW(B55,_xlfn.LAMBDA(_xlpm.party,SUMIFS(ledger!G:G,ledger!B:B,_xlpm.party,ledger!E:E,"&lt;&gt;*RD*",ledger!D:D,"Chamki")+SUMIFS(ledger!G:G, ledger!B:B, _xlpm.party, ledger!E:E, "&lt;&gt;*RD*", ledger!D:D, "Crinkle")))/1.0936)+_xlfn.IFNA(E90,0)</f>
        <v>115893.37966349673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1158933.7966349672</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1158933.7966349672</v>
      </c>
      <c r="AA11" s="22">
        <f>(SUMIF(Table14[Party],Q11,Table14[Credit]))+_xlfn.IFNA(L90,0)</f>
        <v>900000</v>
      </c>
      <c r="AB11" s="33">
        <f t="shared" si="2"/>
        <v>258933.79663496721</v>
      </c>
      <c r="AC11" s="21">
        <v>10</v>
      </c>
      <c r="AD11" s="21">
        <v>13</v>
      </c>
    </row>
    <row r="12" spans="2:30"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O12" s="28"/>
      <c r="P12" s="28"/>
      <c r="Q12" s="24" t="str">
        <v>Azam</v>
      </c>
      <c r="R12" s="22" cm="1">
        <f t="array" ref="R12">_xlfn.BYROW(B56,_xlfn.LAMBDA(_xlpm.party,SUMIFS(ledger!G:G,ledger!B:B,_xlpm.party,ledger!E:E,"&lt;&gt;*RD*")))+_xlfn.IFNA(C91,0)</f>
        <v>275154</v>
      </c>
      <c r="S12" s="22" cm="1">
        <f t="array" ref="S12">_xlfn.BYROW(B56, _xlfn.LAMBDA(_xlpm.party, SUMIFS(ledger!G:G, ledger!B:B, _xlpm.party, ledger!E:E, "&lt;&gt;*RD*") / 1.0936 ))+_xlfn.IFNA(D91,0)</f>
        <v>251603.87710314561</v>
      </c>
      <c r="T12" s="22" cm="1">
        <f t="array" ref="T12">(_xlfn.BYROW(B56,_xlfn.LAMBDA(_xlpm.party,SUMIFS(ledger!G:G,ledger!B:B,_xlpm.party,ledger!E:E,"&lt;&gt;*RD*",ledger!D:D,"Chamki")+SUMIFS(ledger!G:G, ledger!B:B, _xlpm.party, ledger!E:E, "&lt;&gt;*RD*", ledger!D:D, "Crinkle")))/1.0936)+_xlfn.IFNA(E91,0)</f>
        <v>226415.50841258233</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2264155.0841258233</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2591603.8771031462</v>
      </c>
      <c r="AA12" s="22">
        <f>(SUMIF(Table14[Party],Q12,Table14[Credit]))+_xlfn.IFNA(L91,0)</f>
        <v>2092620</v>
      </c>
      <c r="AB12" s="33">
        <f t="shared" si="2"/>
        <v>498983.87710314617</v>
      </c>
      <c r="AC12" s="21">
        <v>10</v>
      </c>
      <c r="AD12" s="21">
        <v>13</v>
      </c>
    </row>
    <row r="13" spans="2:30" x14ac:dyDescent="0.3">
      <c r="B13" t="str">
        <f t="shared" si="0"/>
        <v>Badshah Fabrics</v>
      </c>
      <c r="C13" s="18">
        <f>SUMIFS(ledger!G:G, ledger!B:B, B13, ledger!E:E, "&lt;&gt;*RD*") / 1.0936</f>
        <v>6258.2297000731533</v>
      </c>
      <c r="E13" s="14">
        <f>(SUMIFS(ledger!G:G, ledger!B:B, B13, ledger!E:E, "&lt;&gt;*RD*",ledger!D:D, "Silky") / 1.0936)*12 + (SUMIFS(ledger!G:G, ledger!B:B, B13, ledger!E:E, "&lt;&gt;*RD*",ledger!D:D, "Chamki") / 1.0936)*10</f>
        <v>62582.297000731531</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630150</v>
      </c>
      <c r="AB13" s="33">
        <f t="shared" si="2"/>
        <v>11124.689100219635</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132491</v>
      </c>
      <c r="S15" s="22" cm="1">
        <f t="array" ref="S15">_xlfn.BYROW(B59, _xlfn.LAMBDA(_xlpm.party, SUMIFS(ledger!G:G, ledger!B:B, _xlpm.party, ledger!E:E, "&lt;&gt;*RD*") / 1.0936 ))+_xlfn.IFNA(D94,0)</f>
        <v>121151.24359912217</v>
      </c>
      <c r="T15" s="22" cm="1">
        <f t="array" ref="T15">(_xlfn.BYROW(B59,_xlfn.LAMBDA(_xlpm.party,SUMIFS(ledger!G:G,ledger!B:B,_xlpm.party,ledger!E:E,"&lt;&gt;*RD*",ledger!D:D,"Chamki")+SUMIFS(ledger!G:G, ledger!B:B, _xlpm.party, ledger!E:E, "&lt;&gt;*RD*", ledger!D:D, "Crinkle")))/1.0936)+_xlfn.IFNA(E94,0)</f>
        <v>121151.24359912217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1211512.4359912218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1211512.4359912218</v>
      </c>
      <c r="AA15" s="22">
        <f>(SUMIF(Table14[Party],Q15,Table14[Credit]))+_xlfn.IFNA(L94,0)</f>
        <v>1200000</v>
      </c>
      <c r="AB15" s="33">
        <f t="shared" si="2"/>
        <v>11512.435991221806</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449692</v>
      </c>
      <c r="S16" s="22" cm="1">
        <f t="array" ref="S16">_xlfn.BYROW(B60, _xlfn.LAMBDA(_xlpm.party, SUMIFS(ledger!G:G, ledger!B:B, _xlpm.party, ledger!E:E, "&lt;&gt;*RD*") / 1.0936 ))+_xlfn.IFNA(D95,0)</f>
        <v>411203.36503291881</v>
      </c>
      <c r="T16" s="22" cm="1">
        <f t="array" ref="T16">(_xlfn.BYROW(B60,_xlfn.LAMBDA(_xlpm.party,SUMIFS(ledger!G:G,ledger!B:B,_xlpm.party,ledger!E:E,"&lt;&gt;*RD*",ledger!D:D,"Chamki")+SUMIFS(ledger!G:G, ledger!B:B, _xlpm.party, ledger!E:E, "&lt;&gt;*RD*", ledger!D:D, "Crinkle")))/1.0936)+_xlfn.IFNA(E95,0)</f>
        <v>348048.64667154354</v>
      </c>
      <c r="U16" s="70" cm="1">
        <f t="array" ref="U16">(_xlfn.BYROW(B60,_xlfn.LAMBDA(_xlpm.party,SUMIFS(ledger!G:G,ledger!B:B,_xlpm.party,ledger!E:E,"&lt;&gt;*RD*",ledger!D:D,"Silky")))/1.0936)+_xlfn.IFNA(F95,0)</f>
        <v>63154.718361375279</v>
      </c>
      <c r="V16" s="22" cm="1">
        <f t="array" ref="V16">(_xlfn.BYROW(B60,_xlfn.LAMBDA(_xlpm.party,
(SUMIFS(ledger!J:J,ledger!B:B,_xlpm.party,ledger!E:E,"&lt;&gt;*RD*",ledger!D:D,"Chamki",ledger!C:C,"&lt;&gt;October Closing CF")+
SUMIFS(ledger!J:J,ledger!B:B,_xlpm.party,ledger!E:E,"&lt;&gt;*RD*",ledger!D:D,"Crinkle",ledger!C:C,"&lt;&gt;October Closing CF")
)+_xlfn.IFNA(G95,0))))</f>
        <v>3480486.4667154355</v>
      </c>
      <c r="W16" s="70" cm="1">
        <f t="array" ref="W16">_xlfn.BYROW(B60, _xlfn.LAMBDA(_xlpm.party,
   SUMIFS(ledger!J:J, ledger!B:B, _xlpm.party, ledger!E:E, "&lt;&gt;*RD*", ledger!D:D, "Silky", ledger!C:C, "&lt;&gt;October Closing CF")
)) + _xlfn.IFNA(H95, 0)</f>
        <v>757856.62033650337</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4238343.0870519392</v>
      </c>
      <c r="AA16" s="22">
        <f>(SUMIF(Table14[Party],Q16,Table14[Credit]))+_xlfn.IFNA(L95,0)</f>
        <v>4875761</v>
      </c>
      <c r="AB16" s="33">
        <f t="shared" si="2"/>
        <v>-637417.91294806078</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27720.373079736652</v>
      </c>
      <c r="E18" s="14">
        <f>(SUMIFS(ledger!G:G, ledger!B:B, B18, ledger!E:E, "&lt;&gt;*RD*",ledger!D:D, "Silky") / 1.0936)*12 + (SUMIFS(ledger!G:G, ledger!B:B, B18, ledger!E:E, "&lt;&gt;*RD*",ledger!D:D, "Chamki") / 1.0936)*10</f>
        <v>332644.47695683979</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SUM(G49:G69)+SUM(H49:H69)+SUM(I49:I69)+SUM(J49:J69)</f>
        <v>5194150.5120702274</v>
      </c>
      <c r="D21" t="s">
        <v>30</v>
      </c>
      <c r="Q21" s="101" t="str">
        <v>Faizan</v>
      </c>
      <c r="R21" s="22" cm="1">
        <f t="array" ref="R21">_xlfn.BYROW(B65,_xlfn.LAMBDA(_xlpm.party,SUMIFS(ledger!G:G,ledger!B:B,_xlpm.party,ledger!E:E,"&lt;&gt;*RD*")))+_xlfn.IFNA(C100,0)</f>
        <v>252500</v>
      </c>
      <c r="S21" s="22" cm="1">
        <f t="array" ref="S21">_xlfn.BYROW(B65, _xlfn.LAMBDA(_xlpm.party, SUMIFS(ledger!G:G, ledger!B:B, _xlpm.party, ledger!E:E, "&lt;&gt;*RD*") / 1.0936 ))+_xlfn.IFNA(D100,0)</f>
        <v>230888.80760790053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227918.80029261159</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2962944.4038039506</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3007494.5135332849</v>
      </c>
      <c r="AA21" s="22">
        <f>(SUMIF(Table14[Party],Q21,Table14[Credit]))+_xlfn.IFNA(L100,0)</f>
        <v>3915571</v>
      </c>
      <c r="AB21" s="33">
        <f t="shared" ref="AB21:AB35" si="4">Z21-AA21</f>
        <v>-908076.48646671511</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5194150.5120702265</v>
      </c>
      <c r="D23" t="s">
        <v>32</v>
      </c>
      <c r="Q23" s="21" t="str">
        <v>Amjad sohail</v>
      </c>
      <c r="R23" s="22" cm="1">
        <f t="array" ref="R23">_xlfn.BYROW(B67,_xlfn.LAMBDA(_xlpm.party,SUMIFS(ledger!G:G,ledger!B:B,_xlpm.party,ledger!E:E,"&lt;&gt;*RD*")))+_xlfn.IFNA(C102,0)</f>
        <v>145689</v>
      </c>
      <c r="S23" s="22" cm="1">
        <f t="array" ref="S23">_xlfn.BYROW(B67, _xlfn.LAMBDA(_xlpm.party, SUMIFS(ledger!G:G, ledger!B:B, _xlpm.party, ledger!E:E, "&lt;&gt;*RD*") / 1.0936 ))+_xlfn.IFNA(D102,0)</f>
        <v>133219.64155084128</v>
      </c>
      <c r="T23" s="22" cm="1">
        <f t="array" ref="T23">(_xlfn.BYROW(B67,_xlfn.LAMBDA(_xlpm.party,SUMIFS(ledger!G:G,ledger!B:B,_xlpm.party,ledger!E:E,"&lt;&gt;*RD*",ledger!D:D,"Chamki")+SUMIFS(ledger!G:G, ledger!B:B, _xlpm.party, ledger!E:E, "&lt;&gt;*RD*", ledger!D:D, "Crinkle")))/1.0936)+_xlfn.IFNA(E102,0)</f>
        <v>89385.515727871272</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893855.15727871261</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1463698.7929773228</v>
      </c>
      <c r="AA23" s="22">
        <f>(SUMIF(Table14[Party],Q23,Table14[Credit]))+_xlfn.IFNA(L102,0)</f>
        <v>1300000</v>
      </c>
      <c r="AB23" s="33">
        <f t="shared" si="4"/>
        <v>163698.79297732282</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43561</v>
      </c>
      <c r="S25" s="22" cm="1">
        <f t="array" ref="S25">_xlfn.BYROW(B69, _xlfn.LAMBDA(_xlpm.party, SUMIFS(ledger!G:G, ledger!B:B, _xlpm.party, ledger!E:E, "&lt;&gt;*RD*") / 1.0936 ))+_xlfn.IFNA(D104,0)</f>
        <v>39832.66276517923</v>
      </c>
      <c r="T25" s="22" cm="1">
        <f t="array" ref="T25">(_xlfn.BYROW(B69,_xlfn.LAMBDA(_xlpm.party,SUMIFS(ledger!G:G,ledger!B:B,_xlpm.party,ledger!E:E,"&lt;&gt;*RD*",ledger!D:D,"Chamki")+SUMIFS(ledger!G:G, ledger!B:B, _xlpm.party, ledger!E:E, "&lt;&gt;*RD*", ledger!D:D, "Crinkle")))/1.0936)+_xlfn.IFNA(E104,0)</f>
        <v>39832.66276517923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398326.62765179225</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398326.62765179225</v>
      </c>
      <c r="AA25" s="22">
        <f>(SUMIF(Table14[Party],Q25,Table14[Credit]))+_xlfn.IFNA(L104,0)</f>
        <v>0</v>
      </c>
      <c r="AB25" s="33">
        <f t="shared" si="4"/>
        <v>398326.62765179225</v>
      </c>
      <c r="AC25" s="21">
        <v>10</v>
      </c>
      <c r="AD25" s="21">
        <v>13</v>
      </c>
    </row>
    <row r="26" spans="2:30" x14ac:dyDescent="0.3">
      <c r="Q26">
        <v>0</v>
      </c>
      <c r="R26" s="22" cm="1">
        <f t="array" ref="R26">_xlfn.BYROW(B70,_xlfn.LAMBDA(_xlpm.party,SUMIFS(ledger!G:G,ledger!B:B,_xlpm.party,ledger!E:E,"&lt;&gt;*RD*")))+_xlfn.IFNA(C105,0)</f>
        <v>0</v>
      </c>
      <c r="S26" s="22" cm="1">
        <f t="array" ref="S26">_xlfn.BYROW(B70, _xlfn.LAMBDA(_xlpm.party, SUMIFS(ledger!G:G, ledger!B:B, _xlpm.party, ledger!E:E, "&lt;&gt;*RD*") / 1.0936 ))+_xlfn.IFNA(D105,0)</f>
        <v>0</v>
      </c>
      <c r="T26" s="22" cm="1">
        <f t="array" ref="T26">(_xlfn.BYROW(B70,_xlfn.LAMBDA(_xlpm.party,SUMIFS(ledger!G:G,ledger!B:B,_xlpm.party,ledger!E:E,"&lt;&gt;*RD*",ledger!D:D,"Chamki")+SUMIFS(ledger!G:G, ledger!B:B, _xlpm.party, ledger!E:E, "&lt;&gt;*RD*", ledger!D:D, "Crinkle")))/1.0936)+_xlfn.IFNA(E105,0)</f>
        <v>0</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0</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0</v>
      </c>
      <c r="AA26" s="22">
        <f>(SUMIF(Table14[Party],Q26,Table14[Credit]))+_xlfn.IFNA(L105,0)</f>
        <v>0</v>
      </c>
      <c r="AB26" s="33">
        <f t="shared" si="4"/>
        <v>0</v>
      </c>
      <c r="AC26" s="21">
        <v>10</v>
      </c>
      <c r="AD26" s="21">
        <v>13</v>
      </c>
    </row>
    <row r="27" spans="2:30" x14ac:dyDescent="0.3">
      <c r="R27" s="22" cm="1">
        <f t="array" ref="R27">_xlfn.BYROW(B71,_xlfn.LAMBDA(_xlpm.party,SUMIFS(ledger!G:G,ledger!B:B,_xlpm.party,ledger!E:E,"&lt;&gt;*RD*")))+_xlfn.IFNA(C106,0)</f>
        <v>0</v>
      </c>
      <c r="S27" s="22" cm="1">
        <f t="array" ref="S27">_xlfn.BYROW(B71, _xlfn.LAMBDA(_xlpm.party, SUMIFS(ledger!G:G, ledger!B:B, _xlpm.party, ledger!E:E, "&lt;&gt;*RD*") / 1.0936 ))+_xlfn.IFNA(D106,0)</f>
        <v>0</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0</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0</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0</v>
      </c>
      <c r="AA27" s="22">
        <f>(SUMIF(Table14[Party],Q27,Table14[Credit]))+_xlfn.IFNA(L106,0)</f>
        <v>0</v>
      </c>
      <c r="AB27" s="33">
        <f t="shared" si="4"/>
        <v>0</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158</v>
      </c>
    </row>
    <row r="48" spans="2:30" x14ac:dyDescent="0.3">
      <c r="B48" s="21"/>
      <c r="C48" s="23" t="s">
        <v>10</v>
      </c>
      <c r="D48" s="23" t="s">
        <v>11</v>
      </c>
      <c r="E48" s="23" t="s">
        <v>12</v>
      </c>
      <c r="F48" s="23" t="s">
        <v>13</v>
      </c>
      <c r="G48" s="23" t="s">
        <v>14</v>
      </c>
      <c r="H48" s="23" t="s">
        <v>15</v>
      </c>
      <c r="I48" s="23" t="s">
        <v>192</v>
      </c>
      <c r="J48" s="23" t="s">
        <v>193</v>
      </c>
      <c r="K48" s="23" t="s">
        <v>16</v>
      </c>
      <c r="L48" s="23" t="s">
        <v>17</v>
      </c>
      <c r="M48" s="23" t="s">
        <v>18</v>
      </c>
      <c r="N48" s="23" t="s">
        <v>19</v>
      </c>
      <c r="O48" s="23" t="s">
        <v>20</v>
      </c>
    </row>
    <row r="49" spans="1:26" x14ac:dyDescent="0.3">
      <c r="A49" t="s">
        <v>33</v>
      </c>
      <c r="B49" s="24" t="str" cm="1">
        <f t="array" ref="B49:B70">_xlfn.UNIQUE(Table1[Party Name])</f>
        <v>BSC</v>
      </c>
      <c r="C49" s="22" cm="1">
        <f t="array" ref="C49:C70">_xlfn.BYROW(_xlfn.ANCHORARRAY(B49),_xlfn.LAMBDA(_xlpm.party,SUMIFS(ledger!G:G,ledger!B:B,_xlpm.party,ledger!E:E,"&lt;&gt;*RD*")))</f>
        <v>78783</v>
      </c>
      <c r="D49" s="22" cm="1">
        <f t="array" ref="D49:D70">_xlfn.BYROW(_xlfn.ANCHORARRAY(B49), _xlfn.LAMBDA(_xlpm.party, SUMIFS(ledger!G:G, ledger!B:B, _xlpm.party, ledger!E:E, "&lt;&gt;*RD*") / 1.0936 ))</f>
        <v>72040.051207022683</v>
      </c>
      <c r="E49" s="63" cm="1">
        <f t="array" ref="E49:E70">(_xlfn.BYROW(_xlfn.ANCHORARRAY(B49),_xlfn.LAMBDA(_xlpm.party,SUMIFS(ledger!G:G,ledger!B:B,_xlpm.party,ledger!E:E,"&lt;&gt;*RD*",ledger!D:D,"Chamki")+SUMIFS(ledger!G:G, ledger!B:B, _xlpm.party, ledger!E:E, "&lt;&gt;*RD*", ledger!D:D, "Crinkle")))/1.0936)</f>
        <v>19616.861741038774</v>
      </c>
      <c r="F49" s="63" cm="1">
        <f t="array" ref="F49:F70">(_xlfn.BYROW(_xlfn.ANCHORARRAY(B49),_xlfn.LAMBDA(_xlpm.party,SUMIFS(ledger!G:G,ledger!B:B,_xlpm.party,ledger!E:E,"&lt;&gt;*RD*",ledger!D:D,"Silky")))/1.0936)</f>
        <v>52423.189465983909</v>
      </c>
      <c r="G49" s="22" cm="1">
        <f t="array" ref="G49">(_xlfn.BYROW(B49,_xlfn.LAMBDA(_xlpm.party,
(SUMIFS(ledger!J:J,ledger!B:B,_xlpm.party,ledger!E:E,"&lt;&gt;*RD*",ledger!D:D,"Chamki",ledger!C:C,"&lt;&gt;October Closing CF")+
SUMIFS(ledger!J:J,ledger!B:B,_xlpm.party,ledger!E:E,"&lt;&gt;*RD*",ledger!D:D,"Crinkle",ledger!C:C,"&lt;&gt;October Closing CF")
))))</f>
        <v>196168.61741038773</v>
      </c>
      <c r="H49" s="22" cm="1">
        <f t="array" ref="H49">_xlfn.BYROW(B49, _xlfn.LAMBDA(_xlpm.party,
   SUMIFS(ledger!J:J, ledger!B:B, _xlpm.party, ledger!E:E, "&lt;&gt;*RD*", ledger!D:D, "Silky", ledger!C:C, "&lt;&gt;October Closing CF")
))</f>
        <v>681501.46305779088</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877670.08046817861</v>
      </c>
      <c r="L49" s="22">
        <f>(SUMIF(Table14[Party],B49,Table14[Credit]))</f>
        <v>598328</v>
      </c>
      <c r="M49" s="37">
        <f>K49-L49</f>
        <v>279342.08046817861</v>
      </c>
      <c r="N49" s="21">
        <v>10</v>
      </c>
      <c r="O49" s="21">
        <v>12</v>
      </c>
    </row>
    <row r="50" spans="1:26" x14ac:dyDescent="0.3">
      <c r="B50" s="24" t="str">
        <v>Ejaz Sahab</v>
      </c>
      <c r="C50" s="22">
        <v>16288</v>
      </c>
      <c r="D50" s="22">
        <v>14893.928310168252</v>
      </c>
      <c r="E50" s="63">
        <v>0</v>
      </c>
      <c r="F50" s="63">
        <v>14893.928310168252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193621.06803218729</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69" si="6">G50+H50+I50+J50</f>
        <v>193621.06803218729</v>
      </c>
      <c r="L50" s="22">
        <f>(SUMIF(Table14[Party],B50,Table14[Credit]))</f>
        <v>200000</v>
      </c>
      <c r="M50" s="37">
        <f>K50-L50</f>
        <v>-6378.9319678127067</v>
      </c>
      <c r="N50" s="21">
        <v>10</v>
      </c>
      <c r="O50" s="21">
        <v>12</v>
      </c>
    </row>
    <row r="51" spans="1:26" x14ac:dyDescent="0.3">
      <c r="B51" s="24" t="str">
        <v>Arshad</v>
      </c>
      <c r="C51" s="22">
        <v>26629</v>
      </c>
      <c r="D51" s="22">
        <v>24349.853694220925</v>
      </c>
      <c r="E51" s="63">
        <v>0</v>
      </c>
      <c r="F51" s="63">
        <v>24349.853694220925</v>
      </c>
      <c r="G51" s="22" cm="1">
        <f t="array" ref="G51">(_xlfn.BYROW(B51,_xlfn.LAMBDA(_xlpm.party,
(SUMIFS(ledger!J:J,ledger!B:B,_xlpm.party,ledger!E:E,"&lt;&gt;*RD*",ledger!D:D,"Chamki",ledger!C:C,"&lt;&gt;October Closing CF")+
SUMIFS(ledger!J:J,ledger!B:B,_xlpm.party,ledger!E:E,"&lt;&gt;*RD*",ledger!D:D,"Crinkle",ledger!C:C,"&lt;&gt;October Closing CF")
))))</f>
        <v>0</v>
      </c>
      <c r="H51" s="22" cm="1">
        <f t="array" ref="H51">_xlfn.BYROW(B51, _xlfn.LAMBDA(_xlpm.party,
   SUMIFS(ledger!J:J, ledger!B:B, _xlpm.party, ledger!E:E, "&lt;&gt;*RD*", ledger!D:D, "Silky", ledger!C:C, "&lt;&gt;October Closing CF")
))</f>
        <v>316548.09802487202</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316548.09802487202</v>
      </c>
      <c r="L51" s="22">
        <f>(SUMIF(Table14[Party],B51,Table14[Credit]))</f>
        <v>350000</v>
      </c>
      <c r="M51" s="37">
        <f>K51-L51</f>
        <v>-33451.901975127985</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1353063.2772494515</v>
      </c>
      <c r="L54" s="22">
        <f>(SUMIF(Table14[Party],B54,Table14[Credit]))</f>
        <v>0</v>
      </c>
      <c r="M54" s="37">
        <f t="shared" si="7"/>
        <v>1353063.2772494515</v>
      </c>
      <c r="N54" s="21">
        <v>10</v>
      </c>
      <c r="O54" s="21">
        <v>12</v>
      </c>
    </row>
    <row r="55" spans="1:26" x14ac:dyDescent="0.3">
      <c r="B55" s="24" t="str">
        <v>Raaz Fabrics</v>
      </c>
      <c r="C55" s="22">
        <v>25825</v>
      </c>
      <c r="D55" s="22">
        <v>23614.667154352599</v>
      </c>
      <c r="E55" s="63">
        <v>23614.667154352599</v>
      </c>
      <c r="F55" s="63">
        <v>0</v>
      </c>
      <c r="G55" s="22" cm="1">
        <f t="array" ref="G55">(_xlfn.BYROW(B55,_xlfn.LAMBDA(_xlpm.party,
(SUMIFS(ledger!J:J,ledger!B:B,_xlpm.party,ledger!E:E,"&lt;&gt;*RD*",ledger!D:D,"Chamki",ledger!C:C,"&lt;&gt;October Closing CF")+
SUMIFS(ledger!J:J,ledger!B:B,_xlpm.party,ledger!E:E,"&lt;&gt;*RD*",ledger!D:D,"Crinkle",ledger!C:C,"&lt;&gt;October Closing CF")
))))</f>
        <v>236146.671543526</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236146.671543526</v>
      </c>
      <c r="L55" s="22">
        <f>(SUMIF(Table14[Party],B55,Table14[Credit]))</f>
        <v>0</v>
      </c>
      <c r="M55" s="37">
        <f t="shared" si="7"/>
        <v>236146.671543526</v>
      </c>
      <c r="N55" s="21">
        <v>10</v>
      </c>
      <c r="O55" s="21">
        <v>12</v>
      </c>
    </row>
    <row r="56" spans="1:26" x14ac:dyDescent="0.3">
      <c r="B56" s="24" t="str">
        <v>Azam</v>
      </c>
      <c r="C56" s="22">
        <v>70654</v>
      </c>
      <c r="D56" s="22">
        <v>64606.803218727146</v>
      </c>
      <c r="E56" s="63">
        <v>64606.803218727146</v>
      </c>
      <c r="F56" s="63">
        <v>0</v>
      </c>
      <c r="G56" s="22" cm="1">
        <f t="array" ref="G56">(_xlfn.BYROW(B56,_xlfn.LAMBDA(_xlpm.party,
(SUMIFS(ledger!J:J,ledger!B:B,_xlpm.party,ledger!E:E,"&lt;&gt;*RD*",ledger!D:D,"Chamki",ledger!C:C,"&lt;&gt;October Closing CF")+
SUMIFS(ledger!J:J,ledger!B:B,_xlpm.party,ledger!E:E,"&lt;&gt;*RD*",ledger!D:D,"Crinkle",ledger!C:C,"&lt;&gt;October Closing CF")
))))</f>
        <v>646068.0321872714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646068.0321872714</v>
      </c>
      <c r="L56" s="22">
        <f>(SUMIF(Table14[Party],B56,Table14[Credit]))</f>
        <v>475000</v>
      </c>
      <c r="M56" s="37">
        <f t="shared" ref="M56:M69" si="8">K56-L56</f>
        <v>171068.0321872714</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0</v>
      </c>
      <c r="M57" s="37">
        <f t="shared" si="8"/>
        <v>0</v>
      </c>
      <c r="N57" s="21">
        <v>10</v>
      </c>
      <c r="O57" s="21">
        <v>12</v>
      </c>
      <c r="X57" s="4" t="s">
        <v>21</v>
      </c>
      <c r="Y57" s="5">
        <v>72040.051207022683</v>
      </c>
      <c r="Z57" s="18">
        <v>825246.89100219461</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14893.928310168252</v>
      </c>
      <c r="Z58" s="18">
        <v>178727.13972201903</v>
      </c>
    </row>
    <row r="59" spans="1:26" x14ac:dyDescent="0.3">
      <c r="B59" s="24" t="str">
        <v>Hafiz Qureshi</v>
      </c>
      <c r="C59" s="22">
        <v>0</v>
      </c>
      <c r="D59" s="22">
        <v>0</v>
      </c>
      <c r="E59" s="63">
        <v>0</v>
      </c>
      <c r="F59" s="63">
        <v>0</v>
      </c>
      <c r="G59" s="22" cm="1">
        <f t="array" ref="G59">(_xlfn.BYROW(B59,_xlfn.LAMBDA(_xlpm.party,
(SUMIFS(ledger!J:J,ledger!B:B,_xlpm.party,ledger!E:E,"&lt;&gt;*RD*",ledger!D:D,"Chamki",ledger!C:C,"&lt;&gt;October Closing CF")+
SUMIFS(ledger!J:J,ledger!B:B,_xlpm.party,ledger!E:E,"&lt;&gt;*RD*",ledger!D:D,"Crinkle",ledger!C:C,"&lt;&gt;October Closing CF")
))))</f>
        <v>0</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0</v>
      </c>
      <c r="L59" s="22">
        <f>SUMIF(Table14[Party], B59, Table14[Credit])</f>
        <v>0</v>
      </c>
      <c r="M59" s="37">
        <f t="shared" si="8"/>
        <v>0</v>
      </c>
      <c r="N59" s="21">
        <v>10</v>
      </c>
      <c r="O59" s="21">
        <v>12</v>
      </c>
      <c r="X59" s="4" t="s">
        <v>9</v>
      </c>
      <c r="Y59" s="5">
        <v>24349.853694220925</v>
      </c>
      <c r="Z59" s="18">
        <v>292198.24433065113</v>
      </c>
    </row>
    <row r="60" spans="1:26" x14ac:dyDescent="0.3">
      <c r="B60" s="24" t="str">
        <v>Badshah Fabrics</v>
      </c>
      <c r="C60" s="22">
        <v>6844</v>
      </c>
      <c r="D60" s="22">
        <v>6258.2297000731533</v>
      </c>
      <c r="E60" s="63">
        <v>6258.2297000731533</v>
      </c>
      <c r="F60" s="63">
        <v>0</v>
      </c>
      <c r="G60" s="22" cm="1">
        <f t="array" ref="G60">(_xlfn.BYROW(B60,_xlfn.LAMBDA(_xlpm.party,
(SUMIFS(ledger!J:J,ledger!B:B,_xlpm.party,ledger!E:E,"&lt;&gt;*RD*",ledger!D:D,"Chamki",ledger!C:C,"&lt;&gt;October Closing CF")+
SUMIFS(ledger!J:J,ledger!B:B,_xlpm.party,ledger!E:E,"&lt;&gt;*RD*",ledger!D:D,"Crinkle",ledger!C:C,"&lt;&gt;October Closing CF")
))))</f>
        <v>62582.297000731531</v>
      </c>
      <c r="H60" s="22" cm="1">
        <f t="array" ref="H60">_xlfn.BYROW(B60, _xlfn.LAMBDA(_xlpm.party,
   SUMIFS(ledger!J:J, ledger!B:B, _xlpm.party, ledger!E:E, "&lt;&gt;*RD*", ledger!D:D, "Silky", ledger!C:C, "&lt;&gt;October Closing CF")
))</f>
        <v>0</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62582.297000731531</v>
      </c>
      <c r="L60" s="22">
        <f>SUMIF(Table14[Party], B60, Table14[Credit])</f>
        <v>875217</v>
      </c>
      <c r="M60" s="37">
        <f t="shared" si="8"/>
        <v>-812634.70299926843</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135306.32772494515</v>
      </c>
      <c r="Z62" s="18">
        <v>1353063.2772494515</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23614.667154352599</v>
      </c>
      <c r="Z63" s="18">
        <v>236146.671543526</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155</v>
      </c>
      <c r="Y64" s="5">
        <v>64606.803218727146</v>
      </c>
      <c r="Z64" s="18">
        <v>646068.0321872714</v>
      </c>
    </row>
    <row r="65" spans="2:26" x14ac:dyDescent="0.3">
      <c r="B65" t="str">
        <v>Faizan</v>
      </c>
      <c r="C65" s="22">
        <v>30315</v>
      </c>
      <c r="D65" s="22">
        <v>27720.373079736652</v>
      </c>
      <c r="E65" s="63">
        <v>0</v>
      </c>
      <c r="F65" s="63">
        <v>27720.373079736652</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360364.85003657645</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360364.85003657645</v>
      </c>
      <c r="L65" s="22">
        <f>SUMIF(Table14[Party], B65, Table14[Credit])</f>
        <v>1000000</v>
      </c>
      <c r="M65" s="37">
        <f t="shared" si="8"/>
        <v>-639635.14996342361</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151</v>
      </c>
      <c r="Y66" s="5">
        <v>0</v>
      </c>
      <c r="Z66" s="18">
        <v>0</v>
      </c>
    </row>
    <row r="67" spans="2:26" x14ac:dyDescent="0.3">
      <c r="B67" t="str">
        <v>Amjad sohail</v>
      </c>
      <c r="C67" s="22">
        <v>37340</v>
      </c>
      <c r="D67" s="22">
        <v>34144.111192392105</v>
      </c>
      <c r="E67" s="63">
        <v>34144.111192392105</v>
      </c>
      <c r="F67" s="63">
        <v>0</v>
      </c>
      <c r="G67" s="22" cm="1">
        <f t="array" ref="G67">(_xlfn.BYROW(B67,_xlfn.LAMBDA(_xlpm.party,
(SUMIFS(ledger!J:J,ledger!B:B,_xlpm.party,ledger!E:E,"&lt;&gt;*RD*",ledger!D:D,"Chamki",ledger!C:C,"&lt;&gt;October Closing CF")+
SUMIFS(ledger!J:J,ledger!B:B,_xlpm.party,ledger!E:E,"&lt;&gt;*RD*",ledger!D:D,"Crinkle",ledger!C:C,"&lt;&gt;October Closing CF")
))))</f>
        <v>341441.11192392104</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341441.11192392104</v>
      </c>
      <c r="L67" s="22">
        <f>SUMIF(Table14[Party], B67, Table14[Credit])</f>
        <v>500000</v>
      </c>
      <c r="M67" s="37">
        <f t="shared" si="8"/>
        <v>-158558.88807607896</v>
      </c>
      <c r="N67" s="21">
        <v>10</v>
      </c>
      <c r="O67" s="21">
        <v>12</v>
      </c>
      <c r="X67" s="4" t="s">
        <v>27</v>
      </c>
      <c r="Y67" s="5">
        <v>0</v>
      </c>
      <c r="Z67" s="18">
        <v>0</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169</v>
      </c>
      <c r="Y68" s="5">
        <v>6258.2297000731533</v>
      </c>
      <c r="Z68" s="18">
        <v>62582.297000731531</v>
      </c>
    </row>
    <row r="69" spans="2:26" x14ac:dyDescent="0.3">
      <c r="B69" t="str">
        <v>Shahid Qasayi</v>
      </c>
      <c r="C69" s="22">
        <v>43561</v>
      </c>
      <c r="D69" s="22">
        <v>39832.66276517923</v>
      </c>
      <c r="E69" s="63">
        <v>39832.66276517923</v>
      </c>
      <c r="F69" s="21">
        <v>0</v>
      </c>
      <c r="G69" s="22" cm="1">
        <f t="array" ref="G69">(_xlfn.BYROW(B69,_xlfn.LAMBDA(_xlpm.party,
(SUMIFS(ledger!J:J,ledger!B:B,_xlpm.party,ledger!E:E,"&lt;&gt;*RD*",ledger!D:D,"Chamki",ledger!C:C,"&lt;&gt;October Closing CF")+
SUMIFS(ledger!J:J,ledger!B:B,_xlpm.party,ledger!E:E,"&lt;&gt;*RD*",ledger!D:D,"Crinkle",ledger!C:C,"&lt;&gt;October Closing CF")
))))</f>
        <v>398326.62765179225</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398326.62765179225</v>
      </c>
      <c r="L69" s="22">
        <f>SUMIF(Table14[Party], B69, Table14[Credit])</f>
        <v>0</v>
      </c>
      <c r="M69" s="37">
        <f t="shared" si="8"/>
        <v>398326.62765179225</v>
      </c>
      <c r="N69" s="21">
        <v>10</v>
      </c>
      <c r="O69" s="21">
        <v>12</v>
      </c>
      <c r="X69" s="4" t="s">
        <v>171</v>
      </c>
      <c r="Y69" s="5">
        <v>0</v>
      </c>
      <c r="Z69" s="18">
        <v>0</v>
      </c>
    </row>
    <row r="70" spans="2:26" x14ac:dyDescent="0.3">
      <c r="B70">
        <v>0</v>
      </c>
      <c r="C70">
        <v>0</v>
      </c>
      <c r="D70">
        <v>0</v>
      </c>
      <c r="E70">
        <v>0</v>
      </c>
      <c r="F70">
        <v>0</v>
      </c>
      <c r="X70" s="4" t="s">
        <v>178</v>
      </c>
      <c r="Y70" s="5">
        <v>0</v>
      </c>
      <c r="Z70" s="18">
        <v>0</v>
      </c>
    </row>
    <row r="71" spans="2:26" x14ac:dyDescent="0.3">
      <c r="X71" s="4" t="s">
        <v>179</v>
      </c>
      <c r="Y71" s="5">
        <v>0</v>
      </c>
      <c r="Z71" s="18">
        <v>0</v>
      </c>
    </row>
    <row r="72" spans="2:26" x14ac:dyDescent="0.3">
      <c r="X72" s="4" t="s">
        <v>181</v>
      </c>
      <c r="Y72" s="5">
        <v>0</v>
      </c>
      <c r="Z72" s="18">
        <v>0</v>
      </c>
    </row>
    <row r="73" spans="2:26" x14ac:dyDescent="0.3">
      <c r="X73" s="4" t="s">
        <v>186</v>
      </c>
      <c r="Y73" s="5">
        <v>27720.373079736652</v>
      </c>
      <c r="Z73" s="18">
        <v>332644.47695683979</v>
      </c>
    </row>
    <row r="74" spans="2:26" x14ac:dyDescent="0.3">
      <c r="X74" s="4" t="s">
        <v>28</v>
      </c>
      <c r="Y74" s="14">
        <v>368790.23408924654</v>
      </c>
      <c r="Z74" s="14">
        <v>3926677.0299926847</v>
      </c>
    </row>
    <row r="81" spans="2:15" x14ac:dyDescent="0.3">
      <c r="B81" t="s">
        <v>157</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5">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row r="105" spans="2:15" x14ac:dyDescent="0.3">
      <c r="B105">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5"/>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5">_xlfn.UNIQUE(Table1[Party Name])</f>
        <v>BSC</v>
      </c>
    </row>
    <row r="5" spans="2:10" x14ac:dyDescent="0.3">
      <c r="J5" t="str">
        <v>Ejaz Sahab</v>
      </c>
    </row>
    <row r="6" spans="2:10" ht="21" x14ac:dyDescent="0.4">
      <c r="B6" s="64" t="s">
        <v>194</v>
      </c>
      <c r="J6" t="str">
        <v>Arshad</v>
      </c>
    </row>
    <row r="7" spans="2:10" ht="15.6" x14ac:dyDescent="0.3">
      <c r="B7" s="62" t="s">
        <v>36</v>
      </c>
      <c r="C7" s="62" t="s">
        <v>4</v>
      </c>
      <c r="D7" s="62" t="s">
        <v>153</v>
      </c>
      <c r="E7" s="62" t="s">
        <v>154</v>
      </c>
      <c r="J7" t="str">
        <v>Shehzad Kamoki</v>
      </c>
    </row>
    <row r="8" spans="2:10" ht="18" x14ac:dyDescent="0.35">
      <c r="B8" s="55" t="s">
        <v>37</v>
      </c>
      <c r="C8" s="66"/>
      <c r="D8" s="68" cm="1">
        <f t="array" ref="D8">_xlfn.XLOOKUP($B$6,_xlfn.ANCHORARRAY( Billing!Q5), INDEX(Billing!R5:R25, _xlfn.SEQUENCE(ROWS(_xlfn.ANCHORARRAY(Billing!$Q$5)))), "Not Found")</f>
        <v>2284191</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2088689.6488661305</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1915019.2026335041</v>
      </c>
      <c r="E12" s="92">
        <f ca="1">Table21[[#This Row],[gazana]]*Table21[[#This Row],[Rate]]</f>
        <v>19150192.026335042</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173670.44623262621</v>
      </c>
      <c r="E14" s="66">
        <f ca="1">Table21[[#This Row],[gazana]]*Table21[[#This Row],[Rate]]</f>
        <v>2084045.3547915146</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21234237.381126557</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19010004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2309547.9385515787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v>0</v>
      </c>
    </row>
  </sheetData>
  <conditionalFormatting sqref="E20">
    <cfRule type="cellIs" dxfId="7" priority="1" operator="lessThan">
      <formula>20000</formula>
    </cfRule>
    <cfRule type="cellIs" dxfId="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D5" sqref="D5"/>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1478860</v>
      </c>
      <c r="D4" t="s">
        <v>221</v>
      </c>
    </row>
    <row r="5" spans="1:4" x14ac:dyDescent="0.3">
      <c r="B5" t="s">
        <v>48</v>
      </c>
      <c r="C5" s="11">
        <f>SUM(Table8[Price])+Table2325[[#Totals],[total]]</f>
        <v>422820</v>
      </c>
    </row>
    <row r="6" spans="1:4" x14ac:dyDescent="0.3">
      <c r="B6" t="s">
        <v>49</v>
      </c>
      <c r="C6" s="11">
        <f>SUM(Table2[Price])+Finish!J30</f>
        <v>600000</v>
      </c>
      <c r="D6" t="s">
        <v>220</v>
      </c>
    </row>
    <row r="7" spans="1:4" x14ac:dyDescent="0.3">
      <c r="B7" t="s">
        <v>50</v>
      </c>
      <c r="C7" s="11">
        <f>SUMIFS(Table14[Debit], Table14[Party],Table12[[#This Row],[Type]])</f>
        <v>3700</v>
      </c>
    </row>
    <row r="8" spans="1:4" x14ac:dyDescent="0.3">
      <c r="B8" t="s">
        <v>51</v>
      </c>
      <c r="C8" s="11">
        <f>Electricity!E3</f>
        <v>0</v>
      </c>
    </row>
    <row r="9" spans="1:4" x14ac:dyDescent="0.3">
      <c r="B9" t="s">
        <v>52</v>
      </c>
      <c r="C9" s="11">
        <f>Table11[[#Totals],[Amount]]+'Salary Acc'!I37</f>
        <v>25000</v>
      </c>
    </row>
    <row r="10" spans="1:4" x14ac:dyDescent="0.3">
      <c r="B10" t="s">
        <v>53</v>
      </c>
      <c r="C10" s="11">
        <f>Table5[[#Totals],[Amount]]</f>
        <v>43315</v>
      </c>
    </row>
    <row r="11" spans="1:4" x14ac:dyDescent="0.3">
      <c r="B11" t="s">
        <v>54</v>
      </c>
      <c r="C11" s="11">
        <f>Table13[[#Totals],[Debit]]</f>
        <v>47248</v>
      </c>
    </row>
    <row r="12" spans="1:4" x14ac:dyDescent="0.3">
      <c r="B12" t="s">
        <v>55</v>
      </c>
      <c r="C12" s="11">
        <f>Table15[[#Totals],[Amount]]</f>
        <v>86650</v>
      </c>
    </row>
    <row r="13" spans="1:4" x14ac:dyDescent="0.3">
      <c r="C13" s="11"/>
    </row>
    <row r="14" spans="1:4" x14ac:dyDescent="0.3">
      <c r="C14" s="14">
        <f>SUM(Table12[Amount])</f>
        <v>2707593</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5194150.5120702265</v>
      </c>
    </row>
    <row r="4" spans="1:3" x14ac:dyDescent="0.3">
      <c r="B4" s="11" t="s">
        <v>44</v>
      </c>
      <c r="C4" s="11">
        <f>Table12[[#Totals],[Amount]]</f>
        <v>2707593</v>
      </c>
    </row>
    <row r="5" spans="1:3" x14ac:dyDescent="0.3">
      <c r="A5" s="6"/>
      <c r="B5" s="15" t="s">
        <v>68</v>
      </c>
      <c r="C5" s="15">
        <f>C3-C4</f>
        <v>2486557.5120702265</v>
      </c>
    </row>
    <row r="10" spans="1:3" ht="15" thickBot="1" x14ac:dyDescent="0.35">
      <c r="B10" t="s">
        <v>66</v>
      </c>
      <c r="C10" s="14" t="s">
        <v>67</v>
      </c>
    </row>
    <row r="11" spans="1:3" x14ac:dyDescent="0.3">
      <c r="B11" s="56" t="s">
        <v>0</v>
      </c>
      <c r="C11" s="57">
        <f>C3</f>
        <v>5194150.5120702265</v>
      </c>
    </row>
    <row r="12" spans="1:3" x14ac:dyDescent="0.3">
      <c r="B12" s="58" t="s">
        <v>69</v>
      </c>
      <c r="C12" s="59">
        <f>SUM(Table14[Credit])</f>
        <v>4119558</v>
      </c>
    </row>
    <row r="13" spans="1:3" ht="15" thickBot="1" x14ac:dyDescent="0.35">
      <c r="B13" s="74" t="s">
        <v>96</v>
      </c>
      <c r="C13" s="73">
        <f>(C11-C12)</f>
        <v>1074592.5120702265</v>
      </c>
    </row>
    <row r="14" spans="1:3" ht="15" thickBot="1" x14ac:dyDescent="0.35">
      <c r="B14" s="58"/>
      <c r="C14" s="59"/>
    </row>
    <row r="15" spans="1:3" x14ac:dyDescent="0.3">
      <c r="B15" s="56" t="s">
        <v>44</v>
      </c>
      <c r="C15" s="57">
        <f>C4</f>
        <v>2707593</v>
      </c>
    </row>
    <row r="16" spans="1:3" x14ac:dyDescent="0.3">
      <c r="B16" s="58" t="s">
        <v>70</v>
      </c>
      <c r="C16" s="59">
        <f>SUM(Table14[Debit])</f>
        <v>3643770</v>
      </c>
    </row>
    <row r="17" spans="2:6" ht="15" thickBot="1" x14ac:dyDescent="0.35">
      <c r="B17" s="74" t="s">
        <v>71</v>
      </c>
      <c r="C17" s="73">
        <f>C15-C16</f>
        <v>-936177</v>
      </c>
    </row>
    <row r="18" spans="2:6" ht="15" thickBot="1" x14ac:dyDescent="0.35">
      <c r="B18" s="58"/>
      <c r="C18" s="59"/>
    </row>
    <row r="19" spans="2:6" ht="15" thickBot="1" x14ac:dyDescent="0.35">
      <c r="B19" s="75" t="s">
        <v>72</v>
      </c>
      <c r="C19" s="76">
        <f>Table18[[#Totals],[amount]]</f>
        <v>475788</v>
      </c>
    </row>
    <row r="20" spans="2:6" ht="15" thickBot="1" x14ac:dyDescent="0.35">
      <c r="B20" s="71"/>
      <c r="C20" s="72"/>
    </row>
    <row r="21" spans="2:6" ht="15" thickBot="1" x14ac:dyDescent="0.35">
      <c r="B21" s="60" t="s">
        <v>73</v>
      </c>
      <c r="C21" s="61">
        <f>(C13-C17)+C19</f>
        <v>2486557.5120702265</v>
      </c>
      <c r="E21" s="79" t="s">
        <v>74</v>
      </c>
      <c r="F21" s="80">
        <f>C5*0.05</f>
        <v>124327.87560351133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0</v>
      </c>
      <c r="E13">
        <f>SUMIFS(Table14[Credit], Table14[Date], Table13[[#This Row],[Date]], Table14[Party], "Transport")</f>
        <v>0</v>
      </c>
    </row>
    <row r="14" spans="2:6" x14ac:dyDescent="0.3">
      <c r="B14" s="1">
        <v>45987</v>
      </c>
      <c r="D14">
        <f>SUMIFS(Table14[Debit], Table14[Date], Table13[[#This Row],[Date]], Table14[Party], "Transport")</f>
        <v>0</v>
      </c>
      <c r="E14">
        <f>SUMIFS(Table14[Credit], Table14[Date], Table13[[#This Row],[Date]], Table14[Party], "Transport")</f>
        <v>0</v>
      </c>
    </row>
    <row r="15" spans="2:6" x14ac:dyDescent="0.3">
      <c r="B15" s="1">
        <v>45988</v>
      </c>
      <c r="D15">
        <f>SUMIFS(Table14[Debit], Table14[Date], Table13[[#This Row],[Date]], Table14[Party], "Transport")</f>
        <v>0</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47248</v>
      </c>
      <c r="E38">
        <f>SUBTOTAL(109,Table13[Credit])</f>
        <v>0</v>
      </c>
      <c r="F38">
        <f>Table13[[#Totals],[Debit]]-Table13[[#Totals],[Credit]]</f>
        <v>47248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00"/>
  <sheetViews>
    <sheetView topLeftCell="A97" zoomScale="82" zoomScaleNormal="90" workbookViewId="0">
      <selection activeCell="J126" sqref="J12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21875" style="10" bestFit="1" customWidth="1"/>
    <col min="5" max="5" width="15.77734375" style="10" bestFit="1" customWidth="1"/>
    <col min="6" max="6" width="18.109375" style="10" bestFit="1" customWidth="1"/>
    <col min="7" max="7" width="12.6640625" style="10" bestFit="1" customWidth="1"/>
    <col min="8" max="8" width="18" style="10" bestFit="1"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202</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202</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202</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202</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202</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202</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202</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155</v>
      </c>
      <c r="C9" s="115" t="s">
        <v>202</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202</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151</v>
      </c>
      <c r="C11" s="115" t="s">
        <v>202</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202</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169</v>
      </c>
      <c r="C13" s="115" t="s">
        <v>202</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171</v>
      </c>
      <c r="C14" s="115" t="s">
        <v>202</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178</v>
      </c>
      <c r="C15" s="115" t="s">
        <v>202</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179</v>
      </c>
      <c r="C16" s="115" t="s">
        <v>202</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181</v>
      </c>
      <c r="C17" s="115" t="s">
        <v>202</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186</v>
      </c>
      <c r="C18" s="115" t="s">
        <v>202</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189</v>
      </c>
      <c r="C19" s="115" t="s">
        <v>202</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190</v>
      </c>
      <c r="C20" s="115" t="s">
        <v>202</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198</v>
      </c>
      <c r="C21" s="115" t="s">
        <v>202</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202</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202</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202</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202</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202</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202</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202</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155</v>
      </c>
      <c r="C29" s="115" t="s">
        <v>202</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202</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151</v>
      </c>
      <c r="C31" s="115" t="s">
        <v>202</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202</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169</v>
      </c>
      <c r="C33" s="115" t="s">
        <v>202</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171</v>
      </c>
      <c r="C34" s="115" t="s">
        <v>202</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178</v>
      </c>
      <c r="C35" s="115" t="s">
        <v>202</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179</v>
      </c>
      <c r="C36" s="115" t="s">
        <v>202</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181</v>
      </c>
      <c r="C37" s="115" t="s">
        <v>202</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186</v>
      </c>
      <c r="C38" s="115" t="s">
        <v>202</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189</v>
      </c>
      <c r="C39" s="115" t="s">
        <v>202</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190</v>
      </c>
      <c r="C40" s="115" t="s">
        <v>202</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198</v>
      </c>
      <c r="C41" s="115" t="s">
        <v>202</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202</v>
      </c>
      <c r="D42" s="115" t="s">
        <v>200</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202</v>
      </c>
      <c r="D43" s="115" t="s">
        <v>200</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202</v>
      </c>
      <c r="D44" s="115" t="s">
        <v>200</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202</v>
      </c>
      <c r="D45" s="115" t="s">
        <v>200</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202</v>
      </c>
      <c r="D46" s="115" t="s">
        <v>200</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202</v>
      </c>
      <c r="D47" s="115" t="s">
        <v>200</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202</v>
      </c>
      <c r="D48" s="115" t="s">
        <v>200</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155</v>
      </c>
      <c r="C49" s="115" t="s">
        <v>202</v>
      </c>
      <c r="D49" s="115" t="s">
        <v>200</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202</v>
      </c>
      <c r="D50" s="115" t="s">
        <v>200</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151</v>
      </c>
      <c r="C51" s="115" t="s">
        <v>202</v>
      </c>
      <c r="D51" s="115" t="s">
        <v>200</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202</v>
      </c>
      <c r="D52" s="115" t="s">
        <v>200</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169</v>
      </c>
      <c r="C53" s="115" t="s">
        <v>202</v>
      </c>
      <c r="D53" s="115" t="s">
        <v>200</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171</v>
      </c>
      <c r="C54" s="115" t="s">
        <v>202</v>
      </c>
      <c r="D54" s="115" t="s">
        <v>200</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178</v>
      </c>
      <c r="C55" s="115" t="s">
        <v>202</v>
      </c>
      <c r="D55" s="115" t="s">
        <v>200</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179</v>
      </c>
      <c r="C56" s="115" t="s">
        <v>202</v>
      </c>
      <c r="D56" s="115" t="s">
        <v>200</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181</v>
      </c>
      <c r="C57" s="115" t="s">
        <v>202</v>
      </c>
      <c r="D57" s="115" t="s">
        <v>200</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186</v>
      </c>
      <c r="C58" s="115" t="s">
        <v>202</v>
      </c>
      <c r="D58" s="115" t="s">
        <v>200</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189</v>
      </c>
      <c r="C59" s="115" t="s">
        <v>202</v>
      </c>
      <c r="D59" s="115" t="s">
        <v>200</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190</v>
      </c>
      <c r="C60" s="115" t="s">
        <v>202</v>
      </c>
      <c r="D60" s="115" t="s">
        <v>200</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198</v>
      </c>
      <c r="C61" s="115" t="s">
        <v>202</v>
      </c>
      <c r="D61" s="115" t="s">
        <v>200</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202</v>
      </c>
      <c r="D62" s="115" t="s">
        <v>201</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202</v>
      </c>
      <c r="D63" s="115" t="s">
        <v>201</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202</v>
      </c>
      <c r="D64" s="115" t="s">
        <v>201</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202</v>
      </c>
      <c r="D65" s="115" t="s">
        <v>201</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202</v>
      </c>
      <c r="D66" s="115" t="s">
        <v>201</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202</v>
      </c>
      <c r="D67" s="115" t="s">
        <v>201</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202</v>
      </c>
      <c r="D68" s="115" t="s">
        <v>201</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155</v>
      </c>
      <c r="C69" s="115" t="s">
        <v>202</v>
      </c>
      <c r="D69" s="115" t="s">
        <v>201</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202</v>
      </c>
      <c r="D70" s="115" t="s">
        <v>201</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151</v>
      </c>
      <c r="C71" s="115" t="s">
        <v>202</v>
      </c>
      <c r="D71" s="115" t="s">
        <v>201</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202</v>
      </c>
      <c r="D72" s="115" t="s">
        <v>201</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169</v>
      </c>
      <c r="C73" s="115" t="s">
        <v>202</v>
      </c>
      <c r="D73" s="115" t="s">
        <v>201</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171</v>
      </c>
      <c r="C74" s="115" t="s">
        <v>202</v>
      </c>
      <c r="D74" s="115" t="s">
        <v>201</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178</v>
      </c>
      <c r="C75" s="115" t="s">
        <v>202</v>
      </c>
      <c r="D75" s="115" t="s">
        <v>201</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179</v>
      </c>
      <c r="C76" s="115" t="s">
        <v>202</v>
      </c>
      <c r="D76" s="115" t="s">
        <v>201</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181</v>
      </c>
      <c r="C77" s="115" t="s">
        <v>202</v>
      </c>
      <c r="D77" s="115" t="s">
        <v>201</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186</v>
      </c>
      <c r="C78" s="115" t="s">
        <v>202</v>
      </c>
      <c r="D78" s="115" t="s">
        <v>201</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189</v>
      </c>
      <c r="C79" s="115" t="s">
        <v>202</v>
      </c>
      <c r="D79" s="115" t="s">
        <v>201</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190</v>
      </c>
      <c r="C80" s="115" t="s">
        <v>202</v>
      </c>
      <c r="D80" s="115" t="s">
        <v>201</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198</v>
      </c>
      <c r="C81" s="115" t="s">
        <v>202</v>
      </c>
      <c r="D81" s="115" t="s">
        <v>201</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198</v>
      </c>
      <c r="C82" s="109">
        <v>1091</v>
      </c>
      <c r="D82" s="109" t="s">
        <v>87</v>
      </c>
      <c r="E82" s="110">
        <v>1879</v>
      </c>
      <c r="F82" s="110">
        <v>15061</v>
      </c>
      <c r="G82" s="110">
        <v>8370</v>
      </c>
      <c r="H82" s="11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21">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198</v>
      </c>
      <c r="C84" s="109">
        <v>1093</v>
      </c>
      <c r="D84" s="109" t="s">
        <v>87</v>
      </c>
      <c r="E84" s="110">
        <v>1879</v>
      </c>
      <c r="F84" s="110">
        <v>15061</v>
      </c>
      <c r="G84" s="110">
        <v>7850</v>
      </c>
      <c r="H84" s="11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198</v>
      </c>
      <c r="C85" s="118">
        <v>1094</v>
      </c>
      <c r="D85" s="118" t="s">
        <v>87</v>
      </c>
      <c r="E85" s="120" t="s">
        <v>199</v>
      </c>
      <c r="F85" s="120">
        <v>17020</v>
      </c>
      <c r="G85" s="120">
        <v>3280</v>
      </c>
      <c r="H85" s="121">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198</v>
      </c>
      <c r="C86" s="109">
        <v>1095</v>
      </c>
      <c r="D86" s="109" t="s">
        <v>87</v>
      </c>
      <c r="E86" s="110" t="s">
        <v>199</v>
      </c>
      <c r="F86" s="110">
        <v>17020</v>
      </c>
      <c r="G86" s="110">
        <v>2238</v>
      </c>
      <c r="H86" s="11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198</v>
      </c>
      <c r="C87" s="118">
        <v>1096</v>
      </c>
      <c r="D87" s="118" t="s">
        <v>87</v>
      </c>
      <c r="E87" s="120" t="s">
        <v>199</v>
      </c>
      <c r="F87" s="120">
        <v>17020</v>
      </c>
      <c r="G87" s="120">
        <v>7449</v>
      </c>
      <c r="H87" s="121">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198</v>
      </c>
      <c r="C88" s="109">
        <v>1097</v>
      </c>
      <c r="D88" s="109" t="s">
        <v>87</v>
      </c>
      <c r="E88" s="110" t="s">
        <v>199</v>
      </c>
      <c r="F88" s="110">
        <v>17020</v>
      </c>
      <c r="G88" s="110">
        <v>5162</v>
      </c>
      <c r="H88" s="11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8">
        <v>45980</v>
      </c>
      <c r="B89" s="126" t="s">
        <v>9</v>
      </c>
      <c r="C89" s="118">
        <v>1098</v>
      </c>
      <c r="D89" s="126" t="s">
        <v>87</v>
      </c>
      <c r="E89" s="11">
        <v>1878</v>
      </c>
      <c r="F89" s="11">
        <v>25021</v>
      </c>
      <c r="G89" s="11">
        <v>26629</v>
      </c>
      <c r="H89" s="127">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8">
        <v>45980</v>
      </c>
      <c r="B90" s="126" t="s">
        <v>21</v>
      </c>
      <c r="C90" s="126">
        <v>1099</v>
      </c>
      <c r="D90" s="126" t="s">
        <v>87</v>
      </c>
      <c r="E90" s="11">
        <v>1897</v>
      </c>
      <c r="F90" s="11">
        <v>11127</v>
      </c>
      <c r="G90" s="11">
        <v>11819</v>
      </c>
      <c r="H90" s="127">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8">
        <v>45980</v>
      </c>
      <c r="B91" s="126" t="s">
        <v>21</v>
      </c>
      <c r="C91" s="126">
        <v>1100</v>
      </c>
      <c r="D91" s="126" t="s">
        <v>87</v>
      </c>
      <c r="E91" s="11">
        <v>1920</v>
      </c>
      <c r="F91" s="11">
        <v>12000</v>
      </c>
      <c r="G91" s="11">
        <v>6508</v>
      </c>
      <c r="H91" s="127">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8">
        <v>45980</v>
      </c>
      <c r="B92" s="126" t="s">
        <v>21</v>
      </c>
      <c r="C92" s="126">
        <v>1101</v>
      </c>
      <c r="D92" s="126" t="s">
        <v>87</v>
      </c>
      <c r="E92" s="11">
        <v>1898</v>
      </c>
      <c r="F92" s="11">
        <v>8003</v>
      </c>
      <c r="G92" s="11">
        <v>5167</v>
      </c>
      <c r="H92" s="127">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8">
        <v>45980</v>
      </c>
      <c r="B93" s="126" t="s">
        <v>21</v>
      </c>
      <c r="C93" s="126">
        <v>1102</v>
      </c>
      <c r="D93" s="126" t="s">
        <v>87</v>
      </c>
      <c r="E93" s="11">
        <v>1898</v>
      </c>
      <c r="F93" s="11">
        <v>8003</v>
      </c>
      <c r="G93" s="11">
        <v>3366</v>
      </c>
      <c r="H93" s="127">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8">
        <v>45980</v>
      </c>
      <c r="B94" s="126" t="s">
        <v>21</v>
      </c>
      <c r="C94" s="126">
        <v>1103</v>
      </c>
      <c r="D94" s="126" t="s">
        <v>87</v>
      </c>
      <c r="E94" s="11">
        <v>1920</v>
      </c>
      <c r="F94" s="11">
        <v>12000</v>
      </c>
      <c r="G94" s="11">
        <v>6423</v>
      </c>
      <c r="H94" s="127">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8">
        <v>45980</v>
      </c>
      <c r="B95" s="126" t="s">
        <v>21</v>
      </c>
      <c r="C95" s="126">
        <v>1104</v>
      </c>
      <c r="D95" s="126" t="s">
        <v>87</v>
      </c>
      <c r="E95" s="11">
        <v>1875</v>
      </c>
      <c r="F95" s="11">
        <v>8051</v>
      </c>
      <c r="G95" s="11">
        <v>8739</v>
      </c>
      <c r="H95" s="127">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8">
        <v>45980</v>
      </c>
      <c r="B96" s="126" t="s">
        <v>21</v>
      </c>
      <c r="C96" s="126">
        <v>1105</v>
      </c>
      <c r="D96" s="126" t="s">
        <v>87</v>
      </c>
      <c r="E96" s="11">
        <v>1918</v>
      </c>
      <c r="F96" s="11">
        <v>24516</v>
      </c>
      <c r="G96" s="11">
        <v>6876</v>
      </c>
      <c r="H96" s="127">
        <f>_xlfn.XLOOKUP(Table1[[#This Row],[Shipment Number]], 'pivot '!A:A,'pivot '!G:G, "NF")</f>
        <v>49.639505090684388</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8">
        <v>45981</v>
      </c>
      <c r="B97" s="126" t="s">
        <v>186</v>
      </c>
      <c r="C97" s="126">
        <v>1106</v>
      </c>
      <c r="D97" s="126" t="s">
        <v>87</v>
      </c>
      <c r="E97" s="11">
        <v>1906</v>
      </c>
      <c r="F97" s="11">
        <v>36489</v>
      </c>
      <c r="G97" s="11">
        <v>27661</v>
      </c>
      <c r="H97" s="127">
        <f>_xlfn.XLOOKUP(Table1[[#This Row],[Shipment Number]], 'pivot '!A:A,'pivot '!G:G, "NF")</f>
        <v>30.681778154304624</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8">
        <v>45981</v>
      </c>
      <c r="B98" s="126" t="s">
        <v>186</v>
      </c>
      <c r="C98" s="126">
        <v>1107</v>
      </c>
      <c r="D98" s="126" t="s">
        <v>87</v>
      </c>
      <c r="E98" s="11">
        <v>1873</v>
      </c>
      <c r="F98" s="11">
        <v>42762</v>
      </c>
      <c r="G98" s="11">
        <v>835</v>
      </c>
      <c r="H98" s="127">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8">
        <v>45981</v>
      </c>
      <c r="B99" s="126" t="s">
        <v>186</v>
      </c>
      <c r="C99" s="126">
        <v>1108</v>
      </c>
      <c r="D99" s="126" t="s">
        <v>87</v>
      </c>
      <c r="E99" s="11">
        <v>1883</v>
      </c>
      <c r="F99" s="11">
        <v>8030</v>
      </c>
      <c r="G99" s="11">
        <v>1819</v>
      </c>
      <c r="H99" s="127">
        <f>_xlfn.XLOOKUP(Table1[[#This Row],[Shipment Number]], 'pivot '!A:A,'pivot '!G:G, "NF")</f>
        <v>79.286253724830345</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8">
        <v>45981</v>
      </c>
      <c r="B100" s="126" t="s">
        <v>21</v>
      </c>
      <c r="C100" s="126">
        <v>1109</v>
      </c>
      <c r="D100" s="126" t="s">
        <v>87</v>
      </c>
      <c r="E100" s="11">
        <v>1918</v>
      </c>
      <c r="F100" s="11">
        <v>24116</v>
      </c>
      <c r="G100" s="11">
        <v>6626</v>
      </c>
      <c r="H100" s="127">
        <f>_xlfn.XLOOKUP(Table1[[#This Row],[Shipment Number]], 'pivot '!A:A,'pivot '!G:G, "NF")</f>
        <v>49.639505090684388</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8">
        <v>45981</v>
      </c>
      <c r="B101" s="126" t="s">
        <v>21</v>
      </c>
      <c r="C101" s="126">
        <v>1110</v>
      </c>
      <c r="D101" s="126" t="s">
        <v>87</v>
      </c>
      <c r="E101" s="11">
        <v>1917</v>
      </c>
      <c r="F101" s="11">
        <v>10009</v>
      </c>
      <c r="G101" s="11">
        <v>1806</v>
      </c>
      <c r="H101" s="127">
        <f>_xlfn.XLOOKUP(Table1[[#This Row],[Shipment Number]], 'pivot '!A:A,'pivot '!G:G, "NF")</f>
        <v>83.500584660345552</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8">
        <v>45981</v>
      </c>
      <c r="B102" s="126" t="s">
        <v>244</v>
      </c>
      <c r="C102" s="126">
        <v>1111</v>
      </c>
      <c r="D102" s="126" t="s">
        <v>85</v>
      </c>
      <c r="E102" s="11">
        <v>1900</v>
      </c>
      <c r="F102" s="11">
        <v>15833</v>
      </c>
      <c r="G102" s="11">
        <v>16832</v>
      </c>
      <c r="H102" s="127">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8">
        <v>45981</v>
      </c>
      <c r="B103" s="126" t="s">
        <v>21</v>
      </c>
      <c r="C103" s="126">
        <v>1112</v>
      </c>
      <c r="D103" s="126" t="s">
        <v>85</v>
      </c>
      <c r="E103" s="11">
        <v>1930</v>
      </c>
      <c r="F103" s="11">
        <v>19698</v>
      </c>
      <c r="G103" s="11">
        <v>21453</v>
      </c>
      <c r="H103" s="127">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8">
        <v>45982</v>
      </c>
      <c r="B104" s="126" t="s">
        <v>244</v>
      </c>
      <c r="C104" s="126">
        <v>1113</v>
      </c>
      <c r="D104" s="126" t="s">
        <v>85</v>
      </c>
      <c r="E104" s="11">
        <v>1911</v>
      </c>
      <c r="F104" s="11">
        <v>25728</v>
      </c>
      <c r="G104" s="11">
        <v>26729</v>
      </c>
      <c r="H104" s="127">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8">
        <v>45982</v>
      </c>
      <c r="B105" s="126" t="s">
        <v>25</v>
      </c>
      <c r="C105" s="126">
        <v>1114</v>
      </c>
      <c r="D105" s="126" t="s">
        <v>85</v>
      </c>
      <c r="E105" s="11">
        <v>1887</v>
      </c>
      <c r="F105" s="11">
        <v>53910</v>
      </c>
      <c r="G105" s="11">
        <v>19686</v>
      </c>
      <c r="H105" s="127">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8">
        <v>45982</v>
      </c>
      <c r="B106" s="126" t="s">
        <v>26</v>
      </c>
      <c r="C106" s="126">
        <v>1115</v>
      </c>
      <c r="D106" s="126" t="s">
        <v>85</v>
      </c>
      <c r="E106" s="11" t="s">
        <v>245</v>
      </c>
      <c r="F106" s="11">
        <v>24227</v>
      </c>
      <c r="G106" s="11">
        <v>25825</v>
      </c>
      <c r="H106" s="127">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8">
        <v>45982</v>
      </c>
      <c r="B107" s="126" t="s">
        <v>155</v>
      </c>
      <c r="C107" s="126">
        <v>1116</v>
      </c>
      <c r="D107" s="126" t="s">
        <v>85</v>
      </c>
      <c r="E107" s="11">
        <v>1882</v>
      </c>
      <c r="F107" s="11">
        <v>26019</v>
      </c>
      <c r="G107" s="11">
        <v>4064</v>
      </c>
      <c r="H107" s="127">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8">
        <v>45983</v>
      </c>
      <c r="B108" s="126" t="s">
        <v>25</v>
      </c>
      <c r="C108" s="126">
        <v>1117</v>
      </c>
      <c r="D108" s="126" t="s">
        <v>85</v>
      </c>
      <c r="E108" s="11">
        <v>1887</v>
      </c>
      <c r="F108" s="11">
        <v>53910</v>
      </c>
      <c r="G108" s="11">
        <v>33096</v>
      </c>
      <c r="H108" s="127">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8">
        <v>45983</v>
      </c>
      <c r="B109" s="126" t="s">
        <v>25</v>
      </c>
      <c r="C109" s="126">
        <v>1118</v>
      </c>
      <c r="D109" s="126" t="s">
        <v>85</v>
      </c>
      <c r="E109" s="11">
        <v>1890</v>
      </c>
      <c r="F109" s="11">
        <v>24030</v>
      </c>
      <c r="G109" s="11">
        <v>8374</v>
      </c>
      <c r="H109" s="127">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8">
        <v>45983</v>
      </c>
      <c r="B110" s="126" t="s">
        <v>25</v>
      </c>
      <c r="C110" s="126">
        <v>1119</v>
      </c>
      <c r="D110" s="126" t="s">
        <v>85</v>
      </c>
      <c r="E110" s="11">
        <v>1890</v>
      </c>
      <c r="F110" s="11">
        <v>24030</v>
      </c>
      <c r="G110" s="11">
        <v>17168</v>
      </c>
      <c r="H110" s="127">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8">
        <v>45983</v>
      </c>
      <c r="B111" s="126" t="s">
        <v>25</v>
      </c>
      <c r="C111" s="126">
        <v>1120</v>
      </c>
      <c r="D111" s="126" t="s">
        <v>85</v>
      </c>
      <c r="E111" s="11">
        <v>1877</v>
      </c>
      <c r="F111" s="11">
        <v>25519</v>
      </c>
      <c r="G111" s="11">
        <v>27328</v>
      </c>
      <c r="H111" s="127">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8">
        <v>45983</v>
      </c>
      <c r="B112" s="126" t="s">
        <v>25</v>
      </c>
      <c r="C112" s="126">
        <v>1121</v>
      </c>
      <c r="D112" s="126" t="s">
        <v>85</v>
      </c>
      <c r="E112" s="11">
        <v>1887</v>
      </c>
      <c r="F112" s="11">
        <v>53910</v>
      </c>
      <c r="G112" s="11">
        <v>2234</v>
      </c>
      <c r="H112" s="127">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8">
        <v>45983</v>
      </c>
      <c r="B113" s="126" t="s">
        <v>155</v>
      </c>
      <c r="C113" s="126">
        <v>1122</v>
      </c>
      <c r="D113" s="126" t="s">
        <v>85</v>
      </c>
      <c r="E113" s="11">
        <v>1882</v>
      </c>
      <c r="F113" s="11">
        <v>26019</v>
      </c>
      <c r="G113" s="11">
        <v>23535</v>
      </c>
      <c r="H113" s="127">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8">
        <v>45983</v>
      </c>
      <c r="B114" s="126" t="s">
        <v>155</v>
      </c>
      <c r="C114" s="126">
        <v>1123</v>
      </c>
      <c r="D114" s="126" t="s">
        <v>85</v>
      </c>
      <c r="E114" s="11">
        <v>1853</v>
      </c>
      <c r="F114" s="11">
        <v>40243</v>
      </c>
      <c r="G114" s="11">
        <v>25269</v>
      </c>
      <c r="H114" s="127">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8">
        <v>45983</v>
      </c>
      <c r="B115" s="126" t="s">
        <v>155</v>
      </c>
      <c r="C115" s="126">
        <v>1124</v>
      </c>
      <c r="D115" s="126" t="s">
        <v>85</v>
      </c>
      <c r="E115" s="11">
        <v>1853</v>
      </c>
      <c r="F115" s="11">
        <v>40243</v>
      </c>
      <c r="G115" s="11">
        <v>17786</v>
      </c>
      <c r="H115" s="127">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8">
        <v>45985</v>
      </c>
      <c r="B116" s="126" t="s">
        <v>25</v>
      </c>
      <c r="C116" s="126">
        <v>1125</v>
      </c>
      <c r="D116" s="126" t="s">
        <v>85</v>
      </c>
      <c r="E116" s="11">
        <v>1889</v>
      </c>
      <c r="F116" s="11">
        <v>35271</v>
      </c>
      <c r="G116" s="11">
        <v>32780</v>
      </c>
      <c r="H116" s="127">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8">
        <v>45985</v>
      </c>
      <c r="B117" s="126" t="s">
        <v>25</v>
      </c>
      <c r="C117" s="126">
        <v>1126</v>
      </c>
      <c r="D117" s="126" t="s">
        <v>85</v>
      </c>
      <c r="E117" s="11">
        <v>1887</v>
      </c>
      <c r="F117" s="11">
        <v>53910</v>
      </c>
      <c r="G117" s="11">
        <v>2589</v>
      </c>
      <c r="H117" s="127">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8">
        <v>45985</v>
      </c>
      <c r="B118" s="126" t="s">
        <v>169</v>
      </c>
      <c r="C118" s="126">
        <v>1127</v>
      </c>
      <c r="D118" s="126" t="s">
        <v>85</v>
      </c>
      <c r="E118" s="11" t="s">
        <v>256</v>
      </c>
      <c r="F118" s="11">
        <v>69241</v>
      </c>
      <c r="G118" s="11">
        <v>6844</v>
      </c>
      <c r="H118" s="127">
        <f>_xlfn.XLOOKUP(Table1[[#This Row],[Shipment Number]], 'pivot '!A:A,'pivot '!G:G, "NF")</f>
        <v>90.961670541914245</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8">
        <v>45985</v>
      </c>
      <c r="B119" s="126" t="s">
        <v>190</v>
      </c>
      <c r="C119" s="126">
        <v>1128</v>
      </c>
      <c r="D119" s="126" t="s">
        <v>85</v>
      </c>
      <c r="E119" s="11">
        <v>1884</v>
      </c>
      <c r="F119" s="11">
        <v>34783</v>
      </c>
      <c r="G119" s="11">
        <v>37340</v>
      </c>
      <c r="H119" s="127">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8">
        <v>45985</v>
      </c>
      <c r="B120" s="126"/>
      <c r="C120" s="126">
        <v>1129</v>
      </c>
      <c r="D120" s="126"/>
      <c r="E120" s="11"/>
      <c r="F120" s="11"/>
      <c r="G120" s="11"/>
      <c r="H120" s="127" t="e">
        <f>_xlfn.XLOOKUP(Table1[[#This Row],[Shipment Number]], 'pivot '!A:A,'pivot '!G:G, "NF")</f>
        <v>#DIV/0!</v>
      </c>
      <c r="I120" s="111"/>
      <c r="J120" s="99"/>
      <c r="K120" s="126"/>
      <c r="P120"/>
      <c r="Q120"/>
    </row>
    <row r="121" spans="1:17" x14ac:dyDescent="0.3">
      <c r="A121" s="128">
        <v>45985</v>
      </c>
      <c r="B121" s="126" t="s">
        <v>25</v>
      </c>
      <c r="C121" s="126">
        <v>1130</v>
      </c>
      <c r="D121" s="126" t="s">
        <v>85</v>
      </c>
      <c r="E121" s="11">
        <v>1889</v>
      </c>
      <c r="F121" s="11">
        <v>35271</v>
      </c>
      <c r="G121" s="11">
        <v>4716</v>
      </c>
      <c r="H121" s="127">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c r="B122"/>
      <c r="C122"/>
      <c r="D122"/>
      <c r="E122" s="14"/>
      <c r="F122" s="14"/>
      <c r="G122" s="14"/>
      <c r="H122" s="43"/>
      <c r="I122" s="94" cm="1">
        <f t="array" aca="1" ref="I122" ca="1">SUMPRODUCT( SUBTOTAL(109, OFFSET(Table1[tiyar/meters], ROW(Table1[tiyar/meters])-MIN(ROW(Table1[tiyar/meters])), 0, 1)), --(Table1[Bill Number]&lt;&gt;"October Closing CF") )</f>
        <v>474176.11558156554</v>
      </c>
      <c r="J122" s="43" cm="1">
        <f t="array" aca="1" ref="J122" ca="1">SUMPRODUCT( SUBTOTAL(109, OFFSET(Table1[billing], ROW(Table1[billing])-MIN(ROW(Table1[billing])), 0, 1)), --(Table1[Bill Number]&lt;&gt;"October Closing CF") )</f>
        <v>5194150.5120702265</v>
      </c>
      <c r="K122" s="14">
        <f>SUMIFS(Table1[billing], Table1[Bill Number], "&lt;&gt;October Closing CF")</f>
        <v>5194150.5120702265</v>
      </c>
      <c r="P122"/>
      <c r="Q122"/>
    </row>
    <row r="123" spans="1:17" x14ac:dyDescent="0.3">
      <c r="P123"/>
      <c r="Q123"/>
    </row>
    <row r="124" spans="1:17" x14ac:dyDescent="0.3">
      <c r="P124"/>
      <c r="Q124"/>
    </row>
    <row r="125" spans="1:17" x14ac:dyDescent="0.3">
      <c r="P125"/>
      <c r="Q125"/>
    </row>
    <row r="126" spans="1:17" x14ac:dyDescent="0.3">
      <c r="P126"/>
      <c r="Q126"/>
    </row>
    <row r="127" spans="1:17" x14ac:dyDescent="0.3">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49" spans="4:11" x14ac:dyDescent="0.3">
      <c r="D149" s="3" t="s">
        <v>2</v>
      </c>
      <c r="E149" t="s">
        <v>88</v>
      </c>
    </row>
    <row r="150" spans="4:11" x14ac:dyDescent="0.3">
      <c r="D150" s="3" t="s">
        <v>75</v>
      </c>
      <c r="E150" t="s">
        <v>88</v>
      </c>
    </row>
    <row r="151" spans="4:11" x14ac:dyDescent="0.3">
      <c r="D151" s="3" t="s">
        <v>79</v>
      </c>
      <c r="E151" t="s">
        <v>88</v>
      </c>
    </row>
    <row r="153" spans="4:11" x14ac:dyDescent="0.3">
      <c r="D153" s="3" t="s">
        <v>6</v>
      </c>
      <c r="E153" t="s">
        <v>89</v>
      </c>
      <c r="F153" t="s">
        <v>90</v>
      </c>
      <c r="G153" t="s">
        <v>91</v>
      </c>
      <c r="I153" s="3" t="s">
        <v>6</v>
      </c>
      <c r="J153" t="s">
        <v>90</v>
      </c>
      <c r="K153" t="s">
        <v>91</v>
      </c>
    </row>
    <row r="154" spans="4:11" x14ac:dyDescent="0.3">
      <c r="D154" s="16">
        <v>1091</v>
      </c>
      <c r="E154">
        <v>8370</v>
      </c>
      <c r="F154" s="28">
        <v>7653.6210680321883</v>
      </c>
      <c r="G154">
        <v>99497.073884418453</v>
      </c>
      <c r="I154" s="26">
        <v>45979</v>
      </c>
      <c r="J154" s="43">
        <v>5841581.9312362839</v>
      </c>
      <c r="K154" s="14">
        <v>60925591.276005872</v>
      </c>
    </row>
    <row r="155" spans="4:11" x14ac:dyDescent="0.3">
      <c r="D155" s="16">
        <v>1092</v>
      </c>
      <c r="E155">
        <v>16288</v>
      </c>
      <c r="F155" s="28">
        <v>14893.928310168252</v>
      </c>
      <c r="G155">
        <v>193621.06803218729</v>
      </c>
      <c r="I155" s="26">
        <v>45980</v>
      </c>
      <c r="J155" s="43">
        <v>69062.728602779811</v>
      </c>
      <c r="K155" s="14">
        <v>897815.47183613759</v>
      </c>
    </row>
    <row r="156" spans="4:11" x14ac:dyDescent="0.3">
      <c r="D156" s="16">
        <v>1093</v>
      </c>
      <c r="E156">
        <v>7850</v>
      </c>
      <c r="F156" s="28">
        <v>7178.1272860277986</v>
      </c>
      <c r="G156">
        <v>93315.654718361387</v>
      </c>
      <c r="I156" s="26">
        <v>45981</v>
      </c>
      <c r="J156" s="43">
        <v>70438.91733723483</v>
      </c>
      <c r="K156" s="14">
        <v>810681.23628383328</v>
      </c>
    </row>
    <row r="157" spans="4:11" x14ac:dyDescent="0.3">
      <c r="D157" s="16">
        <v>1094</v>
      </c>
      <c r="E157">
        <v>3280</v>
      </c>
      <c r="F157" s="28">
        <v>2999.268471104609</v>
      </c>
      <c r="G157">
        <v>38990.490124359916</v>
      </c>
      <c r="I157" s="26">
        <v>45982</v>
      </c>
      <c r="J157" s="43">
        <v>69773.22604242868</v>
      </c>
      <c r="K157" s="14">
        <v>697732.26042428683</v>
      </c>
    </row>
    <row r="158" spans="4:11" x14ac:dyDescent="0.3">
      <c r="D158" s="16">
        <v>1095</v>
      </c>
      <c r="E158">
        <v>2238</v>
      </c>
      <c r="F158" s="28">
        <v>2046.452084857352</v>
      </c>
      <c r="G158">
        <v>26603.877103145576</v>
      </c>
      <c r="I158" s="26">
        <v>45983</v>
      </c>
      <c r="J158" s="43">
        <v>80651.060716898326</v>
      </c>
      <c r="K158" s="14">
        <v>806510.6071689832</v>
      </c>
    </row>
    <row r="159" spans="4:11" x14ac:dyDescent="0.3">
      <c r="D159" s="16">
        <v>1096</v>
      </c>
      <c r="E159">
        <v>7449</v>
      </c>
      <c r="F159" s="28">
        <v>6811.4484272128757</v>
      </c>
      <c r="G159">
        <v>88548.829553767384</v>
      </c>
      <c r="I159" s="26">
        <v>45985</v>
      </c>
      <c r="J159" s="43"/>
      <c r="K159" s="14"/>
    </row>
    <row r="160" spans="4:11" x14ac:dyDescent="0.3">
      <c r="D160" s="16">
        <v>1097</v>
      </c>
      <c r="E160">
        <v>5162</v>
      </c>
      <c r="F160" s="28">
        <v>4720.1901975128021</v>
      </c>
      <c r="G160">
        <v>61362.472567666424</v>
      </c>
      <c r="I160" s="26" t="s">
        <v>28</v>
      </c>
      <c r="J160" s="43">
        <v>6131507.8639356261</v>
      </c>
      <c r="K160" s="14">
        <v>64138330.851719104</v>
      </c>
    </row>
    <row r="161" spans="4:12" x14ac:dyDescent="0.3">
      <c r="D161" s="16">
        <v>1098</v>
      </c>
      <c r="E161">
        <v>26629</v>
      </c>
      <c r="F161" s="28">
        <v>24349.853694220925</v>
      </c>
      <c r="G161">
        <v>316548.09802487202</v>
      </c>
      <c r="I161"/>
      <c r="J161"/>
      <c r="K161"/>
    </row>
    <row r="162" spans="4:12" x14ac:dyDescent="0.3">
      <c r="D162" s="16" t="s">
        <v>202</v>
      </c>
      <c r="E162"/>
      <c r="F162" s="28">
        <v>5795278.8953913683</v>
      </c>
      <c r="G162">
        <v>60323651.810021959</v>
      </c>
      <c r="I162"/>
      <c r="J162"/>
      <c r="K162"/>
    </row>
    <row r="163" spans="4:12" x14ac:dyDescent="0.3">
      <c r="D163" s="16">
        <v>1099</v>
      </c>
      <c r="E163">
        <v>11819</v>
      </c>
      <c r="F163" s="28">
        <v>10807.425018288222</v>
      </c>
      <c r="G163">
        <v>140496.52523774689</v>
      </c>
      <c r="I163"/>
      <c r="J163"/>
      <c r="K163"/>
      <c r="L163"/>
    </row>
    <row r="164" spans="4:12" x14ac:dyDescent="0.3">
      <c r="D164" s="16">
        <v>1100</v>
      </c>
      <c r="E164">
        <v>6508</v>
      </c>
      <c r="F164" s="28">
        <v>5950.9875640087785</v>
      </c>
      <c r="G164">
        <v>77362.838332114115</v>
      </c>
      <c r="I164"/>
      <c r="J164"/>
      <c r="K164"/>
    </row>
    <row r="165" spans="4:12" x14ac:dyDescent="0.3">
      <c r="D165" s="16">
        <v>1101</v>
      </c>
      <c r="E165">
        <v>5167</v>
      </c>
      <c r="F165" s="28">
        <v>4724.7622531089983</v>
      </c>
      <c r="G165">
        <v>61421.909290416981</v>
      </c>
      <c r="I165"/>
      <c r="J165"/>
      <c r="K165"/>
    </row>
    <row r="166" spans="4:12" x14ac:dyDescent="0.3">
      <c r="D166" s="16">
        <v>1102</v>
      </c>
      <c r="E166">
        <v>3366</v>
      </c>
      <c r="F166" s="28">
        <v>3077.9078273591808</v>
      </c>
      <c r="G166">
        <v>40012.801755669352</v>
      </c>
      <c r="I166"/>
      <c r="J166"/>
      <c r="K166"/>
    </row>
    <row r="167" spans="4:12" x14ac:dyDescent="0.3">
      <c r="D167" s="16">
        <v>1103</v>
      </c>
      <c r="E167">
        <v>6423</v>
      </c>
      <c r="F167" s="28">
        <v>5873.2626188734457</v>
      </c>
      <c r="G167">
        <v>76352.414045354788</v>
      </c>
      <c r="I167"/>
      <c r="J167"/>
      <c r="K167"/>
    </row>
    <row r="168" spans="4:12" x14ac:dyDescent="0.3">
      <c r="D168" s="16">
        <v>1104</v>
      </c>
      <c r="E168">
        <v>8739</v>
      </c>
      <c r="F168" s="28">
        <v>7991.0387710314562</v>
      </c>
      <c r="G168">
        <v>103883.50402340892</v>
      </c>
      <c r="I168"/>
      <c r="J168"/>
      <c r="K168"/>
    </row>
    <row r="169" spans="4:12" x14ac:dyDescent="0.3">
      <c r="D169" s="16">
        <v>1105</v>
      </c>
      <c r="E169">
        <v>6876</v>
      </c>
      <c r="F169" s="28">
        <v>6287.4908558888083</v>
      </c>
      <c r="G169">
        <v>81737.381126554508</v>
      </c>
      <c r="I169"/>
      <c r="J169"/>
      <c r="K169"/>
    </row>
    <row r="170" spans="4:12" x14ac:dyDescent="0.3">
      <c r="D170" s="16">
        <v>1106</v>
      </c>
      <c r="E170">
        <v>27661</v>
      </c>
      <c r="F170" s="28">
        <v>25293.52596927579</v>
      </c>
      <c r="G170">
        <v>328815.83760058525</v>
      </c>
      <c r="I170"/>
      <c r="J170"/>
      <c r="K170"/>
    </row>
    <row r="171" spans="4:12" x14ac:dyDescent="0.3">
      <c r="D171" s="16">
        <v>1107</v>
      </c>
      <c r="E171">
        <v>835</v>
      </c>
      <c r="F171" s="28">
        <v>763.53328456474037</v>
      </c>
      <c r="G171">
        <v>9925.9326993416253</v>
      </c>
      <c r="I171"/>
      <c r="J171"/>
      <c r="K171"/>
    </row>
    <row r="172" spans="4:12" x14ac:dyDescent="0.3">
      <c r="D172" s="16">
        <v>1108</v>
      </c>
      <c r="E172">
        <v>1819</v>
      </c>
      <c r="F172" s="28">
        <v>1663.313825896123</v>
      </c>
      <c r="G172">
        <v>21623.079736649601</v>
      </c>
      <c r="I172"/>
      <c r="J172"/>
      <c r="K172"/>
    </row>
    <row r="173" spans="4:12" x14ac:dyDescent="0.3">
      <c r="D173" s="16">
        <v>1109</v>
      </c>
      <c r="E173">
        <v>6626</v>
      </c>
      <c r="F173" s="28">
        <v>6058.8880760790053</v>
      </c>
      <c r="G173">
        <v>78765.544989027068</v>
      </c>
      <c r="I173"/>
      <c r="J173"/>
      <c r="K173"/>
    </row>
    <row r="174" spans="4:12" x14ac:dyDescent="0.3">
      <c r="D174" s="16">
        <v>1110</v>
      </c>
      <c r="E174">
        <v>1806</v>
      </c>
      <c r="F174" s="28">
        <v>1651.4264813460134</v>
      </c>
      <c r="G174">
        <v>21468.544257498175</v>
      </c>
      <c r="I174"/>
      <c r="J174"/>
      <c r="K174"/>
    </row>
    <row r="175" spans="4:12" x14ac:dyDescent="0.3">
      <c r="D175" s="16">
        <v>1111</v>
      </c>
      <c r="E175">
        <v>16832</v>
      </c>
      <c r="F175" s="28">
        <v>15391.367959034384</v>
      </c>
      <c r="G175">
        <v>153913.67959034385</v>
      </c>
    </row>
    <row r="176" spans="4:12" x14ac:dyDescent="0.3">
      <c r="D176" s="16">
        <v>1112</v>
      </c>
      <c r="E176">
        <v>21453</v>
      </c>
      <c r="F176" s="28">
        <v>19616.861741038774</v>
      </c>
      <c r="G176">
        <v>196168.61741038773</v>
      </c>
    </row>
    <row r="177" spans="4:7" x14ac:dyDescent="0.3">
      <c r="D177" s="16">
        <v>1113</v>
      </c>
      <c r="E177">
        <v>26729</v>
      </c>
      <c r="F177" s="28">
        <v>24441.294806144844</v>
      </c>
      <c r="G177">
        <v>244412.94806144843</v>
      </c>
    </row>
    <row r="178" spans="4:7" x14ac:dyDescent="0.3">
      <c r="D178" s="16">
        <v>1114</v>
      </c>
      <c r="E178">
        <v>19686</v>
      </c>
      <c r="F178" s="28">
        <v>18001.097293343089</v>
      </c>
      <c r="G178">
        <v>180010.97293343089</v>
      </c>
    </row>
    <row r="179" spans="4:7" x14ac:dyDescent="0.3">
      <c r="D179" s="16">
        <v>1115</v>
      </c>
      <c r="E179">
        <v>25825</v>
      </c>
      <c r="F179" s="28">
        <v>23614.667154352599</v>
      </c>
      <c r="G179">
        <v>236146.671543526</v>
      </c>
    </row>
    <row r="180" spans="4:7" x14ac:dyDescent="0.3">
      <c r="D180" s="16">
        <v>1116</v>
      </c>
      <c r="E180">
        <v>4064</v>
      </c>
      <c r="F180" s="28">
        <v>3716.1667885881498</v>
      </c>
      <c r="G180">
        <v>37161.667885881499</v>
      </c>
    </row>
    <row r="181" spans="4:7" x14ac:dyDescent="0.3">
      <c r="D181" s="16">
        <v>1117</v>
      </c>
      <c r="E181">
        <v>33096</v>
      </c>
      <c r="F181" s="28">
        <v>30263.350402340897</v>
      </c>
      <c r="G181">
        <v>302633.50402340898</v>
      </c>
    </row>
    <row r="182" spans="4:7" x14ac:dyDescent="0.3">
      <c r="D182" s="16">
        <v>1118</v>
      </c>
      <c r="E182">
        <v>8374</v>
      </c>
      <c r="F182" s="28">
        <v>7657.2787125091445</v>
      </c>
      <c r="G182">
        <v>76572.787125091447</v>
      </c>
    </row>
    <row r="183" spans="4:7" x14ac:dyDescent="0.3">
      <c r="D183" s="16">
        <v>1119</v>
      </c>
      <c r="E183">
        <v>17168</v>
      </c>
      <c r="F183" s="28">
        <v>15698.610095098758</v>
      </c>
      <c r="G183">
        <v>156986.10095098757</v>
      </c>
    </row>
    <row r="184" spans="4:7" x14ac:dyDescent="0.3">
      <c r="D184" s="16">
        <v>1120</v>
      </c>
      <c r="E184">
        <v>27328</v>
      </c>
      <c r="F184" s="28">
        <v>24989.027066569131</v>
      </c>
      <c r="G184">
        <v>249890.27066569132</v>
      </c>
    </row>
    <row r="185" spans="4:7" x14ac:dyDescent="0.3">
      <c r="D185" s="16">
        <v>1121</v>
      </c>
      <c r="E185">
        <v>2234</v>
      </c>
      <c r="F185" s="28">
        <v>2042.7944403803951</v>
      </c>
      <c r="G185">
        <v>20427.944403803951</v>
      </c>
    </row>
    <row r="186" spans="4:7" x14ac:dyDescent="0.3">
      <c r="D186" s="16">
        <v>1122</v>
      </c>
      <c r="E186">
        <v>23535</v>
      </c>
      <c r="F186" s="28"/>
      <c r="G186"/>
    </row>
    <row r="187" spans="4:7" x14ac:dyDescent="0.3">
      <c r="D187" s="16">
        <v>1123</v>
      </c>
      <c r="E187">
        <v>25269</v>
      </c>
      <c r="F187" s="28"/>
      <c r="G187"/>
    </row>
    <row r="188" spans="4:7" x14ac:dyDescent="0.3">
      <c r="D188" s="16">
        <v>1124</v>
      </c>
      <c r="E188">
        <v>17786</v>
      </c>
      <c r="F188" s="28"/>
      <c r="G188"/>
    </row>
    <row r="189" spans="4:7" x14ac:dyDescent="0.3">
      <c r="D189" s="16">
        <v>1125</v>
      </c>
      <c r="E189">
        <v>32780</v>
      </c>
      <c r="F189" s="28"/>
      <c r="G189"/>
    </row>
    <row r="190" spans="4:7" x14ac:dyDescent="0.3">
      <c r="D190" s="16">
        <v>1126</v>
      </c>
      <c r="E190">
        <v>2589</v>
      </c>
      <c r="F190" s="28"/>
      <c r="G190"/>
    </row>
    <row r="191" spans="4:7" x14ac:dyDescent="0.3">
      <c r="D191" s="16">
        <v>1127</v>
      </c>
      <c r="E191">
        <v>6844</v>
      </c>
      <c r="F191" s="28"/>
      <c r="G191"/>
    </row>
    <row r="192" spans="4:7" x14ac:dyDescent="0.3">
      <c r="D192" s="16">
        <v>1128</v>
      </c>
      <c r="E192">
        <v>37340</v>
      </c>
      <c r="F192" s="28"/>
      <c r="G192"/>
    </row>
    <row r="193" spans="4:7" x14ac:dyDescent="0.3">
      <c r="D193" s="16">
        <v>1129</v>
      </c>
      <c r="E193"/>
      <c r="F193" s="28"/>
      <c r="G193"/>
    </row>
    <row r="194" spans="4:7" x14ac:dyDescent="0.3">
      <c r="D194" s="16">
        <v>1130</v>
      </c>
      <c r="E194">
        <v>4716</v>
      </c>
      <c r="F194" s="28"/>
      <c r="G194"/>
    </row>
    <row r="195" spans="4:7" x14ac:dyDescent="0.3">
      <c r="D195" s="16" t="s">
        <v>28</v>
      </c>
      <c r="E195">
        <v>518559</v>
      </c>
      <c r="F195" s="28">
        <v>6131507.8639356261</v>
      </c>
      <c r="G195">
        <v>64138330.851719119</v>
      </c>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29"/>
  <sheetViews>
    <sheetView topLeftCell="A11" zoomScale="90" zoomScaleNormal="90" workbookViewId="0">
      <selection activeCell="K31" sqref="K3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5546875" bestFit="1" customWidth="1"/>
    <col min="14" max="14" width="11.44140625" bestFit="1" customWidth="1"/>
    <col min="15" max="15" width="11.21875" bestFit="1" customWidth="1"/>
    <col min="16" max="16" width="14.5546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85">
        <v>45947</v>
      </c>
      <c r="B2" s="82" t="s">
        <v>97</v>
      </c>
      <c r="C2" s="82" t="s">
        <v>98</v>
      </c>
      <c r="D2" s="83"/>
      <c r="E2" s="83"/>
      <c r="F2" s="83"/>
      <c r="G2" s="83">
        <f>D2*E2</f>
        <v>0</v>
      </c>
      <c r="H2" s="11"/>
      <c r="I2" s="84">
        <v>2567858</v>
      </c>
    </row>
    <row r="3" spans="1:16" x14ac:dyDescent="0.3">
      <c r="A3" s="85">
        <v>45947</v>
      </c>
      <c r="B3" s="82" t="s">
        <v>99</v>
      </c>
      <c r="C3" s="82" t="s">
        <v>98</v>
      </c>
      <c r="D3" s="83"/>
      <c r="E3" s="83"/>
      <c r="F3" s="83"/>
      <c r="G3" s="83">
        <f>D3*E3</f>
        <v>0</v>
      </c>
      <c r="H3" s="11">
        <v>0</v>
      </c>
      <c r="I3" s="84">
        <v>0</v>
      </c>
    </row>
    <row r="4" spans="1:16" x14ac:dyDescent="0.3">
      <c r="A4" s="85">
        <v>45947</v>
      </c>
      <c r="B4" s="82" t="s">
        <v>152</v>
      </c>
      <c r="C4" s="82" t="s">
        <v>98</v>
      </c>
      <c r="D4" s="11"/>
      <c r="E4" s="11"/>
      <c r="F4" s="11"/>
      <c r="G4" s="11">
        <f>D4*E4</f>
        <v>0</v>
      </c>
      <c r="H4" s="11">
        <v>0</v>
      </c>
      <c r="I4" s="87">
        <v>76420</v>
      </c>
    </row>
    <row r="5" spans="1:16" ht="15" thickBot="1" x14ac:dyDescent="0.35">
      <c r="A5" s="85">
        <v>45947</v>
      </c>
      <c r="B5" s="82" t="s">
        <v>172</v>
      </c>
      <c r="C5" s="82" t="s">
        <v>98</v>
      </c>
      <c r="D5" s="11"/>
      <c r="E5" s="11"/>
      <c r="F5" s="11"/>
      <c r="G5" s="11">
        <f t="shared" ref="G5:G6" si="0">D5*E5</f>
        <v>0</v>
      </c>
      <c r="H5" s="11"/>
      <c r="I5" s="87">
        <v>350775</v>
      </c>
    </row>
    <row r="6" spans="1:16" ht="15" thickTop="1" x14ac:dyDescent="0.3">
      <c r="A6" s="85">
        <v>45947</v>
      </c>
      <c r="B6" s="95" t="s">
        <v>180</v>
      </c>
      <c r="C6" s="82" t="s">
        <v>98</v>
      </c>
      <c r="D6" s="11"/>
      <c r="E6" s="11"/>
      <c r="F6" s="11"/>
      <c r="G6" s="11">
        <f t="shared" si="0"/>
        <v>0</v>
      </c>
      <c r="H6" s="11"/>
      <c r="I6" s="11">
        <v>-1000</v>
      </c>
      <c r="K6" s="17">
        <f>SUM(Table3[Total])</f>
        <v>911860</v>
      </c>
      <c r="L6" s="3" t="s">
        <v>2</v>
      </c>
      <c r="M6" t="s">
        <v>88</v>
      </c>
    </row>
    <row r="7" spans="1:16" x14ac:dyDescent="0.3">
      <c r="A7" s="85">
        <v>45979</v>
      </c>
      <c r="B7" s="95" t="s">
        <v>195</v>
      </c>
      <c r="C7" s="82" t="s">
        <v>98</v>
      </c>
      <c r="D7" s="11"/>
      <c r="E7" s="11"/>
      <c r="F7" s="11"/>
      <c r="G7" s="11">
        <f>D7*E7</f>
        <v>0</v>
      </c>
      <c r="H7" s="11"/>
      <c r="I7" s="11">
        <v>330400</v>
      </c>
    </row>
    <row r="8" spans="1:16" x14ac:dyDescent="0.3">
      <c r="A8" s="1">
        <v>45980</v>
      </c>
      <c r="B8" t="s">
        <v>97</v>
      </c>
      <c r="D8" s="11"/>
      <c r="E8" s="11"/>
      <c r="F8" s="11"/>
      <c r="G8" s="11">
        <f>D8*E8</f>
        <v>0</v>
      </c>
      <c r="H8" s="11">
        <f>SUMIFS(Table14[Debit], Table14[Date], Table3[[#This Row],[Date]], Table14[Party], Table3[[#This Row],[Party Name]])</f>
        <v>408012</v>
      </c>
      <c r="I8" s="11">
        <f>(D8*E8)-Table3[[#This Row],[Paid]]</f>
        <v>-408012</v>
      </c>
      <c r="K8" s="11"/>
      <c r="L8" s="3" t="s">
        <v>101</v>
      </c>
      <c r="M8" t="s">
        <v>102</v>
      </c>
      <c r="N8" t="s">
        <v>103</v>
      </c>
      <c r="O8" t="s">
        <v>104</v>
      </c>
      <c r="P8" t="s">
        <v>105</v>
      </c>
    </row>
    <row r="9" spans="1:16" x14ac:dyDescent="0.3">
      <c r="A9" s="1">
        <v>45980</v>
      </c>
      <c r="B9" t="s">
        <v>172</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195</v>
      </c>
      <c r="D10" s="11"/>
      <c r="E10" s="11"/>
      <c r="F10" s="11"/>
      <c r="G10" s="11">
        <f t="shared" si="1"/>
        <v>0</v>
      </c>
      <c r="H10" s="11">
        <f>SUMIFS(Table14[Debit], Table14[Date], Table3[[#This Row],[Date]], Table14[Party], Table3[[#This Row],[Party Name]])</f>
        <v>4000</v>
      </c>
      <c r="I10" s="11">
        <f>(D10*E10)-Table3[[#This Row],[Paid]]</f>
        <v>-4000</v>
      </c>
      <c r="K10" s="11"/>
      <c r="L10" s="42" t="s">
        <v>98</v>
      </c>
      <c r="M10" s="14"/>
      <c r="N10" s="14">
        <v>0</v>
      </c>
      <c r="O10" s="14">
        <v>0</v>
      </c>
      <c r="P10" s="14">
        <v>2994053</v>
      </c>
    </row>
    <row r="11" spans="1:16" x14ac:dyDescent="0.3">
      <c r="A11" s="1">
        <v>45981</v>
      </c>
      <c r="B11" t="s">
        <v>97</v>
      </c>
      <c r="C11" t="s">
        <v>226</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97</v>
      </c>
      <c r="D12" s="11"/>
      <c r="E12" s="11"/>
      <c r="F12" s="11"/>
      <c r="G12" s="11">
        <f t="shared" si="2"/>
        <v>0</v>
      </c>
      <c r="H12" s="11">
        <f>SUMIFS(Table14[Debit], Table14[Date], Table3[[#This Row],[Date]], Table14[Party], Table3[[#This Row],[Party Name]])</f>
        <v>300152</v>
      </c>
      <c r="I12" s="11">
        <f>(D12*E12)-Table3[[#This Row],[Paid]]</f>
        <v>-300152</v>
      </c>
      <c r="K12" s="11"/>
      <c r="L12" s="42" t="s">
        <v>98</v>
      </c>
      <c r="M12" s="14"/>
      <c r="N12" s="14">
        <v>0</v>
      </c>
      <c r="O12" s="14"/>
      <c r="P12" s="14">
        <v>330400</v>
      </c>
    </row>
    <row r="13" spans="1:16" x14ac:dyDescent="0.3">
      <c r="A13" s="1">
        <v>45984</v>
      </c>
      <c r="B13" t="s">
        <v>97</v>
      </c>
      <c r="C13" t="s">
        <v>226</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97</v>
      </c>
      <c r="D14" s="11"/>
      <c r="E14" s="11"/>
      <c r="F14" s="11"/>
      <c r="G14" s="11">
        <f t="shared" si="3"/>
        <v>0</v>
      </c>
      <c r="H14" s="11">
        <f>SUMIFS(Table14[Debit], Table14[Date], Table3[[#This Row],[Date]], Table14[Party], Table3[[#This Row],[Party Name]])</f>
        <v>67500</v>
      </c>
      <c r="I14" s="11">
        <f>(D14*E14)-Table3[[#This Row],[Paid]]</f>
        <v>-67500</v>
      </c>
      <c r="K14" s="11"/>
      <c r="L14" s="42" t="s">
        <v>106</v>
      </c>
      <c r="M14" s="14"/>
      <c r="N14" s="14">
        <v>0</v>
      </c>
      <c r="O14" s="14">
        <v>300152</v>
      </c>
      <c r="P14" s="14">
        <v>-300152</v>
      </c>
    </row>
    <row r="15" spans="1:16" x14ac:dyDescent="0.3">
      <c r="A15" s="1">
        <v>45984</v>
      </c>
      <c r="B15" t="s">
        <v>172</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152</v>
      </c>
      <c r="C16" t="s">
        <v>257</v>
      </c>
      <c r="D16" s="11">
        <v>30</v>
      </c>
      <c r="E16" s="11">
        <v>580</v>
      </c>
      <c r="F16" s="11"/>
      <c r="G16" s="11">
        <f t="shared" si="3"/>
        <v>17400</v>
      </c>
      <c r="H16" s="11">
        <f>SUMIFS(Table14[Debit], Table14[Date], Table3[[#This Row],[Date]], Table14[Party], Table3[[#This Row],[Party Name]])</f>
        <v>0</v>
      </c>
      <c r="I16" s="11">
        <f>(D16*E16)-Table3[[#This Row],[Paid]]</f>
        <v>17400</v>
      </c>
      <c r="K16" s="11"/>
      <c r="L16" s="42" t="s">
        <v>106</v>
      </c>
      <c r="M16" s="14"/>
      <c r="N16" s="14">
        <v>0</v>
      </c>
      <c r="O16" s="14">
        <v>414012</v>
      </c>
      <c r="P16" s="14">
        <v>-414012</v>
      </c>
    </row>
    <row r="17" spans="1:16" x14ac:dyDescent="0.3">
      <c r="A17" s="1">
        <v>45985</v>
      </c>
      <c r="B17" t="s">
        <v>152</v>
      </c>
      <c r="C17" t="s">
        <v>257</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c r="D18" s="11"/>
      <c r="E18" s="11"/>
      <c r="F18" s="11"/>
      <c r="G18" s="11">
        <f t="shared" si="3"/>
        <v>0</v>
      </c>
      <c r="H18" s="11">
        <f>SUMIFS(Table14[Debit], Table14[Date], Table3[[#This Row],[Date]], Table14[Party], Table3[[#This Row],[Party Name]])</f>
        <v>0</v>
      </c>
      <c r="I18" s="11">
        <f>(D18*E18)-Table3[[#This Row],[Paid]]</f>
        <v>0</v>
      </c>
      <c r="L18" s="42" t="s">
        <v>226</v>
      </c>
      <c r="M18" s="14">
        <v>456</v>
      </c>
      <c r="N18" s="14">
        <v>369360</v>
      </c>
      <c r="O18" s="14">
        <v>80300</v>
      </c>
      <c r="P18" s="14">
        <v>289060</v>
      </c>
    </row>
    <row r="19" spans="1:16" x14ac:dyDescent="0.3">
      <c r="A19" s="1"/>
      <c r="D19" s="11"/>
      <c r="E19" s="11"/>
      <c r="F19" s="11"/>
      <c r="G19" s="11">
        <f t="shared" si="3"/>
        <v>0</v>
      </c>
      <c r="H19" s="11"/>
      <c r="I19" s="11">
        <f>(D19*E19)-Table3[[#This Row],[Paid]]</f>
        <v>0</v>
      </c>
      <c r="L19" s="26" t="s">
        <v>28</v>
      </c>
      <c r="M19" s="14">
        <v>456</v>
      </c>
      <c r="N19" s="14">
        <v>369360</v>
      </c>
      <c r="O19" s="14">
        <v>794464</v>
      </c>
      <c r="P19" s="14">
        <v>2899349</v>
      </c>
    </row>
    <row r="20" spans="1:16" x14ac:dyDescent="0.3">
      <c r="A20" s="1"/>
      <c r="D20" s="14"/>
      <c r="E20" s="14"/>
      <c r="F20" s="14"/>
      <c r="G20" s="14">
        <f>SUBTOTAL(109,Table3[Total])</f>
        <v>911860</v>
      </c>
      <c r="H20" s="14">
        <f>SUBTOTAL(109,Table3[Paid])</f>
        <v>1102032</v>
      </c>
      <c r="I20" s="14">
        <f>SUBTOTAL(109,Table3[balance])</f>
        <v>3134281</v>
      </c>
    </row>
    <row r="29" spans="1:16" x14ac:dyDescent="0.3">
      <c r="K29" s="14"/>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191"/>
  <sheetViews>
    <sheetView tabSelected="1" topLeftCell="A62" zoomScale="104" workbookViewId="0">
      <selection activeCell="A84" sqref="A8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86">
        <v>45947</v>
      </c>
      <c r="B2" s="81" t="s">
        <v>205</v>
      </c>
      <c r="C2" s="11"/>
      <c r="D2" s="87">
        <f>[1]Cashbook!$N$5</f>
        <v>455524</v>
      </c>
      <c r="E2" s="81"/>
      <c r="F2" s="88" t="s">
        <v>111</v>
      </c>
    </row>
    <row r="3" spans="1:16" x14ac:dyDescent="0.3">
      <c r="A3" s="86">
        <v>45947</v>
      </c>
      <c r="B3" s="81" t="s">
        <v>206</v>
      </c>
      <c r="C3" s="11"/>
      <c r="D3" s="87">
        <f>[1]Cashbook!$N$6</f>
        <v>-584716</v>
      </c>
      <c r="E3" s="81"/>
      <c r="F3" s="88" t="s">
        <v>112</v>
      </c>
      <c r="J3" s="47" t="s">
        <v>45</v>
      </c>
      <c r="K3" s="35" t="s">
        <v>46</v>
      </c>
      <c r="M3" s="47" t="s">
        <v>45</v>
      </c>
      <c r="N3" s="50" t="s">
        <v>107</v>
      </c>
      <c r="O3" s="89" t="s">
        <v>108</v>
      </c>
      <c r="P3" t="s">
        <v>109</v>
      </c>
    </row>
    <row r="4" spans="1:16" x14ac:dyDescent="0.3">
      <c r="A4" s="38">
        <v>45980</v>
      </c>
      <c r="B4" t="s">
        <v>185</v>
      </c>
      <c r="C4" s="97">
        <v>800</v>
      </c>
      <c r="D4" s="97"/>
      <c r="F4" s="124" t="s">
        <v>111</v>
      </c>
      <c r="J4" s="45" t="s">
        <v>70</v>
      </c>
      <c r="K4" s="46">
        <f>Table14[[#Totals],[Debit]]</f>
        <v>3643770</v>
      </c>
      <c r="M4" s="45" t="s">
        <v>110</v>
      </c>
      <c r="N4" s="51">
        <f>SUMIFS(Table14[Withdrawal],Table14[Party],"Cash",Table14[Mode],"Transfer")</f>
        <v>0</v>
      </c>
    </row>
    <row r="5" spans="1:16" x14ac:dyDescent="0.3">
      <c r="A5" s="38">
        <v>45980</v>
      </c>
      <c r="B5" t="s">
        <v>188</v>
      </c>
      <c r="C5" s="97">
        <v>7200</v>
      </c>
      <c r="D5" s="97"/>
      <c r="E5" t="s">
        <v>207</v>
      </c>
      <c r="F5" s="124" t="s">
        <v>112</v>
      </c>
      <c r="J5" s="45" t="s">
        <v>69</v>
      </c>
      <c r="K5" s="46">
        <f>Table14[[#Totals],[Credit]]</f>
        <v>4119558</v>
      </c>
      <c r="M5" s="45" t="s">
        <v>111</v>
      </c>
      <c r="N5" s="46">
        <f>(SUMIFS(Table14[Credit],Table14[Mode],"Bank")-SUMIFS(Table14[Debit],Table14[Mode],"Bank")-SUMIFS(Table14[Withdrawal],Table14[Mode],"Transfer"))</f>
        <v>1081704</v>
      </c>
      <c r="O5">
        <v>360000</v>
      </c>
    </row>
    <row r="6" spans="1:16" x14ac:dyDescent="0.3">
      <c r="A6" s="38">
        <v>45980</v>
      </c>
      <c r="B6" t="s">
        <v>208</v>
      </c>
      <c r="C6" s="97">
        <v>2000</v>
      </c>
      <c r="D6" s="97"/>
      <c r="E6" t="s">
        <v>209</v>
      </c>
      <c r="F6" s="124" t="s">
        <v>112</v>
      </c>
      <c r="J6" s="52" t="s">
        <v>43</v>
      </c>
      <c r="K6" s="53">
        <f>(K5-K4)</f>
        <v>475788</v>
      </c>
      <c r="M6" s="45" t="s">
        <v>112</v>
      </c>
      <c r="N6" s="46">
        <f>((SUMIFS(Table14[Credit],Table14[Mode],"Cash")-SUMIFS(Table14[Debit],Table14[Mode],"Cash"))+SUMIFS(Table14[Withdrawal],Table14[Party],"Cash",Table14[Mode],"Transfer"))</f>
        <v>-605916</v>
      </c>
      <c r="O6">
        <v>50000</v>
      </c>
    </row>
    <row r="7" spans="1:16" x14ac:dyDescent="0.3">
      <c r="A7" s="38">
        <v>45980</v>
      </c>
      <c r="B7" t="s">
        <v>195</v>
      </c>
      <c r="C7" s="11">
        <v>4000</v>
      </c>
      <c r="D7" s="11"/>
      <c r="E7" t="s">
        <v>209</v>
      </c>
      <c r="F7" s="124" t="s">
        <v>112</v>
      </c>
      <c r="M7" s="48" t="s">
        <v>5</v>
      </c>
      <c r="N7" s="49">
        <f>SUM(N5:N6)</f>
        <v>475788</v>
      </c>
      <c r="O7" s="90">
        <f>SUM(O5,O6)</f>
        <v>410000</v>
      </c>
      <c r="P7" s="14">
        <f>Table18[[#Totals],[amount]]-Table18[[#Totals],[Actual]]</f>
        <v>65788</v>
      </c>
    </row>
    <row r="8" spans="1:16" x14ac:dyDescent="0.3">
      <c r="A8" s="38">
        <v>45980</v>
      </c>
      <c r="B8" t="s">
        <v>97</v>
      </c>
      <c r="C8" s="11">
        <v>8000</v>
      </c>
      <c r="D8" s="11"/>
      <c r="E8" t="s">
        <v>209</v>
      </c>
      <c r="F8" s="124" t="s">
        <v>112</v>
      </c>
    </row>
    <row r="9" spans="1:16" x14ac:dyDescent="0.3">
      <c r="A9" s="38">
        <v>45980</v>
      </c>
      <c r="B9" t="s">
        <v>55</v>
      </c>
      <c r="C9" s="11">
        <v>25000</v>
      </c>
      <c r="D9" s="11"/>
      <c r="E9" t="s">
        <v>210</v>
      </c>
      <c r="F9" s="124" t="s">
        <v>111</v>
      </c>
    </row>
    <row r="10" spans="1:16" x14ac:dyDescent="0.3">
      <c r="A10" s="38">
        <v>45980</v>
      </c>
      <c r="B10" t="s">
        <v>21</v>
      </c>
      <c r="C10" s="11"/>
      <c r="D10" s="11">
        <v>50000</v>
      </c>
      <c r="F10" s="124" t="s">
        <v>111</v>
      </c>
    </row>
    <row r="11" spans="1:16" x14ac:dyDescent="0.3">
      <c r="A11" s="38">
        <v>45980</v>
      </c>
      <c r="B11" t="s">
        <v>21</v>
      </c>
      <c r="C11" s="11"/>
      <c r="D11" s="11">
        <v>51000</v>
      </c>
      <c r="F11" s="124" t="s">
        <v>111</v>
      </c>
    </row>
    <row r="12" spans="1:16" x14ac:dyDescent="0.3">
      <c r="A12" s="38">
        <v>45980</v>
      </c>
      <c r="B12" t="s">
        <v>21</v>
      </c>
      <c r="C12" s="11"/>
      <c r="D12" s="11">
        <v>14000</v>
      </c>
      <c r="E12" t="s">
        <v>191</v>
      </c>
      <c r="F12" s="124" t="s">
        <v>111</v>
      </c>
    </row>
    <row r="13" spans="1:16" x14ac:dyDescent="0.3">
      <c r="A13" s="38">
        <v>45980</v>
      </c>
      <c r="B13" t="s">
        <v>188</v>
      </c>
      <c r="C13" s="11">
        <v>3000</v>
      </c>
      <c r="D13" s="11"/>
      <c r="E13" t="s">
        <v>211</v>
      </c>
      <c r="F13" s="124" t="s">
        <v>111</v>
      </c>
    </row>
    <row r="14" spans="1:16" x14ac:dyDescent="0.3">
      <c r="A14" s="38">
        <v>45980</v>
      </c>
      <c r="B14" t="s">
        <v>55</v>
      </c>
      <c r="C14" s="11">
        <v>6000</v>
      </c>
      <c r="D14" s="11"/>
      <c r="E14" t="s">
        <v>212</v>
      </c>
      <c r="F14" s="124" t="s">
        <v>111</v>
      </c>
    </row>
    <row r="15" spans="1:16" x14ac:dyDescent="0.3">
      <c r="A15" s="38">
        <v>45980</v>
      </c>
      <c r="B15" t="s">
        <v>185</v>
      </c>
      <c r="C15" s="11">
        <v>1000</v>
      </c>
      <c r="D15" s="11"/>
      <c r="E15" t="s">
        <v>213</v>
      </c>
      <c r="F15" s="124" t="s">
        <v>111</v>
      </c>
    </row>
    <row r="16" spans="1:16" x14ac:dyDescent="0.3">
      <c r="A16" s="38">
        <v>45980</v>
      </c>
      <c r="B16" t="s">
        <v>214</v>
      </c>
      <c r="C16" s="11"/>
      <c r="D16" s="11"/>
      <c r="E16" t="s">
        <v>196</v>
      </c>
      <c r="F16" s="124" t="s">
        <v>111</v>
      </c>
    </row>
    <row r="17" spans="1:6" x14ac:dyDescent="0.3">
      <c r="A17" s="38">
        <v>45980</v>
      </c>
      <c r="B17" t="s">
        <v>214</v>
      </c>
      <c r="C17" s="11"/>
      <c r="D17" s="11"/>
      <c r="E17" t="s">
        <v>215</v>
      </c>
      <c r="F17" s="124" t="s">
        <v>111</v>
      </c>
    </row>
    <row r="18" spans="1:6" x14ac:dyDescent="0.3">
      <c r="A18" s="38">
        <v>45980</v>
      </c>
      <c r="B18" t="s">
        <v>9</v>
      </c>
      <c r="C18" s="11"/>
      <c r="D18" s="11">
        <v>350000</v>
      </c>
      <c r="E18" t="s">
        <v>216</v>
      </c>
      <c r="F18" s="124" t="s">
        <v>111</v>
      </c>
    </row>
    <row r="19" spans="1:6" x14ac:dyDescent="0.3">
      <c r="A19" s="38">
        <v>45980</v>
      </c>
      <c r="B19" t="s">
        <v>97</v>
      </c>
      <c r="C19" s="11">
        <v>400012</v>
      </c>
      <c r="D19" s="11"/>
      <c r="E19" t="s">
        <v>217</v>
      </c>
      <c r="F19" s="124" t="s">
        <v>111</v>
      </c>
    </row>
    <row r="20" spans="1:6" x14ac:dyDescent="0.3">
      <c r="A20" s="125">
        <v>45980</v>
      </c>
      <c r="B20" t="s">
        <v>116</v>
      </c>
      <c r="C20" s="11">
        <v>2250</v>
      </c>
      <c r="D20" s="11"/>
      <c r="E20" s="1">
        <v>45980</v>
      </c>
      <c r="F20" s="124" t="s">
        <v>111</v>
      </c>
    </row>
    <row r="21" spans="1:6" x14ac:dyDescent="0.3">
      <c r="A21" s="38">
        <v>45980</v>
      </c>
      <c r="B21" t="s">
        <v>54</v>
      </c>
      <c r="C21" s="97">
        <v>10000</v>
      </c>
      <c r="D21" s="97"/>
      <c r="E21" t="s">
        <v>218</v>
      </c>
      <c r="F21" s="124" t="s">
        <v>111</v>
      </c>
    </row>
    <row r="22" spans="1:6" x14ac:dyDescent="0.3">
      <c r="A22" s="38">
        <v>45980</v>
      </c>
      <c r="B22" t="s">
        <v>21</v>
      </c>
      <c r="C22" s="97"/>
      <c r="D22" s="97">
        <v>10000</v>
      </c>
      <c r="E22" t="s">
        <v>218</v>
      </c>
      <c r="F22" s="124" t="s">
        <v>111</v>
      </c>
    </row>
    <row r="23" spans="1:6" x14ac:dyDescent="0.3">
      <c r="A23" s="125">
        <v>45980</v>
      </c>
      <c r="B23" t="s">
        <v>120</v>
      </c>
      <c r="C23" s="11">
        <v>24000</v>
      </c>
      <c r="D23" s="11"/>
      <c r="E23" t="s">
        <v>219</v>
      </c>
      <c r="F23" s="124" t="s">
        <v>111</v>
      </c>
    </row>
    <row r="24" spans="1:6" x14ac:dyDescent="0.3">
      <c r="A24" s="38">
        <v>45980</v>
      </c>
      <c r="B24" t="s">
        <v>21</v>
      </c>
      <c r="C24" s="97"/>
      <c r="D24" s="97">
        <v>24000</v>
      </c>
      <c r="E24" t="s">
        <v>219</v>
      </c>
      <c r="F24" s="124" t="s">
        <v>111</v>
      </c>
    </row>
    <row r="25" spans="1:6" x14ac:dyDescent="0.3">
      <c r="A25" s="125">
        <v>45981</v>
      </c>
      <c r="B25" t="s">
        <v>116</v>
      </c>
      <c r="C25" s="11">
        <v>2260</v>
      </c>
      <c r="D25" s="11"/>
      <c r="E25" s="1">
        <v>45981</v>
      </c>
      <c r="F25" s="124" t="s">
        <v>111</v>
      </c>
    </row>
    <row r="26" spans="1:6" x14ac:dyDescent="0.3">
      <c r="A26" s="125">
        <v>45981</v>
      </c>
      <c r="B26" t="s">
        <v>222</v>
      </c>
      <c r="C26" s="11"/>
      <c r="D26" s="11"/>
      <c r="E26" t="s">
        <v>223</v>
      </c>
      <c r="F26" s="124" t="s">
        <v>111</v>
      </c>
    </row>
    <row r="27" spans="1:6" x14ac:dyDescent="0.3">
      <c r="A27" s="125">
        <v>45981</v>
      </c>
      <c r="B27" t="s">
        <v>187</v>
      </c>
      <c r="C27" s="11">
        <v>141950</v>
      </c>
      <c r="D27" s="11"/>
      <c r="E27" t="s">
        <v>224</v>
      </c>
      <c r="F27" s="124" t="s">
        <v>111</v>
      </c>
    </row>
    <row r="28" spans="1:6" x14ac:dyDescent="0.3">
      <c r="A28" s="125">
        <v>45981</v>
      </c>
      <c r="B28" t="s">
        <v>21</v>
      </c>
      <c r="C28" s="11"/>
      <c r="D28" s="11">
        <v>141950</v>
      </c>
      <c r="E28" t="s">
        <v>225</v>
      </c>
      <c r="F28" s="124" t="s">
        <v>111</v>
      </c>
    </row>
    <row r="29" spans="1:6" x14ac:dyDescent="0.3">
      <c r="A29" s="125">
        <v>45981</v>
      </c>
      <c r="B29" t="s">
        <v>97</v>
      </c>
      <c r="C29" s="11">
        <v>80300</v>
      </c>
      <c r="D29" s="11"/>
      <c r="E29" t="s">
        <v>226</v>
      </c>
      <c r="F29" s="124" t="s">
        <v>111</v>
      </c>
    </row>
    <row r="30" spans="1:6" x14ac:dyDescent="0.3">
      <c r="A30" s="125">
        <v>45981</v>
      </c>
      <c r="B30" t="s">
        <v>21</v>
      </c>
      <c r="C30" s="11"/>
      <c r="D30" s="11">
        <v>100000</v>
      </c>
      <c r="F30" s="124" t="s">
        <v>111</v>
      </c>
    </row>
    <row r="31" spans="1:6" x14ac:dyDescent="0.3">
      <c r="A31" s="125">
        <v>45981</v>
      </c>
      <c r="B31" t="s">
        <v>188</v>
      </c>
      <c r="C31" s="11">
        <v>7200</v>
      </c>
      <c r="D31" s="11"/>
      <c r="E31" t="s">
        <v>207</v>
      </c>
      <c r="F31" s="124" t="s">
        <v>111</v>
      </c>
    </row>
    <row r="32" spans="1:6" x14ac:dyDescent="0.3">
      <c r="A32" s="125">
        <v>45981</v>
      </c>
      <c r="B32" t="s">
        <v>54</v>
      </c>
      <c r="C32" s="11">
        <v>500</v>
      </c>
      <c r="D32" s="11"/>
      <c r="E32" t="s">
        <v>227</v>
      </c>
      <c r="F32" s="124" t="s">
        <v>111</v>
      </c>
    </row>
    <row r="33" spans="1:6" x14ac:dyDescent="0.3">
      <c r="A33" s="125">
        <v>45981</v>
      </c>
      <c r="B33" t="s">
        <v>55</v>
      </c>
      <c r="C33" s="11">
        <v>4000</v>
      </c>
      <c r="D33" s="11"/>
      <c r="E33" t="s">
        <v>228</v>
      </c>
      <c r="F33" s="124" t="s">
        <v>111</v>
      </c>
    </row>
    <row r="34" spans="1:6" x14ac:dyDescent="0.3">
      <c r="A34" s="125">
        <v>45981</v>
      </c>
      <c r="B34" t="s">
        <v>214</v>
      </c>
      <c r="C34" s="11"/>
      <c r="D34" s="11"/>
      <c r="E34" t="s">
        <v>191</v>
      </c>
      <c r="F34" s="124" t="s">
        <v>111</v>
      </c>
    </row>
    <row r="35" spans="1:6" x14ac:dyDescent="0.3">
      <c r="A35" s="125">
        <v>45981</v>
      </c>
      <c r="B35" t="s">
        <v>229</v>
      </c>
      <c r="C35" s="11"/>
      <c r="D35" s="11">
        <v>200000</v>
      </c>
      <c r="E35" t="s">
        <v>230</v>
      </c>
      <c r="F35" s="124" t="s">
        <v>111</v>
      </c>
    </row>
    <row r="36" spans="1:6" x14ac:dyDescent="0.3">
      <c r="A36" s="125">
        <v>45981</v>
      </c>
      <c r="B36" t="s">
        <v>116</v>
      </c>
      <c r="C36" s="11">
        <v>9740</v>
      </c>
      <c r="D36" s="11"/>
      <c r="E36" t="s">
        <v>231</v>
      </c>
      <c r="F36" s="124" t="s">
        <v>111</v>
      </c>
    </row>
    <row r="37" spans="1:6" x14ac:dyDescent="0.3">
      <c r="A37" s="125">
        <v>45982</v>
      </c>
      <c r="B37" t="s">
        <v>116</v>
      </c>
      <c r="C37" s="11">
        <v>2250</v>
      </c>
      <c r="D37" s="11"/>
      <c r="E37" s="1">
        <v>45982</v>
      </c>
      <c r="F37" s="124" t="s">
        <v>111</v>
      </c>
    </row>
    <row r="38" spans="1:6" x14ac:dyDescent="0.3">
      <c r="A38" s="125">
        <v>45982</v>
      </c>
      <c r="B38" t="s">
        <v>55</v>
      </c>
      <c r="C38" s="97">
        <v>12500</v>
      </c>
      <c r="D38" s="97"/>
      <c r="E38" t="s">
        <v>233</v>
      </c>
      <c r="F38" s="124" t="s">
        <v>111</v>
      </c>
    </row>
    <row r="39" spans="1:6" x14ac:dyDescent="0.3">
      <c r="A39" s="125">
        <v>45982</v>
      </c>
      <c r="B39" t="s">
        <v>54</v>
      </c>
      <c r="C39" s="11">
        <v>8008</v>
      </c>
      <c r="D39" s="11"/>
      <c r="E39" t="s">
        <v>234</v>
      </c>
      <c r="F39" s="124" t="s">
        <v>111</v>
      </c>
    </row>
    <row r="40" spans="1:6" x14ac:dyDescent="0.3">
      <c r="A40" s="125">
        <v>45982</v>
      </c>
      <c r="B40" t="s">
        <v>21</v>
      </c>
      <c r="C40" s="11"/>
      <c r="D40" s="11">
        <v>8008</v>
      </c>
      <c r="E40" t="s">
        <v>235</v>
      </c>
      <c r="F40" s="124" t="s">
        <v>111</v>
      </c>
    </row>
    <row r="41" spans="1:6" x14ac:dyDescent="0.3">
      <c r="A41" s="125">
        <v>45982</v>
      </c>
      <c r="B41" t="s">
        <v>51</v>
      </c>
      <c r="C41" s="11">
        <v>1803475</v>
      </c>
      <c r="D41" s="11"/>
      <c r="E41" t="s">
        <v>236</v>
      </c>
      <c r="F41" s="124" t="s">
        <v>111</v>
      </c>
    </row>
    <row r="42" spans="1:6" x14ac:dyDescent="0.3">
      <c r="A42" s="125">
        <v>45982</v>
      </c>
      <c r="B42" t="s">
        <v>97</v>
      </c>
      <c r="C42" s="11">
        <v>300152</v>
      </c>
      <c r="D42" s="11"/>
      <c r="E42" t="s">
        <v>237</v>
      </c>
      <c r="F42" s="124" t="s">
        <v>111</v>
      </c>
    </row>
    <row r="43" spans="1:6" x14ac:dyDescent="0.3">
      <c r="A43" s="125">
        <v>45980</v>
      </c>
      <c r="B43" t="s">
        <v>155</v>
      </c>
      <c r="C43" s="11"/>
      <c r="D43" s="11">
        <v>300000</v>
      </c>
      <c r="F43" s="124" t="s">
        <v>111</v>
      </c>
    </row>
    <row r="44" spans="1:6" x14ac:dyDescent="0.3">
      <c r="A44" s="125">
        <v>45982</v>
      </c>
      <c r="B44" t="s">
        <v>169</v>
      </c>
      <c r="C44" s="11"/>
      <c r="D44" s="11">
        <v>700000</v>
      </c>
      <c r="F44" s="124" t="s">
        <v>111</v>
      </c>
    </row>
    <row r="45" spans="1:6" x14ac:dyDescent="0.3">
      <c r="A45" s="125">
        <v>45982</v>
      </c>
      <c r="B45" t="s">
        <v>238</v>
      </c>
      <c r="C45" s="11"/>
      <c r="D45" s="11">
        <v>500000</v>
      </c>
      <c r="F45" s="124" t="s">
        <v>111</v>
      </c>
    </row>
    <row r="46" spans="1:6" x14ac:dyDescent="0.3">
      <c r="A46" s="125">
        <v>45982</v>
      </c>
      <c r="B46" t="s">
        <v>155</v>
      </c>
      <c r="C46" s="11"/>
      <c r="D46" s="11">
        <v>175000</v>
      </c>
      <c r="F46" s="124" t="s">
        <v>111</v>
      </c>
    </row>
    <row r="47" spans="1:6" x14ac:dyDescent="0.3">
      <c r="A47" s="125">
        <v>45982</v>
      </c>
      <c r="B47" t="s">
        <v>181</v>
      </c>
      <c r="C47" s="11"/>
      <c r="D47" s="11">
        <v>120205</v>
      </c>
      <c r="F47" s="124" t="s">
        <v>111</v>
      </c>
    </row>
    <row r="48" spans="1:6" x14ac:dyDescent="0.3">
      <c r="A48" s="125">
        <v>45982</v>
      </c>
      <c r="B48" t="s">
        <v>169</v>
      </c>
      <c r="C48" s="11"/>
      <c r="D48" s="11">
        <v>175217</v>
      </c>
      <c r="F48" s="124" t="s">
        <v>111</v>
      </c>
    </row>
    <row r="49" spans="1:6" x14ac:dyDescent="0.3">
      <c r="A49" s="125">
        <v>45982</v>
      </c>
      <c r="B49" t="s">
        <v>151</v>
      </c>
      <c r="C49" s="11"/>
      <c r="D49" s="11">
        <v>130000</v>
      </c>
      <c r="F49" s="124" t="s">
        <v>111</v>
      </c>
    </row>
    <row r="50" spans="1:6" x14ac:dyDescent="0.3">
      <c r="A50" s="125">
        <v>45982</v>
      </c>
      <c r="B50" t="s">
        <v>239</v>
      </c>
      <c r="C50" s="11">
        <v>175000</v>
      </c>
      <c r="D50" s="11"/>
      <c r="E50" t="s">
        <v>240</v>
      </c>
      <c r="F50" s="124" t="s">
        <v>111</v>
      </c>
    </row>
    <row r="51" spans="1:6" x14ac:dyDescent="0.3">
      <c r="A51" s="125">
        <v>45983</v>
      </c>
      <c r="B51" t="s">
        <v>116</v>
      </c>
      <c r="C51" s="11">
        <v>1960</v>
      </c>
      <c r="D51" s="11"/>
      <c r="E51" s="1">
        <v>45983</v>
      </c>
      <c r="F51" s="124" t="s">
        <v>111</v>
      </c>
    </row>
    <row r="52" spans="1:6" x14ac:dyDescent="0.3">
      <c r="A52" s="125">
        <v>45983</v>
      </c>
      <c r="B52" t="s">
        <v>222</v>
      </c>
      <c r="C52" s="11">
        <v>25000</v>
      </c>
      <c r="D52" s="11"/>
      <c r="E52" t="s">
        <v>191</v>
      </c>
      <c r="F52" s="124" t="s">
        <v>111</v>
      </c>
    </row>
    <row r="53" spans="1:6" x14ac:dyDescent="0.3">
      <c r="A53" s="125">
        <v>45983</v>
      </c>
      <c r="B53" t="s">
        <v>54</v>
      </c>
      <c r="C53" s="11">
        <v>10370</v>
      </c>
      <c r="D53" s="11"/>
      <c r="E53" t="s">
        <v>234</v>
      </c>
      <c r="F53" s="124" t="s">
        <v>111</v>
      </c>
    </row>
    <row r="54" spans="1:6" x14ac:dyDescent="0.3">
      <c r="A54" s="125">
        <v>45983</v>
      </c>
      <c r="B54" t="s">
        <v>21</v>
      </c>
      <c r="C54" s="97"/>
      <c r="D54" s="97">
        <v>25000</v>
      </c>
      <c r="E54" t="s">
        <v>241</v>
      </c>
      <c r="F54" s="124" t="s">
        <v>111</v>
      </c>
    </row>
    <row r="55" spans="1:6" x14ac:dyDescent="0.3">
      <c r="A55" s="125">
        <v>45983</v>
      </c>
      <c r="B55" t="s">
        <v>21</v>
      </c>
      <c r="C55" s="11"/>
      <c r="D55" s="11">
        <v>10370</v>
      </c>
      <c r="E55" t="s">
        <v>234</v>
      </c>
      <c r="F55" s="124" t="s">
        <v>111</v>
      </c>
    </row>
    <row r="56" spans="1:6" x14ac:dyDescent="0.3">
      <c r="A56" s="125">
        <v>45983</v>
      </c>
      <c r="B56" t="s">
        <v>54</v>
      </c>
      <c r="C56" s="11">
        <v>3000</v>
      </c>
      <c r="D56" s="11"/>
      <c r="E56" t="s">
        <v>218</v>
      </c>
      <c r="F56" s="124" t="s">
        <v>111</v>
      </c>
    </row>
    <row r="57" spans="1:6" x14ac:dyDescent="0.3">
      <c r="A57" s="125">
        <v>45983</v>
      </c>
      <c r="B57" t="s">
        <v>21</v>
      </c>
      <c r="C57" s="11"/>
      <c r="D57" s="11">
        <v>3000</v>
      </c>
      <c r="E57" t="s">
        <v>218</v>
      </c>
      <c r="F57" s="124" t="s">
        <v>111</v>
      </c>
    </row>
    <row r="58" spans="1:6" x14ac:dyDescent="0.3">
      <c r="A58" s="125">
        <v>45983</v>
      </c>
      <c r="B58" t="s">
        <v>55</v>
      </c>
      <c r="C58" s="11">
        <v>3000</v>
      </c>
      <c r="D58" s="11"/>
      <c r="E58" t="s">
        <v>242</v>
      </c>
      <c r="F58" s="124" t="s">
        <v>111</v>
      </c>
    </row>
    <row r="59" spans="1:6" x14ac:dyDescent="0.3">
      <c r="A59" s="125">
        <v>45983</v>
      </c>
      <c r="B59" t="s">
        <v>21</v>
      </c>
      <c r="C59" s="11"/>
      <c r="D59" s="11">
        <v>3000</v>
      </c>
      <c r="E59" t="s">
        <v>242</v>
      </c>
      <c r="F59" s="124" t="s">
        <v>111</v>
      </c>
    </row>
    <row r="60" spans="1:6" x14ac:dyDescent="0.3">
      <c r="A60" s="125">
        <v>45983</v>
      </c>
      <c r="B60" t="s">
        <v>54</v>
      </c>
      <c r="C60" s="11">
        <v>2670</v>
      </c>
      <c r="D60" s="11"/>
      <c r="E60" t="s">
        <v>234</v>
      </c>
      <c r="F60" s="124" t="s">
        <v>111</v>
      </c>
    </row>
    <row r="61" spans="1:6" x14ac:dyDescent="0.3">
      <c r="A61" s="125">
        <v>45983</v>
      </c>
      <c r="B61" t="s">
        <v>188</v>
      </c>
      <c r="C61" s="11">
        <v>5000</v>
      </c>
      <c r="D61" s="11"/>
      <c r="E61" t="s">
        <v>207</v>
      </c>
      <c r="F61" s="124" t="s">
        <v>111</v>
      </c>
    </row>
    <row r="62" spans="1:6" x14ac:dyDescent="0.3">
      <c r="A62" s="125">
        <v>45983</v>
      </c>
      <c r="B62" t="s">
        <v>55</v>
      </c>
      <c r="C62" s="11">
        <v>150</v>
      </c>
      <c r="D62" s="11"/>
      <c r="E62" t="s">
        <v>243</v>
      </c>
      <c r="F62" s="124" t="s">
        <v>111</v>
      </c>
    </row>
    <row r="63" spans="1:6" x14ac:dyDescent="0.3">
      <c r="A63" s="125">
        <v>45983</v>
      </c>
      <c r="B63" t="s">
        <v>21</v>
      </c>
      <c r="C63" s="11"/>
      <c r="D63" s="11">
        <v>13000</v>
      </c>
      <c r="E63" t="s">
        <v>246</v>
      </c>
      <c r="F63" s="124" t="s">
        <v>111</v>
      </c>
    </row>
    <row r="64" spans="1:6" x14ac:dyDescent="0.3">
      <c r="A64" s="125">
        <v>45983</v>
      </c>
      <c r="B64" t="s">
        <v>197</v>
      </c>
      <c r="C64" s="11">
        <v>13000</v>
      </c>
      <c r="D64" s="11"/>
      <c r="E64" t="s">
        <v>129</v>
      </c>
      <c r="F64" s="124" t="s">
        <v>111</v>
      </c>
    </row>
    <row r="65" spans="1:6" x14ac:dyDescent="0.3">
      <c r="A65" s="125">
        <v>45984</v>
      </c>
      <c r="B65" t="s">
        <v>186</v>
      </c>
      <c r="C65" s="11"/>
      <c r="D65" s="11">
        <v>1000000</v>
      </c>
      <c r="E65" t="s">
        <v>230</v>
      </c>
      <c r="F65" s="124" t="s">
        <v>111</v>
      </c>
    </row>
    <row r="66" spans="1:6" x14ac:dyDescent="0.3">
      <c r="A66" s="125">
        <v>45984</v>
      </c>
      <c r="B66" t="s">
        <v>97</v>
      </c>
      <c r="C66" s="11">
        <v>200068</v>
      </c>
      <c r="D66" s="11"/>
      <c r="E66" t="s">
        <v>247</v>
      </c>
      <c r="F66" s="124" t="s">
        <v>111</v>
      </c>
    </row>
    <row r="67" spans="1:6" x14ac:dyDescent="0.3">
      <c r="A67" s="125">
        <v>45984</v>
      </c>
      <c r="B67" t="s">
        <v>55</v>
      </c>
      <c r="C67" s="11">
        <v>20000</v>
      </c>
      <c r="D67" s="11"/>
      <c r="E67" t="s">
        <v>233</v>
      </c>
      <c r="F67" s="124" t="s">
        <v>111</v>
      </c>
    </row>
    <row r="68" spans="1:6" x14ac:dyDescent="0.3">
      <c r="A68" s="125">
        <v>45984</v>
      </c>
      <c r="B68" t="s">
        <v>249</v>
      </c>
      <c r="C68" s="11">
        <v>1100</v>
      </c>
      <c r="D68" s="11"/>
      <c r="E68" t="s">
        <v>248</v>
      </c>
      <c r="F68" s="124" t="s">
        <v>111</v>
      </c>
    </row>
    <row r="69" spans="1:6" x14ac:dyDescent="0.3">
      <c r="A69" s="125">
        <v>45984</v>
      </c>
      <c r="B69" t="s">
        <v>116</v>
      </c>
      <c r="C69" s="11">
        <v>2635</v>
      </c>
      <c r="D69" s="11"/>
      <c r="E69" s="1">
        <v>45984</v>
      </c>
      <c r="F69" s="124" t="s">
        <v>111</v>
      </c>
    </row>
    <row r="70" spans="1:6" x14ac:dyDescent="0.3">
      <c r="A70" s="125">
        <v>45984</v>
      </c>
      <c r="B70" t="s">
        <v>55</v>
      </c>
      <c r="C70" s="11">
        <v>10000</v>
      </c>
      <c r="D70" s="11"/>
      <c r="E70" t="s">
        <v>250</v>
      </c>
      <c r="F70" s="124" t="s">
        <v>111</v>
      </c>
    </row>
    <row r="71" spans="1:6" x14ac:dyDescent="0.3">
      <c r="A71" s="125">
        <v>45985</v>
      </c>
      <c r="B71" t="s">
        <v>97</v>
      </c>
      <c r="C71" s="11">
        <v>67500</v>
      </c>
      <c r="D71" s="11"/>
      <c r="E71" t="s">
        <v>226</v>
      </c>
      <c r="F71" s="124" t="s">
        <v>111</v>
      </c>
    </row>
    <row r="72" spans="1:6" x14ac:dyDescent="0.3">
      <c r="A72" s="125">
        <v>45985</v>
      </c>
      <c r="B72" t="s">
        <v>116</v>
      </c>
      <c r="C72" s="11">
        <v>20000</v>
      </c>
      <c r="D72" s="11"/>
      <c r="E72" t="s">
        <v>251</v>
      </c>
      <c r="F72" s="124" t="s">
        <v>111</v>
      </c>
    </row>
    <row r="73" spans="1:6" x14ac:dyDescent="0.3">
      <c r="A73" s="125">
        <v>45985</v>
      </c>
      <c r="B73" t="s">
        <v>55</v>
      </c>
      <c r="C73" s="11">
        <v>6000</v>
      </c>
      <c r="D73" s="11"/>
      <c r="E73" t="s">
        <v>242</v>
      </c>
      <c r="F73" s="124" t="s">
        <v>111</v>
      </c>
    </row>
    <row r="74" spans="1:6" x14ac:dyDescent="0.3">
      <c r="A74" s="125">
        <v>45985</v>
      </c>
      <c r="B74" t="s">
        <v>54</v>
      </c>
      <c r="C74" s="11">
        <v>12700</v>
      </c>
      <c r="D74" s="11"/>
      <c r="E74" t="s">
        <v>227</v>
      </c>
      <c r="F74" s="124" t="s">
        <v>111</v>
      </c>
    </row>
    <row r="75" spans="1:6" x14ac:dyDescent="0.3">
      <c r="A75" s="125">
        <v>45985</v>
      </c>
      <c r="B75" t="s">
        <v>152</v>
      </c>
      <c r="C75" s="11">
        <v>40000</v>
      </c>
      <c r="D75" s="11"/>
      <c r="E75" t="s">
        <v>252</v>
      </c>
      <c r="F75" s="124" t="s">
        <v>111</v>
      </c>
    </row>
    <row r="76" spans="1:6" x14ac:dyDescent="0.3">
      <c r="A76" s="125">
        <v>45985</v>
      </c>
      <c r="B76" t="s">
        <v>116</v>
      </c>
      <c r="C76" s="97">
        <v>2220</v>
      </c>
      <c r="D76" s="97"/>
      <c r="E76" s="130">
        <v>45985</v>
      </c>
      <c r="F76" s="124" t="s">
        <v>111</v>
      </c>
    </row>
    <row r="77" spans="1:6" x14ac:dyDescent="0.3">
      <c r="A77" s="125">
        <v>45985</v>
      </c>
      <c r="B77" t="s">
        <v>188</v>
      </c>
      <c r="C77" s="11">
        <v>9200</v>
      </c>
      <c r="D77" s="11"/>
      <c r="E77" t="s">
        <v>207</v>
      </c>
      <c r="F77" s="124" t="s">
        <v>111</v>
      </c>
    </row>
    <row r="78" spans="1:6" x14ac:dyDescent="0.3">
      <c r="A78" s="125">
        <v>45985</v>
      </c>
      <c r="B78" t="s">
        <v>214</v>
      </c>
      <c r="C78" s="11"/>
      <c r="D78" s="11"/>
      <c r="E78" t="s">
        <v>253</v>
      </c>
      <c r="F78" s="124" t="s">
        <v>111</v>
      </c>
    </row>
    <row r="79" spans="1:6" x14ac:dyDescent="0.3">
      <c r="A79" s="125">
        <v>45985</v>
      </c>
      <c r="B79" t="s">
        <v>214</v>
      </c>
      <c r="C79" s="11"/>
      <c r="D79" s="11"/>
      <c r="E79" t="s">
        <v>254</v>
      </c>
      <c r="F79" s="124" t="s">
        <v>111</v>
      </c>
    </row>
    <row r="80" spans="1:6" x14ac:dyDescent="0.3">
      <c r="A80" s="125">
        <v>45985</v>
      </c>
      <c r="B80" t="s">
        <v>249</v>
      </c>
      <c r="C80" s="11">
        <v>2600</v>
      </c>
      <c r="D80" s="11"/>
      <c r="E80" t="s">
        <v>255</v>
      </c>
      <c r="F80" s="124" t="s">
        <v>111</v>
      </c>
    </row>
    <row r="81" spans="1:7" x14ac:dyDescent="0.3">
      <c r="A81" s="131">
        <v>45983</v>
      </c>
      <c r="B81" t="s">
        <v>187</v>
      </c>
      <c r="C81" s="11">
        <v>98000</v>
      </c>
      <c r="D81" s="11"/>
      <c r="E81" t="s">
        <v>258</v>
      </c>
      <c r="F81" s="124" t="s">
        <v>111</v>
      </c>
    </row>
    <row r="82" spans="1:7" x14ac:dyDescent="0.3">
      <c r="A82" s="131">
        <v>45983</v>
      </c>
      <c r="B82" t="s">
        <v>197</v>
      </c>
      <c r="C82" s="11">
        <v>47000</v>
      </c>
      <c r="D82" s="11"/>
      <c r="E82" t="s">
        <v>129</v>
      </c>
      <c r="F82" s="124" t="s">
        <v>111</v>
      </c>
    </row>
    <row r="83" spans="1:7" x14ac:dyDescent="0.3">
      <c r="A83" s="131">
        <v>45983</v>
      </c>
      <c r="B83" t="s">
        <v>21</v>
      </c>
      <c r="C83" s="11"/>
      <c r="D83" s="11">
        <f>98000+47000</f>
        <v>145000</v>
      </c>
      <c r="E83" t="s">
        <v>259</v>
      </c>
      <c r="F83" s="124" t="s">
        <v>111</v>
      </c>
    </row>
    <row r="84" spans="1:7" x14ac:dyDescent="0.3">
      <c r="A84" s="131"/>
      <c r="C84" s="11"/>
      <c r="D84" s="11"/>
      <c r="F84" s="124"/>
    </row>
    <row r="85" spans="1:7" x14ac:dyDescent="0.3">
      <c r="A85" s="132"/>
      <c r="B85" s="133"/>
      <c r="C85" s="97"/>
      <c r="D85" s="97"/>
      <c r="E85" s="133"/>
      <c r="F85" s="134"/>
      <c r="G85" s="133"/>
    </row>
    <row r="86" spans="1:7" x14ac:dyDescent="0.3">
      <c r="A86" s="38"/>
      <c r="C86" s="14">
        <f>SUBTOTAL(109,Table14[Debit])</f>
        <v>3643770</v>
      </c>
      <c r="D86" s="14">
        <f>SUBTOTAL(109,Table14[Credit])</f>
        <v>4119558</v>
      </c>
      <c r="F86" s="54">
        <f>(Table14[[#Totals],[Credit]]-Table14[[#Totals],[Debit]])</f>
        <v>475788</v>
      </c>
    </row>
    <row r="163" spans="10:12" x14ac:dyDescent="0.3">
      <c r="J163" s="3" t="s">
        <v>6</v>
      </c>
      <c r="K163" t="s">
        <v>121</v>
      </c>
      <c r="L163" t="s">
        <v>122</v>
      </c>
    </row>
    <row r="164" spans="10:12" x14ac:dyDescent="0.3">
      <c r="J164" s="4" t="s">
        <v>222</v>
      </c>
      <c r="K164" s="14"/>
      <c r="L164" s="14">
        <v>25000</v>
      </c>
    </row>
    <row r="165" spans="10:12" x14ac:dyDescent="0.3">
      <c r="J165" s="4" t="s">
        <v>9</v>
      </c>
      <c r="K165" s="14">
        <v>350000</v>
      </c>
      <c r="L165" s="14"/>
    </row>
    <row r="166" spans="10:12" x14ac:dyDescent="0.3">
      <c r="J166" s="4" t="s">
        <v>21</v>
      </c>
      <c r="K166" s="14">
        <v>453328</v>
      </c>
      <c r="L166" s="14"/>
    </row>
    <row r="167" spans="10:12" x14ac:dyDescent="0.3">
      <c r="J167" s="4" t="s">
        <v>120</v>
      </c>
      <c r="K167" s="14"/>
      <c r="L167" s="14">
        <v>24000</v>
      </c>
    </row>
    <row r="168" spans="10:12" x14ac:dyDescent="0.3">
      <c r="J168" s="4" t="s">
        <v>97</v>
      </c>
      <c r="K168" s="14"/>
      <c r="L168" s="14">
        <v>1056032</v>
      </c>
    </row>
    <row r="169" spans="10:12" x14ac:dyDescent="0.3">
      <c r="J169" s="4" t="s">
        <v>249</v>
      </c>
      <c r="K169" s="14"/>
      <c r="L169" s="14">
        <v>3700</v>
      </c>
    </row>
    <row r="170" spans="10:12" x14ac:dyDescent="0.3">
      <c r="J170" s="4" t="s">
        <v>55</v>
      </c>
      <c r="K170" s="14"/>
      <c r="L170" s="14">
        <v>86650</v>
      </c>
    </row>
    <row r="171" spans="10:12" x14ac:dyDescent="0.3">
      <c r="J171" s="4" t="s">
        <v>116</v>
      </c>
      <c r="K171" s="14"/>
      <c r="L171" s="14">
        <v>43315</v>
      </c>
    </row>
    <row r="172" spans="10:12" x14ac:dyDescent="0.3">
      <c r="J172" s="4" t="s">
        <v>214</v>
      </c>
      <c r="K172" s="14"/>
      <c r="L172" s="14"/>
    </row>
    <row r="173" spans="10:12" x14ac:dyDescent="0.3">
      <c r="J173" s="4" t="s">
        <v>54</v>
      </c>
      <c r="K173" s="14"/>
      <c r="L173" s="14">
        <v>47248</v>
      </c>
    </row>
    <row r="174" spans="10:12" x14ac:dyDescent="0.3">
      <c r="J174" s="4" t="s">
        <v>188</v>
      </c>
      <c r="K174" s="14"/>
      <c r="L174" s="14">
        <v>31600</v>
      </c>
    </row>
    <row r="175" spans="10:12" x14ac:dyDescent="0.3">
      <c r="J175" s="4" t="s">
        <v>185</v>
      </c>
      <c r="K175" s="14"/>
      <c r="L175" s="14">
        <v>1800</v>
      </c>
    </row>
    <row r="176" spans="10:12" x14ac:dyDescent="0.3">
      <c r="J176" s="4" t="s">
        <v>229</v>
      </c>
      <c r="K176" s="14">
        <v>200000</v>
      </c>
      <c r="L176" s="14"/>
    </row>
    <row r="177" spans="10:12" x14ac:dyDescent="0.3">
      <c r="J177" s="4" t="s">
        <v>152</v>
      </c>
      <c r="K177" s="14"/>
      <c r="L177" s="14">
        <v>40000</v>
      </c>
    </row>
    <row r="178" spans="10:12" x14ac:dyDescent="0.3">
      <c r="J178" s="4" t="s">
        <v>155</v>
      </c>
      <c r="K178" s="14">
        <v>475000</v>
      </c>
      <c r="L178" s="14"/>
    </row>
    <row r="179" spans="10:12" x14ac:dyDescent="0.3">
      <c r="J179" s="4" t="s">
        <v>169</v>
      </c>
      <c r="K179" s="14">
        <v>875217</v>
      </c>
      <c r="L179" s="14"/>
    </row>
    <row r="180" spans="10:12" x14ac:dyDescent="0.3">
      <c r="J180" s="4" t="s">
        <v>208</v>
      </c>
      <c r="K180" s="14"/>
      <c r="L180" s="14">
        <v>2000</v>
      </c>
    </row>
    <row r="181" spans="10:12" x14ac:dyDescent="0.3">
      <c r="J181" s="4" t="s">
        <v>239</v>
      </c>
      <c r="K181" s="14"/>
      <c r="L181" s="14">
        <v>175000</v>
      </c>
    </row>
    <row r="182" spans="10:12" x14ac:dyDescent="0.3">
      <c r="J182" s="4" t="s">
        <v>186</v>
      </c>
      <c r="K182" s="14">
        <v>1000000</v>
      </c>
      <c r="L182" s="14"/>
    </row>
    <row r="183" spans="10:12" x14ac:dyDescent="0.3">
      <c r="J183" s="4" t="s">
        <v>187</v>
      </c>
      <c r="K183" s="14"/>
      <c r="L183" s="14">
        <v>141950</v>
      </c>
    </row>
    <row r="184" spans="10:12" x14ac:dyDescent="0.3">
      <c r="J184" s="4" t="s">
        <v>238</v>
      </c>
      <c r="K184" s="14">
        <v>500000</v>
      </c>
      <c r="L184" s="14"/>
    </row>
    <row r="185" spans="10:12" x14ac:dyDescent="0.3">
      <c r="J185" s="4" t="s">
        <v>181</v>
      </c>
      <c r="K185" s="14">
        <v>120205</v>
      </c>
      <c r="L185" s="14"/>
    </row>
    <row r="186" spans="10:12" x14ac:dyDescent="0.3">
      <c r="J186" s="4" t="s">
        <v>195</v>
      </c>
      <c r="K186" s="14"/>
      <c r="L186" s="14">
        <v>4000</v>
      </c>
    </row>
    <row r="187" spans="10:12" x14ac:dyDescent="0.3">
      <c r="J187" s="4" t="s">
        <v>197</v>
      </c>
      <c r="K187" s="14"/>
      <c r="L187" s="14">
        <v>13000</v>
      </c>
    </row>
    <row r="188" spans="10:12" x14ac:dyDescent="0.3">
      <c r="J188" s="4" t="s">
        <v>205</v>
      </c>
      <c r="K188" s="14">
        <v>-129192</v>
      </c>
      <c r="L188" s="14"/>
    </row>
    <row r="189" spans="10:12" x14ac:dyDescent="0.3">
      <c r="J189" s="4" t="s">
        <v>51</v>
      </c>
      <c r="K189" s="14"/>
      <c r="L189" s="14">
        <v>1803475</v>
      </c>
    </row>
    <row r="190" spans="10:12" x14ac:dyDescent="0.3">
      <c r="J190" s="4" t="s">
        <v>151</v>
      </c>
      <c r="K190" s="14">
        <v>130000</v>
      </c>
      <c r="L190" s="14"/>
    </row>
    <row r="191" spans="10:12" x14ac:dyDescent="0.3">
      <c r="J191" s="4" t="s">
        <v>28</v>
      </c>
      <c r="K191" s="14">
        <v>3974558</v>
      </c>
      <c r="L191" s="14">
        <v>3498770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A6" sqref="A6"/>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85">
        <v>45947</v>
      </c>
      <c r="B2" s="82" t="s">
        <v>64</v>
      </c>
      <c r="C2" s="82"/>
      <c r="D2" s="82"/>
      <c r="E2" s="82"/>
      <c r="F2" s="98" t="s">
        <v>118</v>
      </c>
      <c r="G2" s="82">
        <f>SUMIFS(Table14[Debit], Table14[Date], Table8[[#This Row],[Date]], Table14[Party], Table8[[#This Row],[Party]])</f>
        <v>0</v>
      </c>
      <c r="H2" s="82">
        <v>240125</v>
      </c>
      <c r="I2" s="82" t="s">
        <v>203</v>
      </c>
      <c r="K2" t="s">
        <v>75</v>
      </c>
      <c r="L2" t="s">
        <v>45</v>
      </c>
      <c r="M2" t="s">
        <v>36</v>
      </c>
      <c r="N2" t="s">
        <v>5</v>
      </c>
    </row>
    <row r="3" spans="1:14" x14ac:dyDescent="0.3">
      <c r="A3" s="96">
        <v>45947</v>
      </c>
      <c r="B3" s="81" t="s">
        <v>64</v>
      </c>
      <c r="C3" s="81"/>
      <c r="D3" s="81"/>
      <c r="E3" s="81"/>
      <c r="F3" s="81" t="s">
        <v>187</v>
      </c>
      <c r="G3" s="81">
        <f>SUMIFS(Table14[Debit], Table14[Date], Table8[[#This Row],[Date]], Table14[Party], Table8[[#This Row],[Party]])</f>
        <v>0</v>
      </c>
      <c r="H3" s="81">
        <v>0</v>
      </c>
      <c r="I3" s="81" t="s">
        <v>203</v>
      </c>
      <c r="K3" s="1"/>
      <c r="L3" t="s">
        <v>127</v>
      </c>
      <c r="N3" s="11">
        <f t="shared" ref="N3" si="0">47000+28750</f>
        <v>75750</v>
      </c>
    </row>
    <row r="4" spans="1:14" x14ac:dyDescent="0.3">
      <c r="A4" s="1">
        <v>45979</v>
      </c>
      <c r="B4" t="s">
        <v>64</v>
      </c>
      <c r="F4" t="s">
        <v>197</v>
      </c>
      <c r="G4">
        <f>SUMIFS(Table14[Debit], Table14[Date], Table8[[#This Row],[Date]], Table14[Party], Table8[[#This Row],[Party]])</f>
        <v>0</v>
      </c>
      <c r="H4">
        <f>Table8[[#This Row],[Price]]-Table8[[#This Row],[Paid]]</f>
        <v>0</v>
      </c>
      <c r="I4" t="s">
        <v>203</v>
      </c>
      <c r="K4" s="1"/>
      <c r="N4" s="11"/>
    </row>
    <row r="5" spans="1:14" x14ac:dyDescent="0.3">
      <c r="A5" s="1">
        <v>45981</v>
      </c>
      <c r="B5" t="s">
        <v>64</v>
      </c>
      <c r="E5">
        <v>141950</v>
      </c>
      <c r="F5" t="s">
        <v>187</v>
      </c>
      <c r="G5">
        <f>SUMIFS(Table14[Debit], Table14[Date], Table8[[#This Row],[Date]], Table14[Party], Table8[[#This Row],[Party]])</f>
        <v>141950</v>
      </c>
      <c r="H5">
        <f>Table8[[#This Row],[Price]]-Table8[[#This Row],[Paid]]</f>
        <v>0</v>
      </c>
      <c r="K5" s="1"/>
      <c r="N5" s="14">
        <f>SUM(Table7[Total])</f>
        <v>75750</v>
      </c>
    </row>
    <row r="6" spans="1:14" x14ac:dyDescent="0.3">
      <c r="E6">
        <f>SUBTOTAL(109,Table8[Price])</f>
        <v>141950</v>
      </c>
      <c r="H6">
        <f>SUBTOTAL(109,Table8[Balance])</f>
        <v>240125</v>
      </c>
    </row>
    <row r="7" spans="1:14" x14ac:dyDescent="0.3">
      <c r="K7" s="3" t="s">
        <v>113</v>
      </c>
      <c r="L7" t="s">
        <v>88</v>
      </c>
    </row>
    <row r="9" spans="1:14" x14ac:dyDescent="0.3">
      <c r="K9" s="3" t="s">
        <v>6</v>
      </c>
      <c r="L9" t="s">
        <v>130</v>
      </c>
      <c r="M9" t="s">
        <v>131</v>
      </c>
    </row>
    <row r="10" spans="1:14" x14ac:dyDescent="0.3">
      <c r="K10" s="26">
        <v>45947</v>
      </c>
      <c r="M10">
        <v>240125</v>
      </c>
    </row>
    <row r="11" spans="1:14" x14ac:dyDescent="0.3">
      <c r="K11" s="26">
        <v>45979</v>
      </c>
      <c r="M11">
        <v>0</v>
      </c>
    </row>
    <row r="12" spans="1:14" x14ac:dyDescent="0.3">
      <c r="A12" t="s">
        <v>57</v>
      </c>
      <c r="B12" t="s">
        <v>159</v>
      </c>
      <c r="C12" t="s">
        <v>160</v>
      </c>
      <c r="D12" t="s">
        <v>4</v>
      </c>
      <c r="E12" t="s">
        <v>161</v>
      </c>
      <c r="K12" s="26">
        <v>45981</v>
      </c>
      <c r="L12">
        <v>141950</v>
      </c>
      <c r="M12">
        <v>0</v>
      </c>
    </row>
    <row r="13" spans="1:14" x14ac:dyDescent="0.3">
      <c r="A13" t="s">
        <v>134</v>
      </c>
      <c r="B13">
        <v>1</v>
      </c>
      <c r="C13">
        <v>25</v>
      </c>
      <c r="D13">
        <v>1400</v>
      </c>
      <c r="E13">
        <f>Table2325[[#This Row],[boxes]]*Table2325[[#This Row],[kgs]]*Table2325[[#This Row],[Rate]]</f>
        <v>35000</v>
      </c>
      <c r="K13" s="4" t="s">
        <v>28</v>
      </c>
      <c r="L13">
        <v>141950</v>
      </c>
      <c r="M13">
        <v>240125</v>
      </c>
    </row>
    <row r="14" spans="1:14" x14ac:dyDescent="0.3">
      <c r="A14" t="s">
        <v>132</v>
      </c>
      <c r="B14">
        <v>1</v>
      </c>
      <c r="C14">
        <v>3</v>
      </c>
      <c r="D14">
        <v>1340</v>
      </c>
      <c r="E14">
        <f>Table2325[[#This Row],[boxes]]*Table2325[[#This Row],[kgs]]*Table2325[[#This Row],[Rate]]</f>
        <v>4020</v>
      </c>
    </row>
    <row r="15" spans="1:14" x14ac:dyDescent="0.3">
      <c r="A15" t="s">
        <v>150</v>
      </c>
      <c r="B15">
        <v>1</v>
      </c>
      <c r="D15">
        <v>1120</v>
      </c>
      <c r="E15">
        <f>Table2325[[#This Row],[boxes]]*Table2325[[#This Row],[kgs]]*Table2325[[#This Row],[Rate]]</f>
        <v>0</v>
      </c>
    </row>
    <row r="16" spans="1:14" x14ac:dyDescent="0.3">
      <c r="A16" t="s">
        <v>129</v>
      </c>
      <c r="B16">
        <v>1</v>
      </c>
      <c r="C16">
        <v>25</v>
      </c>
      <c r="D16">
        <v>1120</v>
      </c>
      <c r="E16">
        <f>Table2325[[#This Row],[boxes]]*Table2325[[#This Row],[kgs]]*Table2325[[#This Row],[Rate]]</f>
        <v>28000</v>
      </c>
    </row>
    <row r="17" spans="1:12" x14ac:dyDescent="0.3">
      <c r="A17" t="s">
        <v>128</v>
      </c>
      <c r="B17">
        <v>1</v>
      </c>
      <c r="C17">
        <v>25</v>
      </c>
      <c r="D17">
        <v>1120</v>
      </c>
      <c r="E17">
        <f>Table2325[[#This Row],[boxes]]*Table2325[[#This Row],[kgs]]*Table2325[[#This Row],[Rate]]</f>
        <v>28000</v>
      </c>
    </row>
    <row r="18" spans="1:12" x14ac:dyDescent="0.3">
      <c r="A18" t="s">
        <v>149</v>
      </c>
      <c r="B18">
        <v>1</v>
      </c>
      <c r="D18">
        <v>1300</v>
      </c>
      <c r="E18">
        <f>Table2325[[#This Row],[boxes]]*Table2325[[#This Row],[kgs]]*Table2325[[#This Row],[Rate]]</f>
        <v>0</v>
      </c>
    </row>
    <row r="19" spans="1:12" x14ac:dyDescent="0.3">
      <c r="A19" t="s">
        <v>135</v>
      </c>
      <c r="B19">
        <v>1</v>
      </c>
      <c r="C19">
        <v>25</v>
      </c>
      <c r="D19">
        <v>1450</v>
      </c>
      <c r="E19">
        <f>Table2325[[#This Row],[boxes]]*Table2325[[#This Row],[kgs]]*Table2325[[#This Row],[Rate]]</f>
        <v>36250</v>
      </c>
    </row>
    <row r="20" spans="1:12" x14ac:dyDescent="0.3">
      <c r="A20" t="s">
        <v>162</v>
      </c>
      <c r="B20">
        <v>1</v>
      </c>
      <c r="C20">
        <v>25</v>
      </c>
      <c r="D20">
        <v>940</v>
      </c>
      <c r="E20">
        <f>Table2325[[#This Row],[boxes]]*Table2325[[#This Row],[kgs]]*Table2325[[#This Row],[Rate]]</f>
        <v>23500</v>
      </c>
    </row>
    <row r="21" spans="1:12" x14ac:dyDescent="0.3">
      <c r="A21" t="s">
        <v>128</v>
      </c>
      <c r="D21">
        <v>1130</v>
      </c>
      <c r="E21">
        <f>Table2325[[#This Row],[boxes]]*Table2325[[#This Row],[kgs]]*Table2325[[#This Row],[Rate]]</f>
        <v>0</v>
      </c>
    </row>
    <row r="22" spans="1:12" x14ac:dyDescent="0.3">
      <c r="A22" t="s">
        <v>149</v>
      </c>
      <c r="B22">
        <v>1</v>
      </c>
      <c r="C22">
        <v>12</v>
      </c>
      <c r="D22">
        <v>1300</v>
      </c>
      <c r="E22">
        <f>Table2325[[#This Row],[boxes]]*Table2325[[#This Row],[kgs]]*Table2325[[#This Row],[Rate]]</f>
        <v>15600</v>
      </c>
    </row>
    <row r="23" spans="1:12" x14ac:dyDescent="0.3">
      <c r="A23" t="s">
        <v>136</v>
      </c>
      <c r="B23">
        <v>1</v>
      </c>
      <c r="C23">
        <v>8</v>
      </c>
      <c r="D23">
        <v>1650</v>
      </c>
      <c r="E23">
        <f>Table2325[[#This Row],[boxes]]*Table2325[[#This Row],[kgs]]*Table2325[[#This Row],[Rate]]</f>
        <v>13200</v>
      </c>
    </row>
    <row r="24" spans="1:12" x14ac:dyDescent="0.3">
      <c r="A24" t="s">
        <v>132</v>
      </c>
      <c r="D24">
        <v>1340</v>
      </c>
      <c r="E24">
        <f>Table2325[[#This Row],[boxes]]*Table2325[[#This Row],[kgs]]*Table2325[[#This Row],[Rate]]</f>
        <v>0</v>
      </c>
    </row>
    <row r="25" spans="1:12" x14ac:dyDescent="0.3">
      <c r="A25" t="s">
        <v>135</v>
      </c>
      <c r="B25">
        <v>1</v>
      </c>
      <c r="C25">
        <v>12</v>
      </c>
      <c r="D25">
        <v>1450</v>
      </c>
      <c r="E25">
        <f>Table2325[[#This Row],[boxes]]*Table2325[[#This Row],[kgs]]*Table2325[[#This Row],[Rate]]</f>
        <v>17400</v>
      </c>
    </row>
    <row r="26" spans="1:12" x14ac:dyDescent="0.3">
      <c r="A26" t="s">
        <v>134</v>
      </c>
      <c r="B26">
        <v>1</v>
      </c>
      <c r="C26">
        <v>4</v>
      </c>
      <c r="D26">
        <v>1400</v>
      </c>
      <c r="E26">
        <f>Table2325[[#This Row],[boxes]]*Table2325[[#This Row],[kgs]]*Table2325[[#This Row],[Rate]]</f>
        <v>5600</v>
      </c>
    </row>
    <row r="27" spans="1:12" x14ac:dyDescent="0.3">
      <c r="A27" t="s">
        <v>163</v>
      </c>
      <c r="D27">
        <v>1000</v>
      </c>
      <c r="E27">
        <f>Table2325[[#This Row],[boxes]]*Table2325[[#This Row],[kgs]]*Table2325[[#This Row],[Rate]]</f>
        <v>0</v>
      </c>
    </row>
    <row r="28" spans="1:12" x14ac:dyDescent="0.3">
      <c r="A28" t="s">
        <v>133</v>
      </c>
      <c r="B28">
        <v>1</v>
      </c>
      <c r="C28">
        <v>12</v>
      </c>
      <c r="D28">
        <v>1650</v>
      </c>
      <c r="E28">
        <f>Table2325[[#This Row],[boxes]]*Table2325[[#This Row],[kgs]]*Table2325[[#This Row],[Rate]]</f>
        <v>19800</v>
      </c>
    </row>
    <row r="29" spans="1:12" x14ac:dyDescent="0.3">
      <c r="A29" t="s">
        <v>117</v>
      </c>
      <c r="D29">
        <v>1130</v>
      </c>
      <c r="E29">
        <f>Table2325[[#This Row],[boxes]]*Table2325[[#This Row],[kgs]]*Table2325[[#This Row],[Rate]]</f>
        <v>0</v>
      </c>
    </row>
    <row r="30" spans="1:12" x14ac:dyDescent="0.3">
      <c r="A30" t="s">
        <v>156</v>
      </c>
      <c r="B30">
        <v>1</v>
      </c>
      <c r="C30">
        <v>5</v>
      </c>
      <c r="D30">
        <v>3100</v>
      </c>
      <c r="E30">
        <f>Table2325[[#This Row],[boxes]]*Table2325[[#This Row],[kgs]]*Table2325[[#This Row],[Rate]]</f>
        <v>15500</v>
      </c>
    </row>
    <row r="31" spans="1:12" x14ac:dyDescent="0.3">
      <c r="A31" t="s">
        <v>129</v>
      </c>
      <c r="B31">
        <v>1</v>
      </c>
      <c r="C31">
        <v>8</v>
      </c>
      <c r="D31">
        <v>1140</v>
      </c>
      <c r="E31">
        <f>Table2325[[#This Row],[boxes]]*Table2325[[#This Row],[kgs]]*Table2325[[#This Row],[Rate]]</f>
        <v>9120</v>
      </c>
    </row>
    <row r="32" spans="1:12" x14ac:dyDescent="0.3">
      <c r="A32" t="s">
        <v>150</v>
      </c>
      <c r="B32">
        <v>1</v>
      </c>
      <c r="C32">
        <v>6</v>
      </c>
      <c r="D32">
        <v>1140</v>
      </c>
      <c r="E32">
        <f>Table2325[[#This Row],[boxes]]*Table2325[[#This Row],[kgs]]*Table2325[[#This Row],[Rate]]</f>
        <v>6840</v>
      </c>
      <c r="L32" t="s">
        <v>166</v>
      </c>
    </row>
    <row r="33" spans="1:16" x14ac:dyDescent="0.3">
      <c r="A33" t="s">
        <v>164</v>
      </c>
      <c r="D33">
        <v>1000</v>
      </c>
      <c r="E33">
        <f>Table2325[[#This Row],[boxes]]*Table2325[[#This Row],[kgs]]*Table2325[[#This Row],[Rate]]</f>
        <v>0</v>
      </c>
      <c r="L33" t="s">
        <v>57</v>
      </c>
      <c r="M33" t="s">
        <v>159</v>
      </c>
      <c r="N33" t="s">
        <v>160</v>
      </c>
      <c r="O33" t="s">
        <v>4</v>
      </c>
      <c r="P33" t="s">
        <v>161</v>
      </c>
    </row>
    <row r="34" spans="1:16" x14ac:dyDescent="0.3">
      <c r="A34" t="s">
        <v>165</v>
      </c>
      <c r="B34">
        <v>1</v>
      </c>
      <c r="C34">
        <v>10</v>
      </c>
      <c r="D34">
        <v>1600</v>
      </c>
      <c r="E34">
        <f>Table2325[[#This Row],[boxes]]*Table2325[[#This Row],[kgs]]*Table2325[[#This Row],[Rate]]</f>
        <v>16000</v>
      </c>
      <c r="L34" t="s">
        <v>134</v>
      </c>
      <c r="M34">
        <v>1</v>
      </c>
      <c r="N34">
        <v>25</v>
      </c>
      <c r="O34">
        <v>1400</v>
      </c>
      <c r="P34">
        <v>35000</v>
      </c>
    </row>
    <row r="35" spans="1:16" x14ac:dyDescent="0.3">
      <c r="A35" t="s">
        <v>117</v>
      </c>
      <c r="B35">
        <v>1</v>
      </c>
      <c r="C35">
        <v>3</v>
      </c>
      <c r="D35">
        <v>1120</v>
      </c>
      <c r="E35">
        <f>Table2325[[#This Row],[boxes]]*Table2325[[#This Row],[kgs]]*Table2325[[#This Row],[Rate]]</f>
        <v>3360</v>
      </c>
      <c r="L35" t="s">
        <v>132</v>
      </c>
      <c r="M35">
        <v>1</v>
      </c>
      <c r="N35">
        <v>25</v>
      </c>
      <c r="O35">
        <v>1340</v>
      </c>
      <c r="P35">
        <v>33500</v>
      </c>
    </row>
    <row r="36" spans="1:16" x14ac:dyDescent="0.3">
      <c r="A36" t="s">
        <v>204</v>
      </c>
      <c r="B36">
        <v>1</v>
      </c>
      <c r="C36">
        <v>4</v>
      </c>
      <c r="D36">
        <v>920</v>
      </c>
      <c r="E36">
        <f>Table2325[[#This Row],[boxes]]*Table2325[[#This Row],[kgs]]*Table2325[[#This Row],[Rate]]</f>
        <v>3680</v>
      </c>
      <c r="L36" t="s">
        <v>150</v>
      </c>
      <c r="M36">
        <v>2</v>
      </c>
      <c r="N36">
        <v>50</v>
      </c>
      <c r="O36">
        <v>1140</v>
      </c>
      <c r="P36">
        <v>57000</v>
      </c>
    </row>
    <row r="37" spans="1:16" x14ac:dyDescent="0.3">
      <c r="L37" t="s">
        <v>129</v>
      </c>
      <c r="M37">
        <v>1</v>
      </c>
      <c r="N37">
        <v>25</v>
      </c>
      <c r="O37">
        <v>1140</v>
      </c>
      <c r="P37">
        <v>28500</v>
      </c>
    </row>
    <row r="38" spans="1:16" x14ac:dyDescent="0.3">
      <c r="L38" t="s">
        <v>128</v>
      </c>
      <c r="M38">
        <v>2</v>
      </c>
      <c r="N38">
        <v>50</v>
      </c>
      <c r="O38">
        <v>1130</v>
      </c>
      <c r="P38">
        <v>56500</v>
      </c>
    </row>
    <row r="39" spans="1:16" x14ac:dyDescent="0.3">
      <c r="E39">
        <f>SUM(Table2325[total])</f>
        <v>280870</v>
      </c>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E19" sqref="E1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85">
        <v>45979</v>
      </c>
      <c r="B5" s="85" t="s">
        <v>120</v>
      </c>
      <c r="C5" s="82" t="s">
        <v>182</v>
      </c>
      <c r="D5" s="82"/>
      <c r="E5" s="82"/>
      <c r="F5" s="82">
        <f>Table2[[#This Row],[Quantity]]*200*Table2[[#This Row],[Boxes]]</f>
        <v>0</v>
      </c>
      <c r="G5" s="82">
        <f>SUMIFS(Table14[Debit], Table14[Date], Table2[[#This Row],[Date]], Table14[Party], Table2[[#This Row],[Party Name]],Table14[Description],Table2[[#This Row],[Item]])</f>
        <v>0</v>
      </c>
      <c r="H5" s="82">
        <v>0</v>
      </c>
      <c r="J5" s="4" t="s">
        <v>119</v>
      </c>
      <c r="K5">
        <v>69000</v>
      </c>
      <c r="L5">
        <v>0</v>
      </c>
      <c r="M5">
        <v>68000</v>
      </c>
    </row>
    <row r="6" spans="1:13" x14ac:dyDescent="0.3">
      <c r="A6" s="85">
        <v>45979</v>
      </c>
      <c r="B6" s="85" t="s">
        <v>119</v>
      </c>
      <c r="C6" s="82" t="s">
        <v>182</v>
      </c>
      <c r="D6" s="82"/>
      <c r="E6" s="82"/>
      <c r="F6" s="82">
        <f>Table2[[#This Row],[Quantity]]*200*Table2[[#This Row],[Boxes]]</f>
        <v>0</v>
      </c>
      <c r="G6" s="82">
        <f>SUMIFS(Table14[Debit], Table14[Date], Table2[[#This Row],[Date]], Table14[Party], Table2[[#This Row],[Party Name]],Table14[Description],Table2[[#This Row],[Item]])</f>
        <v>0</v>
      </c>
      <c r="H6" s="82">
        <v>-1000</v>
      </c>
      <c r="J6" s="4" t="s">
        <v>120</v>
      </c>
      <c r="K6">
        <v>24000</v>
      </c>
      <c r="L6">
        <v>24000</v>
      </c>
      <c r="M6">
        <v>0</v>
      </c>
    </row>
    <row r="7" spans="1:13" x14ac:dyDescent="0.3">
      <c r="A7" s="85">
        <v>45979</v>
      </c>
      <c r="B7" s="85" t="s">
        <v>168</v>
      </c>
      <c r="C7" s="82" t="s">
        <v>182</v>
      </c>
      <c r="F7">
        <v>0</v>
      </c>
      <c r="G7">
        <v>0</v>
      </c>
      <c r="H7" s="81">
        <v>0</v>
      </c>
      <c r="J7" s="4" t="s">
        <v>168</v>
      </c>
      <c r="K7">
        <v>0</v>
      </c>
      <c r="L7">
        <v>0</v>
      </c>
      <c r="M7">
        <v>0</v>
      </c>
    </row>
    <row r="8" spans="1:13" x14ac:dyDescent="0.3">
      <c r="A8" s="1">
        <v>45980</v>
      </c>
      <c r="B8" s="1" t="s">
        <v>120</v>
      </c>
      <c r="C8" t="s">
        <v>219</v>
      </c>
      <c r="F8">
        <v>24000</v>
      </c>
      <c r="G8">
        <f>SUMIFS(Table14[Debit], Table14[Date], Table2[[#This Row],[Date]], Table14[Party], Table2[[#This Row],[Party Name]],Table14[Description],Table2[[#This Row],[Item]])</f>
        <v>24000</v>
      </c>
      <c r="H8">
        <f>Table2[[#This Row],[Price]]-Table2[[#This Row],[Paid]]</f>
        <v>0</v>
      </c>
      <c r="J8" s="4" t="s">
        <v>28</v>
      </c>
      <c r="K8">
        <v>93000</v>
      </c>
      <c r="L8">
        <v>24000</v>
      </c>
      <c r="M8">
        <v>68000</v>
      </c>
    </row>
    <row r="9" spans="1:13" x14ac:dyDescent="0.3">
      <c r="A9" s="1">
        <v>45981</v>
      </c>
      <c r="B9" s="1" t="s">
        <v>119</v>
      </c>
      <c r="C9" t="s">
        <v>219</v>
      </c>
      <c r="F9">
        <f>380*50</f>
        <v>19000</v>
      </c>
      <c r="G9">
        <f>SUMIFS(Table14[Debit], Table14[Date], Table2[[#This Row],[Date]], Table14[Party], Table2[[#This Row],[Party Name]],Table14[Description],Table2[[#This Row],[Item]])</f>
        <v>0</v>
      </c>
      <c r="H9">
        <f>Table2[[#This Row],[Price]]-Table2[[#This Row],[Paid]]</f>
        <v>19000</v>
      </c>
    </row>
    <row r="10" spans="1:13" x14ac:dyDescent="0.3">
      <c r="A10" s="1">
        <v>45983</v>
      </c>
      <c r="B10" s="1" t="s">
        <v>119</v>
      </c>
      <c r="C10" t="s">
        <v>232</v>
      </c>
      <c r="F10">
        <f>200*125*2</f>
        <v>50000</v>
      </c>
      <c r="G10">
        <f>SUMIFS(Table14[Debit], Table14[Date], Table2[[#This Row],[Date]], Table14[Party], Table2[[#This Row],[Party Name]],Table14[Description],Table2[[#This Row],[Item]])</f>
        <v>0</v>
      </c>
      <c r="H10">
        <f>Table2[[#This Row],[Price]]-Table2[[#This Row],[Paid]]</f>
        <v>50000</v>
      </c>
    </row>
    <row r="11" spans="1:13" x14ac:dyDescent="0.3">
      <c r="A11" s="1"/>
      <c r="F11">
        <f>SUBTOTAL(109,Table2[Price])</f>
        <v>93000</v>
      </c>
      <c r="G11">
        <f>SUBTOTAL(109,Table2[Paid])</f>
        <v>24000</v>
      </c>
      <c r="H11">
        <f>SUBTOTAL(109,Table2[Balance])</f>
        <v>68000</v>
      </c>
    </row>
    <row r="24" spans="9:10" x14ac:dyDescent="0.3">
      <c r="I24" t="s">
        <v>57</v>
      </c>
      <c r="J24" t="s">
        <v>183</v>
      </c>
    </row>
    <row r="25" spans="9:10" x14ac:dyDescent="0.3">
      <c r="I25" t="s">
        <v>61</v>
      </c>
      <c r="J25">
        <f>7800*60</f>
        <v>468000</v>
      </c>
    </row>
    <row r="26" spans="9:10" x14ac:dyDescent="0.3">
      <c r="I26" t="s">
        <v>61</v>
      </c>
    </row>
    <row r="27" spans="9:10" x14ac:dyDescent="0.3">
      <c r="I27" t="s">
        <v>167</v>
      </c>
      <c r="J27">
        <f>13000*3</f>
        <v>39000</v>
      </c>
    </row>
    <row r="30" spans="9:10" x14ac:dyDescent="0.3">
      <c r="I30" t="s">
        <v>161</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184</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9" zoomScale="118" workbookViewId="0">
      <selection activeCell="J9" sqref="J9"/>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173</v>
      </c>
      <c r="N3" t="s">
        <v>174</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175</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176</v>
      </c>
      <c r="O5" t="s">
        <v>177</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191</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45989</v>
      </c>
      <c r="I14">
        <f>SUMIFS(Table14[Debit], Table14[Date], Table16[[#This Row],[Date]], Table14[Party], "Advance Salary", Table14[Description], Table16[[#This Row],[Person]] )</f>
        <v>0</v>
      </c>
    </row>
    <row r="15" spans="2:15" x14ac:dyDescent="0.3">
      <c r="B15" s="1">
        <v>45990</v>
      </c>
      <c r="C15" s="20">
        <f>SUMIFS(Table14[Debit], Table14[Date], Table11[[#This Row],[Date]], Table14[Party],"Salary", Table14[Description],Table11[[#This Row],[Column1]])</f>
        <v>0</v>
      </c>
      <c r="H15" s="1">
        <v>45990</v>
      </c>
      <c r="I15">
        <f>SUMIFS(Table14[Debit], Table14[Date], Table16[[#This Row],[Date]], Table14[Party], "Advance Salary", Table14[Description], Table16[[#This Row],[Person]] )</f>
        <v>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9"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9" x14ac:dyDescent="0.3">
      <c r="B18" s="1">
        <v>45993</v>
      </c>
      <c r="C18" s="20">
        <f>SUMIFS(Table14[Debit], Table14[Date], Table11[[#This Row],[Date]], Table14[Party],"Salary", Table14[Description],Table11[[#This Row],[Column1]])</f>
        <v>0</v>
      </c>
      <c r="H18" s="1">
        <v>45993</v>
      </c>
      <c r="I18">
        <f>SUMIFS(Table14[Debit], Table14[Date], Table16[[#This Row],[Date]], Table14[Party], "Advance Salary", Table14[Description], Table16[[#This Row],[Person]] )</f>
        <v>0</v>
      </c>
    </row>
    <row r="19" spans="2:9" x14ac:dyDescent="0.3">
      <c r="B19" s="1">
        <v>45994</v>
      </c>
      <c r="C19" s="20">
        <f>SUMIFS(Table14[Debit], Table14[Date], Table11[[#This Row],[Date]], Table14[Party],"Salary", Table14[Description],Table11[[#This Row],[Column1]])</f>
        <v>0</v>
      </c>
      <c r="H19" s="1">
        <v>45994</v>
      </c>
      <c r="I19">
        <f>SUMIFS(Table14[Debit], Table14[Date], Table16[[#This Row],[Date]], Table14[Party], "Advance Salary", Table14[Description], Table16[[#This Row],[Person]] )</f>
        <v>0</v>
      </c>
    </row>
    <row r="20" spans="2:9" x14ac:dyDescent="0.3">
      <c r="B20" s="1">
        <v>45995</v>
      </c>
      <c r="C20" s="20">
        <f>SUMIFS(Table14[Debit], Table14[Date], Table11[[#This Row],[Date]], Table14[Party],"Salary", Table14[Description],Table11[[#This Row],[Column1]])</f>
        <v>0</v>
      </c>
      <c r="H20" s="1">
        <v>45995</v>
      </c>
      <c r="I20">
        <f>SUMIFS(Table14[Debit], Table14[Date], Table16[[#This Row],[Date]], Table14[Party], "Advance Salary", Table14[Description], Table16[[#This Row],[Person]] )</f>
        <v>0</v>
      </c>
    </row>
    <row r="21" spans="2:9"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9"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9"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9"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9"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9"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9"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9"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9"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9"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9"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9"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25000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A30" sqref="A3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627738</v>
      </c>
      <c r="C2" s="32">
        <f>GETPIVOTDATA("Sum of Tiyaar/gaz",$A$3)</f>
        <v>518559</v>
      </c>
      <c r="D2" s="31">
        <f>((B2*48)+((C2/1.0936)*10))/C2</f>
        <v>67.250178197303782</v>
      </c>
      <c r="J2">
        <v>48</v>
      </c>
    </row>
    <row r="3" spans="1:12" x14ac:dyDescent="0.3">
      <c r="A3" s="34" t="s">
        <v>143</v>
      </c>
      <c r="B3" s="35" t="s">
        <v>144</v>
      </c>
      <c r="C3" s="36" t="s">
        <v>89</v>
      </c>
      <c r="D3" s="32" t="s">
        <v>145</v>
      </c>
      <c r="E3" s="11" t="s">
        <v>146</v>
      </c>
      <c r="F3" s="11" t="str">
        <f t="shared" ref="F3:F38" si="0">C3</f>
        <v>Sum of Tiyaar/gaz</v>
      </c>
      <c r="G3" s="77" t="s">
        <v>82</v>
      </c>
      <c r="H3" s="11" t="s">
        <v>147</v>
      </c>
      <c r="I3" s="29" t="s">
        <v>148</v>
      </c>
    </row>
    <row r="4" spans="1:12" x14ac:dyDescent="0.3">
      <c r="A4" s="16" t="s">
        <v>106</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199</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13502</v>
      </c>
      <c r="D14" s="28">
        <f t="shared" si="1"/>
        <v>96.299199327483208</v>
      </c>
      <c r="E14" s="11">
        <f t="shared" si="2"/>
        <v>26810.697599999996</v>
      </c>
      <c r="F14" s="11">
        <f t="shared" si="0"/>
        <v>13502</v>
      </c>
      <c r="G14" s="78">
        <f t="shared" si="4"/>
        <v>49.639505090684388</v>
      </c>
      <c r="H14" s="28">
        <f t="shared" si="3"/>
        <v>12346.378931967814</v>
      </c>
      <c r="I14" s="28">
        <f t="shared" si="5"/>
        <v>96.299199327483208</v>
      </c>
    </row>
    <row r="15" spans="1:12" x14ac:dyDescent="0.3">
      <c r="A15" s="16">
        <v>1906</v>
      </c>
      <c r="B15" s="14">
        <v>36489</v>
      </c>
      <c r="C15" s="14">
        <v>27661</v>
      </c>
      <c r="D15" s="28">
        <f t="shared" si="1"/>
        <v>72.463297049736369</v>
      </c>
      <c r="E15" s="11">
        <f>B15 * 1.0936</f>
        <v>39904.3704</v>
      </c>
      <c r="F15" s="11">
        <f t="shared" si="0"/>
        <v>27661</v>
      </c>
      <c r="G15" s="78">
        <f t="shared" si="4"/>
        <v>30.681778154304624</v>
      </c>
      <c r="H15" s="28">
        <f t="shared" si="3"/>
        <v>25293.52596927579</v>
      </c>
      <c r="I15" s="28">
        <f>((B15*48)+(H15*10))/C15</f>
        <v>72.463297049736369</v>
      </c>
    </row>
    <row r="16" spans="1:12" x14ac:dyDescent="0.3">
      <c r="A16" s="16">
        <v>1883</v>
      </c>
      <c r="B16" s="14">
        <v>8030</v>
      </c>
      <c r="C16" s="14">
        <v>1819</v>
      </c>
      <c r="D16" s="28">
        <f t="shared" si="1"/>
        <v>221.04075770146301</v>
      </c>
      <c r="E16" s="11">
        <f t="shared" si="2"/>
        <v>8781.6079999999984</v>
      </c>
      <c r="F16" s="11">
        <f t="shared" si="0"/>
        <v>1819</v>
      </c>
      <c r="G16" s="78">
        <f t="shared" si="4"/>
        <v>79.286253724830345</v>
      </c>
      <c r="H16" s="28">
        <f t="shared" si="3"/>
        <v>1663.313825896123</v>
      </c>
      <c r="I16" s="28">
        <f>((B16*48)+(H16*10))/C16</f>
        <v>221.04075770146301</v>
      </c>
    </row>
    <row r="17" spans="1:9" x14ac:dyDescent="0.3">
      <c r="A17" s="16">
        <v>1917</v>
      </c>
      <c r="B17" s="14">
        <v>10009</v>
      </c>
      <c r="C17" s="14">
        <v>1806</v>
      </c>
      <c r="D17" s="28">
        <f t="shared" si="1"/>
        <v>275.16404474720935</v>
      </c>
      <c r="E17" s="11">
        <f t="shared" si="2"/>
        <v>10945.8424</v>
      </c>
      <c r="F17" s="11">
        <f t="shared" si="0"/>
        <v>1806</v>
      </c>
      <c r="G17" s="78">
        <f t="shared" si="4"/>
        <v>83.500584660345552</v>
      </c>
      <c r="H17" s="28">
        <f t="shared" si="3"/>
        <v>1651.4264813460134</v>
      </c>
      <c r="I17" s="28">
        <f>((B17*48)+(H17*10))/C17</f>
        <v>275.16404474720935</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245</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256</v>
      </c>
      <c r="B28" s="14">
        <v>69241</v>
      </c>
      <c r="C28" s="14">
        <v>6844</v>
      </c>
      <c r="D28" s="28">
        <f t="shared" si="1"/>
        <v>494.76187857988475</v>
      </c>
      <c r="E28" s="11">
        <f t="shared" si="2"/>
        <v>75721.957599999994</v>
      </c>
      <c r="F28" s="11">
        <f t="shared" si="0"/>
        <v>6844</v>
      </c>
      <c r="G28" s="78">
        <f t="shared" si="6"/>
        <v>90.961670541914245</v>
      </c>
      <c r="H28" s="28">
        <f t="shared" si="3"/>
        <v>6258.2297000731533</v>
      </c>
      <c r="I28" s="28">
        <f t="shared" si="5"/>
        <v>494.76187857988475</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t="s">
        <v>28</v>
      </c>
      <c r="B30" s="30">
        <v>69241</v>
      </c>
      <c r="C30" s="30">
        <v>518559</v>
      </c>
      <c r="D30" s="28">
        <f t="shared" si="1"/>
        <v>15.553349099746905</v>
      </c>
      <c r="E30" s="11">
        <f t="shared" si="2"/>
        <v>75721.957599999994</v>
      </c>
      <c r="F30" s="11">
        <f t="shared" si="0"/>
        <v>518559</v>
      </c>
      <c r="G30" s="78">
        <f t="shared" si="6"/>
        <v>-584.8198546837358</v>
      </c>
      <c r="H30" s="28">
        <f t="shared" si="3"/>
        <v>474176.11558156554</v>
      </c>
      <c r="I30" s="28">
        <f t="shared" si="5"/>
        <v>15.553349099746905</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116</v>
      </c>
      <c r="D3">
        <f>SUMIFS(Table14[Debit], Table14[Date], Table5[[#This Row],[Date]], Table14[Party], "Rashan")</f>
        <v>0</v>
      </c>
      <c r="H3" s="1">
        <v>45978</v>
      </c>
      <c r="J3">
        <f>SUMIFS(Table14[Debit], Table14[Date], Table15[[#This Row],[Date]], Table14[Party], "Parts")</f>
        <v>0</v>
      </c>
    </row>
    <row r="4" spans="2:10" x14ac:dyDescent="0.3">
      <c r="B4" s="1">
        <v>45979</v>
      </c>
      <c r="C4" t="s">
        <v>116</v>
      </c>
      <c r="D4">
        <f>SUMIFS(Table14[Debit], Table14[Date], Table5[[#This Row],[Date]], Table14[Party], "Rashan")</f>
        <v>0</v>
      </c>
      <c r="H4" s="1">
        <v>45979</v>
      </c>
      <c r="I4" t="s">
        <v>55</v>
      </c>
      <c r="J4">
        <f>SUMIFS(Table14[Debit], Table14[Date], Table15[[#This Row],[Date]], Table14[Party], "Parts")</f>
        <v>0</v>
      </c>
    </row>
    <row r="5" spans="2:10" x14ac:dyDescent="0.3">
      <c r="B5" s="1">
        <v>45980</v>
      </c>
      <c r="C5" t="s">
        <v>116</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116</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116</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116</v>
      </c>
      <c r="D8">
        <f>SUMIFS(Table14[Debit], Table14[Date], Table5[[#This Row],[Date]], Table14[Party], "Rashan")</f>
        <v>1960</v>
      </c>
      <c r="H8" s="1">
        <v>45983</v>
      </c>
      <c r="J8">
        <f>SUMIFS(Table14[Debit], Table14[Date], Table15[[#This Row],[Date]], Table14[Party], "Parts")</f>
        <v>3150</v>
      </c>
    </row>
    <row r="9" spans="2:10" x14ac:dyDescent="0.3">
      <c r="B9" s="1">
        <v>45984</v>
      </c>
      <c r="C9" t="s">
        <v>116</v>
      </c>
      <c r="D9">
        <f>SUMIFS(Table14[Debit], Table14[Date], Table5[[#This Row],[Date]], Table14[Party], "Rashan")</f>
        <v>2635</v>
      </c>
      <c r="H9" s="1">
        <v>45984</v>
      </c>
      <c r="J9">
        <f>SUMIFS(Table14[Debit], Table14[Date], Table15[[#This Row],[Date]], Table14[Party], "Parts")</f>
        <v>30000</v>
      </c>
    </row>
    <row r="10" spans="2:10" x14ac:dyDescent="0.3">
      <c r="B10" s="1">
        <v>45985</v>
      </c>
      <c r="C10" t="s">
        <v>116</v>
      </c>
      <c r="D10">
        <f>SUMIFS(Table14[Debit], Table14[Date], Table5[[#This Row],[Date]], Table14[Party], "Rashan")</f>
        <v>22220</v>
      </c>
      <c r="H10" s="1">
        <v>45985</v>
      </c>
      <c r="J10">
        <f>SUMIFS(Table14[Debit], Table14[Date], Table15[[#This Row],[Date]], Table14[Party], "Parts")</f>
        <v>6000</v>
      </c>
    </row>
    <row r="11" spans="2:10" x14ac:dyDescent="0.3">
      <c r="B11" s="1">
        <v>45986</v>
      </c>
      <c r="C11" t="s">
        <v>116</v>
      </c>
      <c r="D11">
        <f>SUMIFS(Table14[Debit], Table14[Date], Table5[[#This Row],[Date]], Table14[Party], "Rashan")</f>
        <v>0</v>
      </c>
      <c r="H11" s="1">
        <v>45986</v>
      </c>
      <c r="J11">
        <f>SUMIFS(Table14[Debit], Table14[Date], Table15[[#This Row],[Date]], Table14[Party], "Parts")</f>
        <v>0</v>
      </c>
    </row>
    <row r="12" spans="2:10" x14ac:dyDescent="0.3">
      <c r="B12" s="1">
        <v>45987</v>
      </c>
      <c r="C12" t="s">
        <v>116</v>
      </c>
      <c r="D12">
        <f>SUMIFS(Table14[Debit], Table14[Date], Table5[[#This Row],[Date]], Table14[Party], "Rashan")</f>
        <v>0</v>
      </c>
      <c r="H12" s="1">
        <v>45987</v>
      </c>
      <c r="J12">
        <f>SUMIFS(Table14[Debit], Table14[Date], Table15[[#This Row],[Date]], Table14[Party], "Parts")</f>
        <v>0</v>
      </c>
    </row>
    <row r="13" spans="2:10" x14ac:dyDescent="0.3">
      <c r="B13" s="1">
        <v>45988</v>
      </c>
      <c r="C13" t="s">
        <v>116</v>
      </c>
      <c r="D13">
        <f>SUMIFS(Table14[Debit], Table14[Date], Table5[[#This Row],[Date]], Table14[Party], "Rashan")</f>
        <v>0</v>
      </c>
      <c r="H13" s="1">
        <v>45988</v>
      </c>
      <c r="J13">
        <f>SUMIFS(Table14[Debit], Table14[Date], Table15[[#This Row],[Date]], Table14[Party], "Parts")</f>
        <v>0</v>
      </c>
    </row>
    <row r="14" spans="2:10" x14ac:dyDescent="0.3">
      <c r="B14" s="1">
        <v>45989</v>
      </c>
      <c r="C14" t="s">
        <v>116</v>
      </c>
      <c r="D14">
        <f>SUMIFS(Table14[Debit], Table14[Date], Table5[[#This Row],[Date]], Table14[Party], "Rashan")</f>
        <v>0</v>
      </c>
      <c r="H14" s="1">
        <v>45989</v>
      </c>
      <c r="J14">
        <f>SUMIFS(Table14[Debit], Table14[Date], Table15[[#This Row],[Date]], Table14[Party], "Parts")</f>
        <v>0</v>
      </c>
    </row>
    <row r="15" spans="2:10" x14ac:dyDescent="0.3">
      <c r="B15" s="1">
        <v>45990</v>
      </c>
      <c r="C15" t="s">
        <v>116</v>
      </c>
      <c r="D15">
        <f>SUMIFS(Table14[Debit], Table14[Date], Table5[[#This Row],[Date]], Table14[Party], "Rashan")</f>
        <v>0</v>
      </c>
      <c r="H15" s="1">
        <v>45990</v>
      </c>
      <c r="J15">
        <f>SUMIFS(Table14[Debit], Table14[Date], Table15[[#This Row],[Date]], Table14[Party], "Parts")</f>
        <v>0</v>
      </c>
    </row>
    <row r="16" spans="2:10" x14ac:dyDescent="0.3">
      <c r="B16" s="1">
        <v>45991</v>
      </c>
      <c r="C16" t="s">
        <v>116</v>
      </c>
      <c r="D16">
        <f>SUMIFS(Table14[Debit], Table14[Date], Table5[[#This Row],[Date]], Table14[Party], "Rashan")</f>
        <v>0</v>
      </c>
      <c r="H16" s="1">
        <v>45991</v>
      </c>
      <c r="J16">
        <f>SUMIFS(Table14[Debit], Table14[Date], Table15[[#This Row],[Date]], Table14[Party], "Parts")</f>
        <v>0</v>
      </c>
    </row>
    <row r="17" spans="2:10" x14ac:dyDescent="0.3">
      <c r="B17" s="1">
        <v>45992</v>
      </c>
      <c r="C17" t="s">
        <v>116</v>
      </c>
      <c r="D17">
        <f>SUMIFS(Table14[Debit], Table14[Date], Table5[[#This Row],[Date]], Table14[Party], "Rashan")</f>
        <v>0</v>
      </c>
      <c r="H17" s="1">
        <v>45992</v>
      </c>
      <c r="J17">
        <f>SUMIFS(Table14[Debit], Table14[Date], Table15[[#This Row],[Date]], Table14[Party], "Parts")</f>
        <v>0</v>
      </c>
    </row>
    <row r="18" spans="2:10" x14ac:dyDescent="0.3">
      <c r="B18" s="1">
        <v>45993</v>
      </c>
      <c r="C18" t="s">
        <v>116</v>
      </c>
      <c r="D18">
        <f>SUMIFS(Table14[Debit], Table14[Date], Table5[[#This Row],[Date]], Table14[Party], "Rashan")</f>
        <v>0</v>
      </c>
      <c r="H18" s="1">
        <v>45993</v>
      </c>
      <c r="J18">
        <f>SUMIFS(Table14[Debit], Table14[Date], Table15[[#This Row],[Date]], Table14[Party], "Parts")</f>
        <v>0</v>
      </c>
    </row>
    <row r="19" spans="2:10" x14ac:dyDescent="0.3">
      <c r="B19" s="1">
        <v>45994</v>
      </c>
      <c r="C19" t="s">
        <v>116</v>
      </c>
      <c r="D19">
        <f>SUMIFS(Table14[Debit], Table14[Date], Table5[[#This Row],[Date]], Table14[Party], "Rashan")</f>
        <v>0</v>
      </c>
      <c r="H19" s="1">
        <v>45994</v>
      </c>
      <c r="J19">
        <f>SUMIFS(Table14[Debit], Table14[Date], Table15[[#This Row],[Date]], Table14[Party], "Parts")</f>
        <v>0</v>
      </c>
    </row>
    <row r="20" spans="2:10" x14ac:dyDescent="0.3">
      <c r="B20" s="1">
        <v>45995</v>
      </c>
      <c r="C20" t="s">
        <v>116</v>
      </c>
      <c r="D20">
        <f>SUMIFS(Table14[Debit], Table14[Date], Table5[[#This Row],[Date]], Table14[Party], "Rashan")</f>
        <v>0</v>
      </c>
      <c r="H20" s="1">
        <v>45995</v>
      </c>
      <c r="J20">
        <f>SUMIFS(Table14[Debit], Table14[Date], Table15[[#This Row],[Date]], Table14[Party], "Parts")</f>
        <v>0</v>
      </c>
    </row>
    <row r="21" spans="2:10" x14ac:dyDescent="0.3">
      <c r="B21" s="1">
        <v>45996</v>
      </c>
      <c r="C21" t="s">
        <v>116</v>
      </c>
      <c r="D21">
        <f>SUMIFS(Table14[Debit], Table14[Date], Table5[[#This Row],[Date]], Table14[Party], "Rashan")</f>
        <v>0</v>
      </c>
      <c r="H21" s="1">
        <v>45996</v>
      </c>
      <c r="J21">
        <f>SUMIFS(Table14[Debit], Table14[Date], Table15[[#This Row],[Date]], Table14[Party], "Parts")</f>
        <v>0</v>
      </c>
    </row>
    <row r="22" spans="2:10" x14ac:dyDescent="0.3">
      <c r="B22" s="1">
        <v>45997</v>
      </c>
      <c r="C22" t="s">
        <v>116</v>
      </c>
      <c r="D22">
        <f>SUMIFS(Table14[Debit], Table14[Date], Table5[[#This Row],[Date]], Table14[Party], "Rashan")</f>
        <v>0</v>
      </c>
      <c r="H22" s="1">
        <v>45997</v>
      </c>
      <c r="J22">
        <f>SUMIFS(Table14[Debit], Table14[Date], Table15[[#This Row],[Date]], Table14[Party], "Parts")</f>
        <v>0</v>
      </c>
    </row>
    <row r="23" spans="2:10" x14ac:dyDescent="0.3">
      <c r="B23" s="1">
        <v>45998</v>
      </c>
      <c r="C23" t="s">
        <v>116</v>
      </c>
      <c r="D23">
        <f>SUMIFS(Table14[Debit], Table14[Date], Table5[[#This Row],[Date]], Table14[Party], "Rashan")</f>
        <v>0</v>
      </c>
      <c r="H23" s="1">
        <v>45998</v>
      </c>
      <c r="J23">
        <f>SUMIFS(Table14[Debit], Table14[Date], Table15[[#This Row],[Date]], Table14[Party], "Parts")</f>
        <v>0</v>
      </c>
    </row>
    <row r="24" spans="2:10" x14ac:dyDescent="0.3">
      <c r="B24" s="1">
        <v>45999</v>
      </c>
      <c r="C24" t="s">
        <v>116</v>
      </c>
      <c r="D24">
        <f>SUMIFS(Table14[Debit], Table14[Date], Table5[[#This Row],[Date]], Table14[Party], "Rashan")</f>
        <v>0</v>
      </c>
      <c r="H24" s="1">
        <v>45999</v>
      </c>
      <c r="J24">
        <f>SUMIFS(Table14[Debit], Table14[Date], Table15[[#This Row],[Date]], Table14[Party], "Parts")</f>
        <v>0</v>
      </c>
    </row>
    <row r="25" spans="2:10" x14ac:dyDescent="0.3">
      <c r="B25" s="1">
        <v>46000</v>
      </c>
      <c r="C25" t="s">
        <v>116</v>
      </c>
      <c r="D25">
        <f>SUMIFS(Table14[Debit], Table14[Date], Table5[[#This Row],[Date]], Table14[Party], "Rashan")</f>
        <v>0</v>
      </c>
      <c r="H25" s="1">
        <v>46000</v>
      </c>
      <c r="J25">
        <f>SUMIFS(Table14[Debit], Table14[Date], Table15[[#This Row],[Date]], Table14[Party], "Parts")</f>
        <v>0</v>
      </c>
    </row>
    <row r="26" spans="2:10" x14ac:dyDescent="0.3">
      <c r="B26" s="1">
        <v>46001</v>
      </c>
      <c r="C26" t="s">
        <v>116</v>
      </c>
      <c r="D26">
        <f>SUMIFS(Table14[Debit], Table14[Date], Table5[[#This Row],[Date]], Table14[Party], "Rashan")</f>
        <v>0</v>
      </c>
      <c r="H26" s="1">
        <v>46001</v>
      </c>
      <c r="J26">
        <f>SUMIFS(Table14[Debit], Table14[Date], Table15[[#This Row],[Date]], Table14[Party], "Parts")</f>
        <v>0</v>
      </c>
    </row>
    <row r="27" spans="2:10" x14ac:dyDescent="0.3">
      <c r="B27" s="1">
        <v>46002</v>
      </c>
      <c r="C27" t="s">
        <v>116</v>
      </c>
      <c r="D27">
        <f>SUMIFS(Table14[Debit], Table14[Date], Table5[[#This Row],[Date]], Table14[Party], "Rashan")</f>
        <v>0</v>
      </c>
      <c r="H27" s="1">
        <v>46002</v>
      </c>
      <c r="J27">
        <f>SUMIFS(Table14[Debit], Table14[Date], Table15[[#This Row],[Date]], Table14[Party], "Parts")</f>
        <v>0</v>
      </c>
    </row>
    <row r="28" spans="2:10" x14ac:dyDescent="0.3">
      <c r="B28" s="1">
        <v>46003</v>
      </c>
      <c r="C28" t="s">
        <v>116</v>
      </c>
      <c r="D28">
        <f>SUMIFS(Table14[Debit], Table14[Date], Table5[[#This Row],[Date]], Table14[Party], "Rashan")</f>
        <v>0</v>
      </c>
      <c r="H28" s="1">
        <v>46003</v>
      </c>
      <c r="J28">
        <f>SUMIFS(Table14[Debit], Table14[Date], Table15[[#This Row],[Date]], Table14[Party], "Parts")</f>
        <v>0</v>
      </c>
    </row>
    <row r="29" spans="2:10" x14ac:dyDescent="0.3">
      <c r="B29" s="1">
        <v>46004</v>
      </c>
      <c r="C29" t="s">
        <v>116</v>
      </c>
      <c r="D29">
        <f>SUMIFS(Table14[Debit], Table14[Date], Table5[[#This Row],[Date]], Table14[Party], "Rashan")</f>
        <v>0</v>
      </c>
      <c r="H29" s="1">
        <v>46004</v>
      </c>
      <c r="J29">
        <f>SUMIFS(Table14[Debit], Table14[Date], Table15[[#This Row],[Date]], Table14[Party], "Parts")</f>
        <v>0</v>
      </c>
    </row>
    <row r="30" spans="2:10" x14ac:dyDescent="0.3">
      <c r="B30" s="1">
        <v>46005</v>
      </c>
      <c r="C30" t="s">
        <v>116</v>
      </c>
      <c r="D30">
        <f>SUMIFS(Table14[Debit], Table14[Date], Table5[[#This Row],[Date]], Table14[Party], "Rashan")</f>
        <v>0</v>
      </c>
      <c r="H30" s="1">
        <v>46005</v>
      </c>
      <c r="J30">
        <f>SUMIFS(Table14[Debit], Table14[Date], Table15[[#This Row],[Date]], Table14[Party], "Parts")</f>
        <v>0</v>
      </c>
    </row>
    <row r="31" spans="2:10" x14ac:dyDescent="0.3">
      <c r="B31" s="1">
        <v>46006</v>
      </c>
      <c r="C31" t="s">
        <v>116</v>
      </c>
      <c r="D31">
        <f>SUMIFS(Table14[Debit], Table14[Date], Table5[[#This Row],[Date]], Table14[Party], "Rashan")</f>
        <v>0</v>
      </c>
      <c r="H31" s="1">
        <v>46006</v>
      </c>
      <c r="J31">
        <f>SUMIFS(Table14[Debit], Table14[Date], Table15[[#This Row],[Date]], Table14[Party], "Parts")</f>
        <v>0</v>
      </c>
    </row>
    <row r="32" spans="2:10" x14ac:dyDescent="0.3">
      <c r="B32" s="1">
        <v>46007</v>
      </c>
      <c r="C32" t="s">
        <v>116</v>
      </c>
      <c r="D32">
        <f>SUMIFS(Table14[Debit], Table14[Date], Table5[[#This Row],[Date]], Table14[Party], "Rashan")</f>
        <v>0</v>
      </c>
      <c r="H32" s="1">
        <v>46007</v>
      </c>
      <c r="J32">
        <f>SUMIFS(Table14[Debit], Table14[Date], Table15[[#This Row],[Date]], Table14[Party], "Parts")</f>
        <v>0</v>
      </c>
    </row>
    <row r="33" spans="2:10" x14ac:dyDescent="0.3">
      <c r="B33" s="1">
        <v>46008</v>
      </c>
      <c r="C33" t="s">
        <v>116</v>
      </c>
      <c r="D33">
        <f>SUMIFS(Table14[Debit], Table14[Date], Table5[[#This Row],[Date]], Table14[Party], "Rashan")</f>
        <v>0</v>
      </c>
      <c r="H33" s="1">
        <v>46008</v>
      </c>
      <c r="J33">
        <f>SUMIFS(Table14[Debit], Table14[Date], Table15[[#This Row],[Date]], Table14[Party], "Parts")</f>
        <v>0</v>
      </c>
    </row>
    <row r="34" spans="2:10" x14ac:dyDescent="0.3">
      <c r="B34" s="1">
        <v>46009</v>
      </c>
      <c r="C34" t="s">
        <v>116</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43315</v>
      </c>
      <c r="H37" s="1"/>
      <c r="J37">
        <f>SUM(Table15[Amount])</f>
        <v>86650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G25" sqref="G25"/>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19010004</v>
      </c>
      <c r="C2" s="105">
        <f>Billing!AB5</f>
        <v>2309547.9385515787</v>
      </c>
    </row>
    <row r="3" spans="1:3" ht="21" x14ac:dyDescent="0.4">
      <c r="A3" s="104" t="str">
        <f>Billing!Q6</f>
        <v>Ejaz Sahab</v>
      </c>
      <c r="B3" s="107">
        <f>Billing!AA6</f>
        <v>3363904</v>
      </c>
      <c r="C3" s="105">
        <f>Billing!AB6</f>
        <v>-371072.06876371615</v>
      </c>
    </row>
    <row r="4" spans="1:3" ht="21" x14ac:dyDescent="0.4">
      <c r="A4" s="104" t="str">
        <f>Billing!Q7</f>
        <v>Arshad</v>
      </c>
      <c r="B4" s="107">
        <f>Billing!AA7</f>
        <v>4452935</v>
      </c>
      <c r="C4" s="106">
        <f>Billing!AB7</f>
        <v>-33041.986100950278</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5544810</v>
      </c>
      <c r="C7" s="105">
        <f>Billing!AB10</f>
        <v>1353982.0629114853</v>
      </c>
    </row>
    <row r="8" spans="1:3" ht="21" x14ac:dyDescent="0.4">
      <c r="A8" s="104" t="str">
        <f>Billing!Q11</f>
        <v>Raaz Fabrics</v>
      </c>
      <c r="B8" s="107">
        <f>Billing!AA11</f>
        <v>900000</v>
      </c>
      <c r="C8" s="106">
        <f>Billing!AB11</f>
        <v>258933.79663496721</v>
      </c>
    </row>
    <row r="9" spans="1:3" ht="21" x14ac:dyDescent="0.4">
      <c r="A9" s="104" t="str">
        <f>Billing!Q12</f>
        <v>Azam</v>
      </c>
      <c r="B9" s="107">
        <f>Billing!AA12</f>
        <v>2092620</v>
      </c>
      <c r="C9" s="105">
        <f>Billing!AB12</f>
        <v>498983.87710314617</v>
      </c>
    </row>
    <row r="10" spans="1:3" ht="21" x14ac:dyDescent="0.4">
      <c r="A10" s="104" t="str">
        <f>Billing!Q13</f>
        <v>Ubaidullah</v>
      </c>
      <c r="B10" s="107">
        <f>Billing!AA13</f>
        <v>630150</v>
      </c>
      <c r="C10" s="105">
        <f>Billing!AB13</f>
        <v>11124.689100219635</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1200000</v>
      </c>
      <c r="C12" s="105">
        <f>Billing!AB15</f>
        <v>11512.435991221806</v>
      </c>
    </row>
    <row r="13" spans="1:3" ht="21" x14ac:dyDescent="0.4">
      <c r="A13" s="104" t="str">
        <f>Billing!Q16</f>
        <v>Badshah Fabrics</v>
      </c>
      <c r="B13" s="107">
        <f>Billing!AA16</f>
        <v>4875761</v>
      </c>
      <c r="C13" s="105">
        <f>Billing!AB16</f>
        <v>-637417.91294806078</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3915571</v>
      </c>
      <c r="C18" s="106">
        <f>Billing!AB21</f>
        <v>-908076.48646671511</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1300000</v>
      </c>
      <c r="C20" s="105">
        <f>Billing!AB23</f>
        <v>163698.79297732282</v>
      </c>
    </row>
    <row r="21" spans="1:3" ht="21" x14ac:dyDescent="0.4">
      <c r="A21" s="104" t="str">
        <f>Billing!Q24</f>
        <v>Salman Zaffar</v>
      </c>
      <c r="B21" s="14">
        <f>Billing!AA24</f>
        <v>0</v>
      </c>
      <c r="C21" s="105">
        <f>Billing!AB24</f>
        <v>408318.39795171918</v>
      </c>
    </row>
    <row r="22" spans="1:3" ht="21" x14ac:dyDescent="0.4">
      <c r="A22" s="104" t="str">
        <f>Billing!Q25</f>
        <v>Shahid Qasayi</v>
      </c>
      <c r="B22" s="129">
        <f>Billing!AA25</f>
        <v>0</v>
      </c>
      <c r="C22" s="105">
        <f>Billing!AB25</f>
        <v>398326.62765179225</v>
      </c>
    </row>
    <row r="23" spans="1:3" ht="21" x14ac:dyDescent="0.4">
      <c r="A23" s="104">
        <f>Billing!Q26</f>
        <v>0</v>
      </c>
      <c r="B23" s="129">
        <f>Billing!AA26</f>
        <v>0</v>
      </c>
      <c r="C23" s="105">
        <f>Billing!AB26</f>
        <v>0</v>
      </c>
    </row>
    <row r="24" spans="1:3" ht="21" x14ac:dyDescent="0.4">
      <c r="A24" s="104">
        <f>Billing!Q27</f>
        <v>0</v>
      </c>
      <c r="B24" s="129">
        <f>Billing!AA27</f>
        <v>0</v>
      </c>
      <c r="C24" s="105">
        <f>Billing!AB27</f>
        <v>0</v>
      </c>
    </row>
    <row r="25" spans="1:3" ht="21" x14ac:dyDescent="0.4">
      <c r="A25" s="104">
        <f>Billing!Q28</f>
        <v>0</v>
      </c>
      <c r="B25" s="129">
        <f>Billing!AA28</f>
        <v>0</v>
      </c>
      <c r="C25" s="105">
        <f>Billing!AB28</f>
        <v>0</v>
      </c>
    </row>
    <row r="26" spans="1:3" ht="21" x14ac:dyDescent="0.4">
      <c r="A26" s="104">
        <f>Billing!Q29</f>
        <v>0</v>
      </c>
      <c r="B26" s="129">
        <f>Billing!AA29</f>
        <v>0</v>
      </c>
      <c r="C26" s="105">
        <f>Billing!AB29</f>
        <v>0</v>
      </c>
    </row>
    <row r="27" spans="1:3" ht="21" x14ac:dyDescent="0.4">
      <c r="A27" s="104">
        <f>Billing!Q30</f>
        <v>0</v>
      </c>
      <c r="B27" s="129">
        <f>Billing!AA30</f>
        <v>0</v>
      </c>
      <c r="C27" s="105">
        <f>Billing!AB30</f>
        <v>0</v>
      </c>
    </row>
    <row r="28" spans="1:3" ht="21" x14ac:dyDescent="0.4">
      <c r="A28" s="104">
        <f>Billing!Q31</f>
        <v>0</v>
      </c>
      <c r="B28" s="129">
        <f>Billing!AA31</f>
        <v>0</v>
      </c>
      <c r="C28" s="105">
        <f>Billing!AB31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170</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2025-11-24T18:31:08Z</dcterms:modified>
  <cp:category/>
  <cp:contentStatus/>
</cp:coreProperties>
</file>