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tables/table9.xml" ContentType="application/vnd.openxmlformats-officedocument.spreadsheetml.table+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slicers/slicer3.xml" ContentType="application/vnd.ms-excel.slicer+xml"/>
  <Override PartName="/xl/pivotTables/pivotTable4.xml" ContentType="application/vnd.openxmlformats-officedocument.spreadsheetml.pivot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pivotTables/pivotTable5.xml" ContentType="application/vnd.openxmlformats-officedocument.spreadsheetml.pivotTable+xml"/>
  <Override PartName="/xl/drawings/drawing4.xml" ContentType="application/vnd.openxmlformats-officedocument.drawing+xml"/>
  <Override PartName="/xl/tables/table17.xml" ContentType="application/vnd.openxmlformats-officedocument.spreadsheetml.table+xml"/>
  <Override PartName="/xl/slicers/slicer4.xml" ContentType="application/vnd.ms-excel.slicer+xml"/>
  <Override PartName="/xl/tables/table18.xml" ContentType="application/vnd.openxmlformats-officedocument.spreadsheetml.table+xml"/>
  <Override PartName="/xl/tables/table19.xml" ContentType="application/vnd.openxmlformats-officedocument.spreadsheetml.table+xml"/>
  <Override PartName="/xl/drawings/drawing5.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slicers/slicer5.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never"/>
  <mc:AlternateContent xmlns:mc="http://schemas.openxmlformats.org/markup-compatibility/2006">
    <mc:Choice Requires="x15">
      <x15ac:absPath xmlns:x15ac="http://schemas.microsoft.com/office/spreadsheetml/2010/11/ac" url="https://pern-my.sharepoint.com/personal/25020299_lums_edu_pk/Documents/Desktop/Factory/"/>
    </mc:Choice>
  </mc:AlternateContent>
  <xr:revisionPtr revIDLastSave="243" documentId="13_ncr:1_{78C189D7-9C78-4F83-9026-383703602BC5}" xr6:coauthVersionLast="47" xr6:coauthVersionMax="47" xr10:uidLastSave="{24BFA049-7D11-472A-8D2E-D2D1FFAD0802}"/>
  <bookViews>
    <workbookView xWindow="-108" yWindow="-108" windowWidth="23256" windowHeight="12456" tabRatio="597" firstSheet="4" activeTab="7" xr2:uid="{E7D9A63E-D9E8-4997-9BC3-9785CA208C4E}"/>
  </bookViews>
  <sheets>
    <sheet name="Billing" sheetId="9" r:id="rId1"/>
    <sheet name="Bill Print" sheetId="19" r:id="rId2"/>
    <sheet name="Expenses" sheetId="8" r:id="rId3"/>
    <sheet name="Profit" sheetId="10" r:id="rId4"/>
    <sheet name="Transport" sheetId="18" r:id="rId5"/>
    <sheet name="ledger" sheetId="1" r:id="rId6"/>
    <sheet name="Wood" sheetId="6" r:id="rId7"/>
    <sheet name="Cashbook" sheetId="17" r:id="rId8"/>
    <sheet name="Dyes" sheetId="7" r:id="rId9"/>
    <sheet name="Finish" sheetId="15" r:id="rId10"/>
    <sheet name="Electricity" sheetId="13" r:id="rId11"/>
    <sheet name="Miscellaneous" sheetId="11" r:id="rId12"/>
    <sheet name="Salary Acc" sheetId="12" r:id="rId13"/>
    <sheet name="pivot " sheetId="2" r:id="rId14"/>
    <sheet name="Running Acc" sheetId="14" r:id="rId15"/>
    <sheet name="Balance" sheetId="20" r:id="rId16"/>
    <sheet name="Sheet1" sheetId="22" r:id="rId17"/>
    <sheet name="Cashflow" sheetId="21" r:id="rId18"/>
  </sheets>
  <externalReferences>
    <externalReference r:id="rId19"/>
  </externalReferences>
  <definedNames>
    <definedName name="_xlcn.WorksheetConnection_Khata2.xlsxTable4" hidden="1">Table4[]</definedName>
    <definedName name="_xlcn.WorksheetConnection_Khata2.xlsxTable41" hidden="1">Table4[]</definedName>
    <definedName name="Slicer_Date">#N/A</definedName>
    <definedName name="Slicer_Date1">#N/A</definedName>
    <definedName name="Slicer_Party">#N/A</definedName>
    <definedName name="Slicer_Party_Name">#N/A</definedName>
    <definedName name="Slicer_Party_Name1">#N/A</definedName>
    <definedName name="Slicer_Party_Name2">#N/A</definedName>
    <definedName name="Slicer_Person">#N/A</definedName>
    <definedName name="Slicer_Shipment_Number">#N/A</definedName>
    <definedName name="Table4_1" localSheetId="0" hidden="1">Billing!#REF!</definedName>
  </definedNames>
  <calcPr calcId="191028"/>
  <pivotCaches>
    <pivotCache cacheId="9" r:id="rId20"/>
    <pivotCache cacheId="13" r:id="rId21"/>
    <pivotCache cacheId="18" r:id="rId22"/>
    <pivotCache cacheId="24" r:id="rId23"/>
    <pivotCache cacheId="28" r:id="rId24"/>
    <pivotCache cacheId="33" r:id="rId25"/>
  </pivotCaches>
  <extLs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7"/>
        <x14:slicerCache r:id="rId28"/>
        <x14:slicerCache r:id="rId29"/>
        <x14:slicerCache r:id="rId30"/>
        <x14:slicerCache r:id="rId31"/>
        <x14:slicerCache r:id="rId32"/>
        <x14:slicerCache r:id="rId33"/>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Khata (2).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7" l="1"/>
  <c r="H18" i="7" s="1"/>
  <c r="G19" i="7"/>
  <c r="H19" i="7" s="1"/>
  <c r="G20" i="7"/>
  <c r="H20" i="7" s="1"/>
  <c r="J214" i="1" a="1"/>
  <c r="J214" i="1" s="1"/>
  <c r="J215" i="1" a="1"/>
  <c r="J215" i="1" s="1"/>
  <c r="J216" i="1" a="1"/>
  <c r="J216" i="1" s="1"/>
  <c r="J217" i="1" a="1"/>
  <c r="J217" i="1" s="1"/>
  <c r="J218" i="1" a="1"/>
  <c r="J218" i="1"/>
  <c r="J219" i="1" a="1"/>
  <c r="J219" i="1"/>
  <c r="J220" i="1" a="1"/>
  <c r="J220" i="1" s="1"/>
  <c r="J221" i="1" a="1"/>
  <c r="J221" i="1" s="1"/>
  <c r="J222" i="1" a="1"/>
  <c r="J222" i="1" s="1"/>
  <c r="J224" i="1" a="1"/>
  <c r="J224" i="1" s="1"/>
  <c r="J225" i="1" a="1"/>
  <c r="J225" i="1" s="1"/>
  <c r="J226" i="1" a="1"/>
  <c r="J226" i="1" s="1"/>
  <c r="J223" i="1" a="1"/>
  <c r="J223" i="1" s="1"/>
  <c r="AA6" i="9" a="1"/>
  <c r="AA6" i="9" s="1"/>
  <c r="AA7" i="9" a="1"/>
  <c r="AA7" i="9" s="1"/>
  <c r="AA8" i="9" a="1"/>
  <c r="AA8" i="9" s="1"/>
  <c r="AA9" i="9" a="1"/>
  <c r="AA9" i="9" s="1"/>
  <c r="AA10" i="9" a="1"/>
  <c r="AA10" i="9" s="1"/>
  <c r="AA11" i="9" a="1"/>
  <c r="AA11" i="9" s="1"/>
  <c r="AA12" i="9" a="1"/>
  <c r="AA12" i="9" s="1"/>
  <c r="AA13" i="9" a="1"/>
  <c r="AA13" i="9" s="1"/>
  <c r="AA14" i="9" a="1"/>
  <c r="AA14" i="9" s="1"/>
  <c r="AA15" i="9" a="1"/>
  <c r="AA15" i="9" s="1"/>
  <c r="AA16" i="9" a="1"/>
  <c r="AA16" i="9" s="1"/>
  <c r="AA17" i="9" a="1"/>
  <c r="AA17" i="9" s="1"/>
  <c r="AA18" i="9" a="1"/>
  <c r="AA18" i="9" s="1"/>
  <c r="AA19" i="9" a="1"/>
  <c r="AA19" i="9" s="1"/>
  <c r="AA20" i="9" a="1"/>
  <c r="AA20" i="9" s="1"/>
  <c r="AA21" i="9" a="1"/>
  <c r="AA21" i="9" s="1"/>
  <c r="AA22" i="9" a="1"/>
  <c r="AA22" i="9" s="1"/>
  <c r="AA23" i="9" a="1"/>
  <c r="AA23" i="9" s="1"/>
  <c r="AA24" i="9" a="1"/>
  <c r="AA24" i="9" s="1"/>
  <c r="AA26" i="9" a="1"/>
  <c r="AA26" i="9" s="1"/>
  <c r="AA27" i="9" a="1"/>
  <c r="AA27" i="9" s="1"/>
  <c r="AA28" i="9" a="1"/>
  <c r="AA28" i="9" s="1"/>
  <c r="AA29" i="9" a="1"/>
  <c r="AA29" i="9" s="1"/>
  <c r="AA30" i="9" a="1"/>
  <c r="AA30" i="9" s="1"/>
  <c r="AA31" i="9" a="1"/>
  <c r="AA31" i="9" s="1"/>
  <c r="AA32" i="9" a="1"/>
  <c r="AA32" i="9" s="1"/>
  <c r="AA33" i="9" a="1"/>
  <c r="AA33" i="9" s="1"/>
  <c r="AA34" i="9" a="1"/>
  <c r="AA34" i="9" s="1"/>
  <c r="AA35" i="9" a="1"/>
  <c r="AA35" i="9" s="1"/>
  <c r="AA5" i="9" a="1"/>
  <c r="AA5" i="9" s="1"/>
  <c r="Z5" i="9" a="1"/>
  <c r="Z5" i="9" s="1"/>
  <c r="I223" i="1"/>
  <c r="I224" i="1"/>
  <c r="I225" i="1"/>
  <c r="I226" i="1"/>
  <c r="I218" i="1"/>
  <c r="I219" i="1"/>
  <c r="I220" i="1"/>
  <c r="I221" i="1"/>
  <c r="I222" i="1"/>
  <c r="I210" i="1"/>
  <c r="J210" i="1" a="1"/>
  <c r="J210" i="1" s="1"/>
  <c r="I211" i="1"/>
  <c r="J211" i="1" a="1"/>
  <c r="J211" i="1" s="1"/>
  <c r="I212" i="1"/>
  <c r="J212" i="1" s="1" a="1"/>
  <c r="J212" i="1" s="1"/>
  <c r="I213" i="1"/>
  <c r="J213" i="1" s="1" a="1"/>
  <c r="J213" i="1" s="1"/>
  <c r="I214" i="1"/>
  <c r="I215" i="1"/>
  <c r="I216" i="1"/>
  <c r="I217" i="1"/>
  <c r="I160" i="1"/>
  <c r="J160" i="1" a="1"/>
  <c r="J160" i="1" s="1"/>
  <c r="G12" i="7"/>
  <c r="H12" i="7" s="1"/>
  <c r="G17" i="7"/>
  <c r="H17" i="7" s="1"/>
  <c r="G16" i="7"/>
  <c r="H16" i="7" s="1"/>
  <c r="E21" i="7"/>
  <c r="H52" i="6"/>
  <c r="I52" i="6" s="1"/>
  <c r="H53" i="6"/>
  <c r="I53" i="6" s="1"/>
  <c r="G53" i="6"/>
  <c r="I209" i="1"/>
  <c r="J209" i="1" a="1"/>
  <c r="J209" i="1" s="1"/>
  <c r="I193" i="1"/>
  <c r="J193" i="1" s="1" a="1"/>
  <c r="J193" i="1" s="1"/>
  <c r="H49" i="6"/>
  <c r="I49" i="6" s="1"/>
  <c r="H50" i="6"/>
  <c r="I50" i="6" s="1"/>
  <c r="H51" i="6"/>
  <c r="I51" i="6" s="1"/>
  <c r="G49" i="6"/>
  <c r="G50" i="6"/>
  <c r="G51" i="6"/>
  <c r="G52" i="6"/>
  <c r="I197" i="1"/>
  <c r="J197" i="1" a="1"/>
  <c r="J197" i="1" s="1"/>
  <c r="I198" i="1"/>
  <c r="J198" i="1" s="1" a="1"/>
  <c r="J198" i="1" s="1"/>
  <c r="I199" i="1"/>
  <c r="J199" i="1" s="1" a="1"/>
  <c r="J199" i="1" s="1"/>
  <c r="I200" i="1"/>
  <c r="J200" i="1" s="1" a="1"/>
  <c r="J200" i="1" s="1"/>
  <c r="I201" i="1"/>
  <c r="J201" i="1" a="1"/>
  <c r="J201" i="1" s="1"/>
  <c r="I202" i="1"/>
  <c r="J202" i="1" s="1" a="1"/>
  <c r="J202" i="1" s="1"/>
  <c r="I203" i="1"/>
  <c r="J203" i="1" s="1" a="1"/>
  <c r="J203" i="1" s="1"/>
  <c r="I204" i="1"/>
  <c r="J204" i="1" s="1" a="1"/>
  <c r="J204" i="1" s="1"/>
  <c r="I205" i="1"/>
  <c r="J205" i="1" a="1"/>
  <c r="J205" i="1" s="1"/>
  <c r="I206" i="1"/>
  <c r="J206" i="1" s="1" a="1"/>
  <c r="J206" i="1" s="1"/>
  <c r="I207" i="1"/>
  <c r="J207" i="1" s="1" a="1"/>
  <c r="J207" i="1" s="1"/>
  <c r="I208" i="1"/>
  <c r="J208" i="1" s="1" a="1"/>
  <c r="J208" i="1" s="1"/>
  <c r="H47" i="6"/>
  <c r="I47" i="6" s="1"/>
  <c r="H48" i="6"/>
  <c r="I48" i="6" s="1"/>
  <c r="H45" i="6"/>
  <c r="I45" i="6" s="1"/>
  <c r="H46" i="6"/>
  <c r="I46" i="6" s="1"/>
  <c r="Z30" i="9" a="1"/>
  <c r="Z30" i="9" s="1"/>
  <c r="Z31" i="9" a="1"/>
  <c r="Z31" i="9" s="1"/>
  <c r="Z32" i="9" a="1"/>
  <c r="Z32" i="9" s="1"/>
  <c r="Z33" i="9" a="1"/>
  <c r="Z33" i="9" s="1"/>
  <c r="Z34" i="9" a="1"/>
  <c r="Z34" i="9" s="1"/>
  <c r="I189" i="1"/>
  <c r="J189" i="1" s="1" a="1"/>
  <c r="J189" i="1" s="1"/>
  <c r="I192" i="1"/>
  <c r="J192" i="1" a="1"/>
  <c r="J192" i="1" s="1"/>
  <c r="I194" i="1"/>
  <c r="J194" i="1" s="1" a="1"/>
  <c r="J194" i="1" s="1"/>
  <c r="I195" i="1"/>
  <c r="J195" i="1" a="1"/>
  <c r="J195" i="1" s="1"/>
  <c r="I196" i="1"/>
  <c r="J196" i="1" s="1" a="1"/>
  <c r="J196" i="1" s="1"/>
  <c r="H44" i="6"/>
  <c r="I44" i="6" s="1"/>
  <c r="G41" i="6"/>
  <c r="G42" i="6"/>
  <c r="G43" i="6"/>
  <c r="G44" i="6"/>
  <c r="G45" i="6"/>
  <c r="G46" i="6"/>
  <c r="G47" i="6"/>
  <c r="G48" i="6"/>
  <c r="I41" i="6"/>
  <c r="I42" i="6"/>
  <c r="I43" i="6"/>
  <c r="G159" i="1"/>
  <c r="I159" i="1" s="1"/>
  <c r="J159" i="1" s="1" a="1"/>
  <c r="J159" i="1" s="1"/>
  <c r="I183" i="1"/>
  <c r="J183" i="1" s="1" a="1"/>
  <c r="J183" i="1" s="1"/>
  <c r="V28" i="9" s="1" a="1"/>
  <c r="V28" i="9" s="1"/>
  <c r="I184" i="1"/>
  <c r="J184" i="1" a="1"/>
  <c r="J184" i="1" s="1"/>
  <c r="I185" i="1"/>
  <c r="J185" i="1" s="1" a="1"/>
  <c r="J185" i="1" s="1"/>
  <c r="I186" i="1"/>
  <c r="J186" i="1" a="1"/>
  <c r="J186" i="1" s="1"/>
  <c r="I187" i="1"/>
  <c r="J187" i="1" s="1" a="1"/>
  <c r="J187" i="1" s="1"/>
  <c r="I188" i="1"/>
  <c r="J188" i="1" a="1"/>
  <c r="J188" i="1" s="1"/>
  <c r="I190" i="1"/>
  <c r="J190" i="1" s="1" a="1"/>
  <c r="J190" i="1" s="1"/>
  <c r="I191" i="1"/>
  <c r="J191" i="1" a="1"/>
  <c r="J191" i="1" s="1"/>
  <c r="H38" i="6"/>
  <c r="I38" i="6" s="1"/>
  <c r="H37" i="6"/>
  <c r="I37" i="6" s="1"/>
  <c r="H33" i="6"/>
  <c r="I33" i="6" s="1"/>
  <c r="H34" i="6"/>
  <c r="I34" i="6" s="1"/>
  <c r="H35" i="6"/>
  <c r="I35" i="6" s="1"/>
  <c r="H36" i="6"/>
  <c r="I36" i="6" s="1"/>
  <c r="G40" i="6"/>
  <c r="I40" i="6"/>
  <c r="G33" i="6"/>
  <c r="G34" i="6"/>
  <c r="G35" i="6"/>
  <c r="G36" i="6"/>
  <c r="G37" i="6"/>
  <c r="G38" i="6"/>
  <c r="G39" i="6"/>
  <c r="I39" i="6"/>
  <c r="H32" i="6"/>
  <c r="I32" i="6" s="1"/>
  <c r="G32" i="6"/>
  <c r="I168" i="1"/>
  <c r="J168" i="1" a="1"/>
  <c r="J168" i="1" s="1"/>
  <c r="I169" i="1"/>
  <c r="J169" i="1" s="1" a="1"/>
  <c r="J169" i="1" s="1"/>
  <c r="I170" i="1"/>
  <c r="J170" i="1" a="1"/>
  <c r="J170" i="1" s="1"/>
  <c r="I171" i="1"/>
  <c r="J171" i="1" s="1" a="1"/>
  <c r="J171" i="1" s="1"/>
  <c r="I172" i="1"/>
  <c r="J172" i="1" a="1"/>
  <c r="J172" i="1" s="1"/>
  <c r="I173" i="1"/>
  <c r="J173" i="1" s="1" a="1"/>
  <c r="J173" i="1" s="1"/>
  <c r="I174" i="1"/>
  <c r="J174" i="1" a="1"/>
  <c r="J174" i="1" s="1"/>
  <c r="I175" i="1"/>
  <c r="J175" i="1" s="1" a="1"/>
  <c r="J175" i="1" s="1"/>
  <c r="I176" i="1"/>
  <c r="J176" i="1" a="1"/>
  <c r="J176" i="1" s="1"/>
  <c r="I177" i="1"/>
  <c r="J177" i="1" s="1" a="1"/>
  <c r="J177" i="1" s="1"/>
  <c r="I178" i="1"/>
  <c r="J178" i="1" a="1"/>
  <c r="J178" i="1" s="1"/>
  <c r="I179" i="1"/>
  <c r="J179" i="1" s="1" a="1"/>
  <c r="J179" i="1" s="1"/>
  <c r="I180" i="1"/>
  <c r="J180" i="1" a="1"/>
  <c r="J180" i="1" s="1"/>
  <c r="I181" i="1"/>
  <c r="J181" i="1" s="1" a="1"/>
  <c r="J181" i="1" s="1"/>
  <c r="I182" i="1"/>
  <c r="J182" i="1" a="1"/>
  <c r="J182" i="1" s="1"/>
  <c r="F173" i="1"/>
  <c r="H30" i="6"/>
  <c r="I30" i="6" s="1"/>
  <c r="H31" i="6"/>
  <c r="I31" i="6" s="1"/>
  <c r="G31" i="6"/>
  <c r="G30" i="6"/>
  <c r="G15" i="7"/>
  <c r="H15" i="7" s="1"/>
  <c r="G29" i="6"/>
  <c r="H28" i="6"/>
  <c r="H29" i="6"/>
  <c r="I29" i="6" s="1"/>
  <c r="G28" i="6"/>
  <c r="F14" i="15"/>
  <c r="F15" i="15"/>
  <c r="F16" i="15"/>
  <c r="F17" i="15"/>
  <c r="F18" i="15"/>
  <c r="F19" i="15"/>
  <c r="G14" i="15"/>
  <c r="H14" i="15" s="1"/>
  <c r="G15" i="15"/>
  <c r="H15" i="15" s="1"/>
  <c r="G16" i="15"/>
  <c r="H16" i="15" s="1"/>
  <c r="G17" i="15"/>
  <c r="H17" i="15" s="1"/>
  <c r="G18" i="15"/>
  <c r="H18" i="15" s="1"/>
  <c r="G19" i="15"/>
  <c r="H19" i="15" s="1"/>
  <c r="I162" i="1"/>
  <c r="J162" i="1" a="1"/>
  <c r="J162" i="1" s="1"/>
  <c r="I163" i="1"/>
  <c r="J163" i="1" s="1" a="1"/>
  <c r="J163" i="1" s="1"/>
  <c r="I164" i="1"/>
  <c r="J164" i="1" a="1"/>
  <c r="J164" i="1" s="1"/>
  <c r="I165" i="1"/>
  <c r="J165" i="1" s="1" a="1"/>
  <c r="J165" i="1" s="1"/>
  <c r="I166" i="1"/>
  <c r="J166" i="1" a="1"/>
  <c r="J166" i="1" s="1"/>
  <c r="I167" i="1"/>
  <c r="J167" i="1" s="1" a="1"/>
  <c r="J167" i="1" s="1"/>
  <c r="G161" i="1"/>
  <c r="I149" i="1"/>
  <c r="J149" i="1" s="1" a="1"/>
  <c r="J149" i="1" s="1"/>
  <c r="I150" i="1"/>
  <c r="J150" i="1" a="1"/>
  <c r="J150" i="1" s="1"/>
  <c r="I151" i="1"/>
  <c r="J151" i="1" s="1" a="1"/>
  <c r="J151" i="1" s="1"/>
  <c r="I152" i="1"/>
  <c r="J152" i="1" a="1"/>
  <c r="J152" i="1" s="1"/>
  <c r="I153" i="1"/>
  <c r="J153" i="1" s="1" a="1"/>
  <c r="J153" i="1" s="1"/>
  <c r="I154" i="1"/>
  <c r="J154" i="1" a="1"/>
  <c r="J154" i="1" s="1"/>
  <c r="I155" i="1"/>
  <c r="J155" i="1" s="1" a="1"/>
  <c r="J155" i="1" s="1"/>
  <c r="B49" i="9" a="1"/>
  <c r="I83" i="1"/>
  <c r="J83" i="1" s="1" a="1"/>
  <c r="J83" i="1" s="1"/>
  <c r="I146" i="1"/>
  <c r="J146" i="1" a="1"/>
  <c r="J146" i="1" s="1"/>
  <c r="I147" i="1"/>
  <c r="J147" i="1" s="1" a="1"/>
  <c r="J147" i="1" s="1"/>
  <c r="I156" i="1"/>
  <c r="J156" i="1" a="1"/>
  <c r="J156" i="1" s="1"/>
  <c r="I157" i="1"/>
  <c r="J157" i="1" s="1" a="1"/>
  <c r="J157" i="1" s="1"/>
  <c r="I158" i="1"/>
  <c r="J158" i="1" a="1"/>
  <c r="J158" i="1" s="1"/>
  <c r="I136" i="1"/>
  <c r="J136" i="1" s="1" a="1"/>
  <c r="J136" i="1" s="1"/>
  <c r="I137" i="1"/>
  <c r="J137" i="1" a="1"/>
  <c r="J137" i="1" s="1"/>
  <c r="I138" i="1"/>
  <c r="J138" i="1" s="1" a="1"/>
  <c r="J138" i="1" s="1"/>
  <c r="I139" i="1"/>
  <c r="J139" i="1" a="1"/>
  <c r="J139" i="1" s="1"/>
  <c r="I140" i="1"/>
  <c r="J140" i="1" s="1" a="1"/>
  <c r="J140" i="1" s="1"/>
  <c r="I141" i="1"/>
  <c r="J141" i="1" a="1"/>
  <c r="J141" i="1" s="1"/>
  <c r="I142" i="1"/>
  <c r="J142" i="1" s="1" a="1"/>
  <c r="J142" i="1" s="1"/>
  <c r="I143" i="1"/>
  <c r="J143" i="1" a="1"/>
  <c r="J143" i="1" s="1"/>
  <c r="I144" i="1"/>
  <c r="J144" i="1" s="1" a="1"/>
  <c r="J144" i="1" s="1"/>
  <c r="I145" i="1"/>
  <c r="J145" i="1" a="1"/>
  <c r="J145" i="1" s="1"/>
  <c r="I148" i="1"/>
  <c r="J148" i="1" s="1" a="1"/>
  <c r="J148" i="1" s="1"/>
  <c r="H25" i="6"/>
  <c r="I25" i="6" s="1"/>
  <c r="H26" i="6"/>
  <c r="I26" i="6" s="1"/>
  <c r="H27" i="6"/>
  <c r="I27" i="6" s="1"/>
  <c r="G26" i="6"/>
  <c r="G27" i="6"/>
  <c r="G74" i="9" a="1"/>
  <c r="G74" i="9" s="1"/>
  <c r="G75" i="9" a="1"/>
  <c r="G75" i="9" s="1"/>
  <c r="G76" i="9" a="1"/>
  <c r="G76" i="9" s="1"/>
  <c r="G77" i="9" a="1"/>
  <c r="G77" i="9" s="1"/>
  <c r="G78" i="9" a="1"/>
  <c r="G78" i="9" s="1"/>
  <c r="H74" i="9" a="1"/>
  <c r="H74" i="9" s="1"/>
  <c r="H75" i="9" a="1"/>
  <c r="H75" i="9" s="1"/>
  <c r="H76" i="9" a="1"/>
  <c r="H76" i="9" s="1"/>
  <c r="H77" i="9" a="1"/>
  <c r="H77" i="9" s="1"/>
  <c r="H78" i="9" a="1"/>
  <c r="H78" i="9" s="1"/>
  <c r="I78" i="9" a="1"/>
  <c r="I78" i="9" s="1"/>
  <c r="J78" i="9" a="1"/>
  <c r="J78" i="9" s="1"/>
  <c r="I74" i="9" a="1"/>
  <c r="I74" i="9" s="1"/>
  <c r="I75" i="9" a="1"/>
  <c r="I75" i="9" s="1"/>
  <c r="I76" i="9" a="1"/>
  <c r="I76" i="9" s="1"/>
  <c r="I77" i="9" a="1"/>
  <c r="I77" i="9" s="1"/>
  <c r="J74" i="9" a="1"/>
  <c r="J74" i="9" s="1"/>
  <c r="J75" i="9" a="1"/>
  <c r="J75" i="9" s="1"/>
  <c r="J76" i="9" a="1"/>
  <c r="J76" i="9" s="1"/>
  <c r="J77" i="9" a="1"/>
  <c r="J77" i="9" s="1"/>
  <c r="L74" i="9"/>
  <c r="L75" i="9"/>
  <c r="L76" i="9"/>
  <c r="L77" i="9"/>
  <c r="L78" i="9"/>
  <c r="I131" i="1"/>
  <c r="J131" i="1" a="1"/>
  <c r="J131" i="1" s="1"/>
  <c r="H24" i="6"/>
  <c r="I24" i="6" s="1"/>
  <c r="G24" i="6"/>
  <c r="G25" i="6"/>
  <c r="C9" i="8"/>
  <c r="G11" i="7"/>
  <c r="H11" i="7" s="1"/>
  <c r="G13" i="7"/>
  <c r="H13" i="7" s="1"/>
  <c r="G14" i="7"/>
  <c r="H14" i="7" s="1"/>
  <c r="H22" i="6"/>
  <c r="I22" i="6" s="1"/>
  <c r="H23" i="6"/>
  <c r="I23" i="6" s="1"/>
  <c r="G22" i="6"/>
  <c r="G23" i="6"/>
  <c r="I128" i="1"/>
  <c r="J128" i="1" a="1"/>
  <c r="J128" i="1" s="1"/>
  <c r="I129" i="1"/>
  <c r="J129" i="1" s="1" a="1"/>
  <c r="J129" i="1" s="1"/>
  <c r="I130" i="1"/>
  <c r="J130" i="1" s="1" a="1"/>
  <c r="J130" i="1" s="1"/>
  <c r="I119" i="1"/>
  <c r="J119" i="1" s="1" a="1"/>
  <c r="J119" i="1" s="1"/>
  <c r="I120" i="1"/>
  <c r="J120" i="1" a="1"/>
  <c r="J120" i="1" s="1"/>
  <c r="I127" i="1"/>
  <c r="J127" i="1" s="1" a="1"/>
  <c r="J127" i="1" s="1"/>
  <c r="I132" i="1"/>
  <c r="J132" i="1" s="1" a="1"/>
  <c r="J132" i="1" s="1"/>
  <c r="I133" i="1"/>
  <c r="J133" i="1" s="1" a="1"/>
  <c r="J133" i="1" s="1"/>
  <c r="I134" i="1"/>
  <c r="J134" i="1" a="1"/>
  <c r="J134" i="1" s="1"/>
  <c r="I135" i="1"/>
  <c r="J135" i="1" s="1" a="1"/>
  <c r="J135" i="1" s="1"/>
  <c r="G10" i="7"/>
  <c r="H10" i="7" s="1"/>
  <c r="G9" i="7"/>
  <c r="H9" i="7" s="1"/>
  <c r="G8" i="7"/>
  <c r="H8" i="7" s="1"/>
  <c r="H21" i="6"/>
  <c r="I21" i="6" s="1"/>
  <c r="H20" i="6"/>
  <c r="I20" i="6" s="1"/>
  <c r="G20" i="6"/>
  <c r="G21" i="6"/>
  <c r="F12" i="15"/>
  <c r="G12" i="15"/>
  <c r="H12" i="15" s="1"/>
  <c r="G13" i="15"/>
  <c r="H13" i="15" s="1"/>
  <c r="F8" i="15"/>
  <c r="G8" i="15"/>
  <c r="I121" i="1"/>
  <c r="J121" i="1" s="1" a="1"/>
  <c r="J121" i="1" s="1"/>
  <c r="I122" i="1"/>
  <c r="J122" i="1" a="1"/>
  <c r="J122" i="1" s="1"/>
  <c r="I123" i="1"/>
  <c r="J123" i="1" s="1" a="1"/>
  <c r="J123" i="1" s="1"/>
  <c r="I124" i="1"/>
  <c r="J124" i="1" a="1"/>
  <c r="J124" i="1" s="1"/>
  <c r="I125" i="1"/>
  <c r="J125" i="1" s="1" a="1"/>
  <c r="J125" i="1" s="1"/>
  <c r="I126" i="1"/>
  <c r="J126" i="1" a="1"/>
  <c r="J126" i="1" s="1"/>
  <c r="G6" i="7"/>
  <c r="H6" i="7" s="1"/>
  <c r="G7" i="7"/>
  <c r="H7" i="7" s="1"/>
  <c r="D83" i="17"/>
  <c r="H15" i="6"/>
  <c r="I15" i="6" s="1"/>
  <c r="H16" i="6"/>
  <c r="I16" i="6" s="1"/>
  <c r="H17" i="6"/>
  <c r="I17" i="6" s="1"/>
  <c r="H18" i="6"/>
  <c r="I18" i="6" s="1"/>
  <c r="H13" i="6"/>
  <c r="I13" i="6" s="1"/>
  <c r="H14" i="6"/>
  <c r="I14" i="6" s="1"/>
  <c r="G13" i="6"/>
  <c r="G14" i="6"/>
  <c r="G15" i="6"/>
  <c r="G16" i="6"/>
  <c r="G17" i="6"/>
  <c r="G18" i="6"/>
  <c r="G19" i="6"/>
  <c r="I19" i="6"/>
  <c r="I112" i="1"/>
  <c r="J112" i="1" a="1"/>
  <c r="J112" i="1" s="1"/>
  <c r="I113" i="1"/>
  <c r="J113" i="1" s="1" a="1"/>
  <c r="J113" i="1" s="1"/>
  <c r="I114" i="1"/>
  <c r="J114" i="1" a="1"/>
  <c r="J114" i="1" s="1"/>
  <c r="I115" i="1"/>
  <c r="J115" i="1" a="1"/>
  <c r="J115" i="1" s="1"/>
  <c r="I116" i="1"/>
  <c r="J116" i="1" a="1"/>
  <c r="J116" i="1" s="1"/>
  <c r="I117" i="1"/>
  <c r="J117" i="1" s="1" a="1"/>
  <c r="J117" i="1" s="1"/>
  <c r="I118" i="1"/>
  <c r="J118" i="1" a="1"/>
  <c r="J118" i="1" s="1"/>
  <c r="I99" i="1"/>
  <c r="J99" i="1" a="1"/>
  <c r="J99" i="1" s="1"/>
  <c r="I100" i="1"/>
  <c r="J100" i="1" a="1"/>
  <c r="J100" i="1" s="1"/>
  <c r="I101" i="1"/>
  <c r="J101" i="1" s="1" a="1"/>
  <c r="J101" i="1" s="1"/>
  <c r="I102" i="1"/>
  <c r="J102" i="1" a="1"/>
  <c r="J102" i="1" s="1"/>
  <c r="I103" i="1"/>
  <c r="J103" i="1" a="1"/>
  <c r="J103" i="1" s="1"/>
  <c r="I104" i="1"/>
  <c r="J104" i="1" a="1"/>
  <c r="J104" i="1" s="1"/>
  <c r="I105" i="1"/>
  <c r="J105" i="1" s="1" a="1"/>
  <c r="J105" i="1" s="1"/>
  <c r="I106" i="1"/>
  <c r="J106" i="1" a="1"/>
  <c r="J106" i="1" s="1"/>
  <c r="I107" i="1"/>
  <c r="J107" i="1" a="1"/>
  <c r="J107" i="1" s="1"/>
  <c r="I108" i="1"/>
  <c r="J108" i="1" a="1"/>
  <c r="J108" i="1" s="1"/>
  <c r="I109" i="1"/>
  <c r="J109" i="1" s="1" a="1"/>
  <c r="J109" i="1" s="1"/>
  <c r="I110" i="1"/>
  <c r="J110" i="1" a="1"/>
  <c r="J110" i="1" s="1"/>
  <c r="I111" i="1"/>
  <c r="J111" i="1" a="1"/>
  <c r="J111" i="1" s="1"/>
  <c r="F11" i="15"/>
  <c r="F10" i="15"/>
  <c r="H12" i="6"/>
  <c r="I12" i="6" s="1"/>
  <c r="I36" i="12"/>
  <c r="H11" i="6"/>
  <c r="I11" i="6" s="1"/>
  <c r="G11" i="6"/>
  <c r="G12" i="6"/>
  <c r="I90" i="1"/>
  <c r="J90" i="1" a="1"/>
  <c r="J90" i="1" s="1"/>
  <c r="I91" i="1"/>
  <c r="J91" i="1" a="1"/>
  <c r="J91" i="1" s="1"/>
  <c r="I92" i="1"/>
  <c r="J92" i="1" s="1" a="1"/>
  <c r="J92" i="1" s="1"/>
  <c r="I93" i="1"/>
  <c r="J93" i="1" a="1"/>
  <c r="J93" i="1" s="1"/>
  <c r="I94" i="1"/>
  <c r="J94" i="1" a="1"/>
  <c r="J94" i="1" s="1"/>
  <c r="I95" i="1"/>
  <c r="J95" i="1" a="1"/>
  <c r="J95" i="1" s="1"/>
  <c r="I96" i="1"/>
  <c r="J96" i="1" s="1" a="1"/>
  <c r="J96" i="1" s="1"/>
  <c r="I97" i="1"/>
  <c r="J97" i="1" a="1"/>
  <c r="J97" i="1" s="1"/>
  <c r="I98" i="1"/>
  <c r="J98" i="1" a="1"/>
  <c r="J98" i="1" s="1"/>
  <c r="J5" i="1"/>
  <c r="J78" i="1"/>
  <c r="J73" i="1"/>
  <c r="J53" i="1"/>
  <c r="J75" i="1"/>
  <c r="J37" i="1"/>
  <c r="J71" i="1"/>
  <c r="J23" i="1"/>
  <c r="J26" i="1"/>
  <c r="J46" i="1"/>
  <c r="J60" i="1"/>
  <c r="J50" i="1"/>
  <c r="J33" i="1"/>
  <c r="J34" i="1"/>
  <c r="J38" i="1"/>
  <c r="J35" i="14"/>
  <c r="J36" i="14"/>
  <c r="D35" i="14"/>
  <c r="D36" i="14"/>
  <c r="D35" i="18"/>
  <c r="D36" i="18"/>
  <c r="D37" i="18"/>
  <c r="E35" i="18"/>
  <c r="E36" i="18"/>
  <c r="E37" i="18"/>
  <c r="J25" i="15"/>
  <c r="H9" i="6"/>
  <c r="I9" i="6" s="1"/>
  <c r="H10" i="6"/>
  <c r="I10" i="6" s="1"/>
  <c r="G9" i="6"/>
  <c r="G10" i="6"/>
  <c r="H8" i="6"/>
  <c r="I8" i="6" s="1"/>
  <c r="G8" i="6"/>
  <c r="I89" i="1"/>
  <c r="J89" i="1" s="1" a="1"/>
  <c r="J89" i="1" s="1"/>
  <c r="G9" i="15"/>
  <c r="H9" i="15" s="1"/>
  <c r="G10" i="15"/>
  <c r="H10" i="15" s="1"/>
  <c r="G11" i="15"/>
  <c r="H11" i="15" s="1"/>
  <c r="J27" i="15"/>
  <c r="E54" i="7"/>
  <c r="E53" i="7"/>
  <c r="G5" i="7"/>
  <c r="H5" i="7" s="1"/>
  <c r="G4" i="7"/>
  <c r="H4" i="7" s="1"/>
  <c r="G7" i="6"/>
  <c r="V30" i="9" a="1"/>
  <c r="V30" i="9" s="1"/>
  <c r="W30" i="9" a="1"/>
  <c r="W30" i="9" s="1"/>
  <c r="X30" i="9" a="1"/>
  <c r="X30" i="9" s="1"/>
  <c r="Y30" i="9" a="1"/>
  <c r="Y30" i="9" s="1"/>
  <c r="V31" i="9" a="1"/>
  <c r="V31" i="9" s="1"/>
  <c r="W31" i="9" a="1"/>
  <c r="W31" i="9" s="1"/>
  <c r="X31" i="9" a="1"/>
  <c r="X31" i="9" s="1"/>
  <c r="Y31" i="9" a="1"/>
  <c r="Y31" i="9" s="1"/>
  <c r="V32" i="9" a="1"/>
  <c r="V32" i="9" s="1"/>
  <c r="W32" i="9" a="1"/>
  <c r="W32" i="9" s="1"/>
  <c r="X32" i="9" a="1"/>
  <c r="X32" i="9" s="1"/>
  <c r="Y32" i="9" a="1"/>
  <c r="Y32" i="9" s="1"/>
  <c r="V33" i="9" a="1"/>
  <c r="V33" i="9" s="1"/>
  <c r="W33" i="9" a="1"/>
  <c r="W33" i="9" s="1"/>
  <c r="X33" i="9" a="1"/>
  <c r="X33" i="9" s="1"/>
  <c r="Y33" i="9" a="1"/>
  <c r="Y33" i="9" s="1"/>
  <c r="V34" i="9" a="1"/>
  <c r="V34" i="9" s="1"/>
  <c r="W34" i="9" a="1"/>
  <c r="W34" i="9" s="1"/>
  <c r="X34" i="9" a="1"/>
  <c r="X34" i="9" s="1"/>
  <c r="Y34" i="9" a="1"/>
  <c r="Y34" i="9" s="1"/>
  <c r="V35" i="9" a="1"/>
  <c r="V35" i="9" s="1"/>
  <c r="AB35" i="9" s="1"/>
  <c r="W35" i="9" a="1"/>
  <c r="W35" i="9" s="1"/>
  <c r="X35" i="9" a="1"/>
  <c r="X35" i="9" s="1"/>
  <c r="Y35" i="9" a="1"/>
  <c r="Y35" i="9" s="1"/>
  <c r="I88" i="1"/>
  <c r="J88" i="1" s="1" a="1"/>
  <c r="J88" i="1" s="1"/>
  <c r="I87" i="1"/>
  <c r="J87" i="1" a="1"/>
  <c r="J87" i="1" s="1"/>
  <c r="I86" i="1"/>
  <c r="J86" i="1" s="1" a="1"/>
  <c r="J86" i="1" s="1"/>
  <c r="I85" i="1"/>
  <c r="J85" i="1" s="1" a="1"/>
  <c r="J85" i="1" s="1"/>
  <c r="I84" i="1"/>
  <c r="J84" i="1" s="1" a="1"/>
  <c r="J84" i="1" s="1"/>
  <c r="I82" i="1"/>
  <c r="J82" i="1" a="1"/>
  <c r="J82" i="1" s="1"/>
  <c r="I41" i="1"/>
  <c r="I24" i="1"/>
  <c r="I11" i="1"/>
  <c r="I38" i="1"/>
  <c r="I25" i="1"/>
  <c r="I31" i="1"/>
  <c r="I37" i="1"/>
  <c r="I4" i="1"/>
  <c r="I8" i="1"/>
  <c r="I12" i="1"/>
  <c r="I16" i="1"/>
  <c r="I20" i="1"/>
  <c r="I39" i="1"/>
  <c r="I26" i="1"/>
  <c r="I32" i="1"/>
  <c r="J21" i="1"/>
  <c r="I21" i="1"/>
  <c r="I40" i="1"/>
  <c r="I27" i="1"/>
  <c r="I33" i="1"/>
  <c r="I5" i="1"/>
  <c r="I9" i="1"/>
  <c r="I13" i="1"/>
  <c r="I17" i="1"/>
  <c r="I29" i="1"/>
  <c r="I3" i="1"/>
  <c r="I15" i="1"/>
  <c r="I28" i="1"/>
  <c r="I34" i="1"/>
  <c r="J41" i="1"/>
  <c r="I6" i="1"/>
  <c r="I10" i="1"/>
  <c r="I14" i="1"/>
  <c r="I18" i="1"/>
  <c r="I23" i="1"/>
  <c r="I35" i="1"/>
  <c r="I30" i="1"/>
  <c r="I7" i="1"/>
  <c r="I36" i="1"/>
  <c r="I19" i="1"/>
  <c r="I22" i="1"/>
  <c r="I2" i="1"/>
  <c r="C39" i="12"/>
  <c r="C40" i="12"/>
  <c r="C41" i="12"/>
  <c r="C42" i="12"/>
  <c r="C38" i="12"/>
  <c r="C37" i="12"/>
  <c r="C7" i="8"/>
  <c r="R30" i="9" a="1"/>
  <c r="R30" i="9" s="1"/>
  <c r="S30" i="9" a="1"/>
  <c r="S30" i="9" s="1"/>
  <c r="T30" i="9" a="1"/>
  <c r="T30" i="9" s="1"/>
  <c r="U30" i="9" a="1"/>
  <c r="U30" i="9" s="1"/>
  <c r="AC30" i="9"/>
  <c r="B27" i="20" s="1"/>
  <c r="R31" i="9" a="1"/>
  <c r="R31" i="9" s="1"/>
  <c r="S31" i="9" a="1"/>
  <c r="S31" i="9" s="1"/>
  <c r="T31" i="9" a="1"/>
  <c r="T31" i="9" s="1"/>
  <c r="U31" i="9" a="1"/>
  <c r="U31" i="9" s="1"/>
  <c r="AC31" i="9"/>
  <c r="B28" i="20" s="1"/>
  <c r="R32" i="9" a="1"/>
  <c r="R32" i="9" s="1"/>
  <c r="S32" i="9" a="1"/>
  <c r="S32" i="9" s="1"/>
  <c r="T32" i="9" a="1"/>
  <c r="T32" i="9" s="1"/>
  <c r="U32" i="9" a="1"/>
  <c r="U32" i="9" s="1"/>
  <c r="AC32" i="9"/>
  <c r="R33" i="9" a="1"/>
  <c r="R33" i="9" s="1"/>
  <c r="S33" i="9" a="1"/>
  <c r="S33" i="9" s="1"/>
  <c r="T33" i="9" a="1"/>
  <c r="T33" i="9" s="1"/>
  <c r="U33" i="9" a="1"/>
  <c r="U33" i="9" s="1"/>
  <c r="AC33" i="9"/>
  <c r="R34" i="9" a="1"/>
  <c r="R34" i="9" s="1"/>
  <c r="S34" i="9" a="1"/>
  <c r="S34" i="9" s="1"/>
  <c r="T34" i="9" a="1"/>
  <c r="T34" i="9" s="1"/>
  <c r="U34" i="9" a="1"/>
  <c r="U34" i="9" s="1"/>
  <c r="AC34" i="9"/>
  <c r="R35" i="9" a="1"/>
  <c r="R35" i="9" s="1"/>
  <c r="S35" i="9" a="1"/>
  <c r="S35" i="9" s="1"/>
  <c r="T35" i="9" a="1"/>
  <c r="T35" i="9" s="1"/>
  <c r="U35" i="9" a="1"/>
  <c r="U35" i="9" s="1"/>
  <c r="AC35" i="9"/>
  <c r="J4" i="14"/>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4" i="12"/>
  <c r="G2" i="7"/>
  <c r="G3" i="7"/>
  <c r="I35" i="12"/>
  <c r="G5" i="6"/>
  <c r="G6" i="6"/>
  <c r="F5" i="15"/>
  <c r="F6" i="15"/>
  <c r="F20" i="15"/>
  <c r="B84" i="9" a="1"/>
  <c r="B84" i="9" s="1"/>
  <c r="E32" i="7"/>
  <c r="E33" i="7"/>
  <c r="E34" i="7"/>
  <c r="E35" i="7"/>
  <c r="E36" i="7"/>
  <c r="E37" i="7"/>
  <c r="E38" i="7"/>
  <c r="E39" i="7"/>
  <c r="E40" i="7"/>
  <c r="E41" i="7"/>
  <c r="E42" i="7"/>
  <c r="E43" i="7"/>
  <c r="E44" i="7"/>
  <c r="E45" i="7"/>
  <c r="E46" i="7"/>
  <c r="E47" i="7"/>
  <c r="E48" i="7"/>
  <c r="E49" i="7"/>
  <c r="E50" i="7"/>
  <c r="E51" i="7"/>
  <c r="E52" i="7"/>
  <c r="E31" i="7"/>
  <c r="E57" i="7" s="1"/>
  <c r="C5" i="8" s="1"/>
  <c r="E83" i="2"/>
  <c r="F83" i="2"/>
  <c r="H83" i="2"/>
  <c r="I83" i="2" s="1"/>
  <c r="D83" i="2" s="1"/>
  <c r="E84" i="2"/>
  <c r="F84" i="2"/>
  <c r="H84" i="2"/>
  <c r="I84" i="2"/>
  <c r="D84" i="2"/>
  <c r="E85" i="2"/>
  <c r="F85" i="2"/>
  <c r="E86" i="2"/>
  <c r="F86" i="2"/>
  <c r="H86" i="2"/>
  <c r="I86" i="2"/>
  <c r="D86" i="2"/>
  <c r="E87" i="2"/>
  <c r="F87" i="2"/>
  <c r="H87" i="2"/>
  <c r="I87" i="2"/>
  <c r="D87" i="2"/>
  <c r="E88" i="2"/>
  <c r="F88" i="2"/>
  <c r="E89" i="2"/>
  <c r="F89" i="2"/>
  <c r="G89" i="2"/>
  <c r="E90" i="2"/>
  <c r="F90" i="2"/>
  <c r="H90" i="2"/>
  <c r="I90" i="2"/>
  <c r="D90" i="2"/>
  <c r="E91" i="2"/>
  <c r="F91" i="2"/>
  <c r="H91" i="2"/>
  <c r="I91" i="2"/>
  <c r="D91" i="2"/>
  <c r="E92" i="2"/>
  <c r="F92" i="2"/>
  <c r="G92" i="2"/>
  <c r="E93" i="2"/>
  <c r="F93" i="2"/>
  <c r="G93" i="2"/>
  <c r="E94" i="2"/>
  <c r="F94" i="2"/>
  <c r="G94" i="2"/>
  <c r="E95" i="2"/>
  <c r="F95" i="2"/>
  <c r="G95" i="2"/>
  <c r="E96" i="2"/>
  <c r="F96" i="2"/>
  <c r="H96" i="2"/>
  <c r="I96" i="2"/>
  <c r="D96" i="2"/>
  <c r="G96" i="2"/>
  <c r="E97" i="2"/>
  <c r="F97" i="2"/>
  <c r="G97" i="2"/>
  <c r="E98" i="2"/>
  <c r="F98" i="2"/>
  <c r="G98" i="2"/>
  <c r="E99" i="2"/>
  <c r="F99" i="2"/>
  <c r="G99" i="2"/>
  <c r="H99" i="2"/>
  <c r="I99" i="2"/>
  <c r="D99" i="2"/>
  <c r="E100" i="2"/>
  <c r="F100" i="2"/>
  <c r="G100" i="2"/>
  <c r="H100" i="2"/>
  <c r="I100" i="2"/>
  <c r="D100" i="2"/>
  <c r="E101" i="2"/>
  <c r="F101" i="2"/>
  <c r="G101" i="2"/>
  <c r="H101" i="2"/>
  <c r="I101" i="2"/>
  <c r="D101" i="2"/>
  <c r="E102" i="2"/>
  <c r="F102" i="2"/>
  <c r="G102" i="2"/>
  <c r="H102" i="2"/>
  <c r="I102" i="2"/>
  <c r="D102" i="2"/>
  <c r="E103" i="2"/>
  <c r="F103" i="2"/>
  <c r="G103" i="2"/>
  <c r="H103" i="2"/>
  <c r="I103" i="2"/>
  <c r="D103" i="2"/>
  <c r="E104" i="2"/>
  <c r="F104" i="2"/>
  <c r="G104" i="2"/>
  <c r="H104" i="2"/>
  <c r="I104" i="2"/>
  <c r="D104" i="2"/>
  <c r="E105" i="2"/>
  <c r="F105" i="2"/>
  <c r="G105" i="2"/>
  <c r="H105" i="2"/>
  <c r="I105" i="2"/>
  <c r="D105" i="2"/>
  <c r="E106" i="2"/>
  <c r="F106" i="2"/>
  <c r="G106" i="2"/>
  <c r="H106" i="2"/>
  <c r="I106" i="2"/>
  <c r="D106" i="2"/>
  <c r="E107" i="2"/>
  <c r="F107" i="2"/>
  <c r="G107" i="2"/>
  <c r="H107" i="2"/>
  <c r="I107" i="2"/>
  <c r="D107" i="2"/>
  <c r="E108" i="2"/>
  <c r="F108" i="2"/>
  <c r="G108" i="2"/>
  <c r="H108" i="2"/>
  <c r="I108" i="2"/>
  <c r="D108" i="2"/>
  <c r="E109" i="2"/>
  <c r="F109" i="2"/>
  <c r="G109" i="2"/>
  <c r="H109" i="2"/>
  <c r="I109" i="2"/>
  <c r="D109" i="2"/>
  <c r="E110" i="2"/>
  <c r="F110" i="2"/>
  <c r="G110" i="2"/>
  <c r="H110" i="2"/>
  <c r="I110" i="2"/>
  <c r="D110" i="2"/>
  <c r="E111" i="2"/>
  <c r="F111" i="2"/>
  <c r="G111" i="2"/>
  <c r="H111" i="2"/>
  <c r="I111" i="2"/>
  <c r="D111" i="2"/>
  <c r="E112" i="2"/>
  <c r="F112" i="2"/>
  <c r="G112" i="2"/>
  <c r="H112" i="2"/>
  <c r="I112" i="2"/>
  <c r="D112" i="2"/>
  <c r="E113" i="2"/>
  <c r="F113" i="2"/>
  <c r="G113" i="2"/>
  <c r="H113" i="2"/>
  <c r="I113" i="2"/>
  <c r="D113" i="2"/>
  <c r="E114" i="2"/>
  <c r="F114" i="2"/>
  <c r="G114" i="2"/>
  <c r="H114" i="2"/>
  <c r="I114" i="2"/>
  <c r="D114" i="2"/>
  <c r="E115" i="2"/>
  <c r="F115" i="2"/>
  <c r="G115" i="2"/>
  <c r="H115" i="2"/>
  <c r="I115" i="2"/>
  <c r="D115" i="2"/>
  <c r="E116" i="2"/>
  <c r="F116" i="2"/>
  <c r="G116" i="2"/>
  <c r="H116" i="2"/>
  <c r="I116" i="2"/>
  <c r="D116" i="2"/>
  <c r="E117" i="2"/>
  <c r="F117" i="2"/>
  <c r="G117" i="2"/>
  <c r="H117" i="2"/>
  <c r="I117" i="2"/>
  <c r="D117" i="2"/>
  <c r="E118" i="2"/>
  <c r="F118" i="2"/>
  <c r="G118" i="2"/>
  <c r="H118" i="2"/>
  <c r="I118" i="2"/>
  <c r="D118" i="2"/>
  <c r="E119" i="2"/>
  <c r="F119" i="2"/>
  <c r="G119" i="2"/>
  <c r="H119" i="2"/>
  <c r="I119" i="2"/>
  <c r="D119" i="2"/>
  <c r="E74" i="2"/>
  <c r="F74" i="2"/>
  <c r="H74" i="2" s="1"/>
  <c r="I74" i="2" s="1"/>
  <c r="D74" i="2" s="1"/>
  <c r="E75" i="2"/>
  <c r="F75" i="2"/>
  <c r="E76" i="2"/>
  <c r="F76" i="2"/>
  <c r="H76" i="2" s="1"/>
  <c r="I76" i="2" s="1"/>
  <c r="D76" i="2" s="1"/>
  <c r="E77" i="2"/>
  <c r="F77" i="2"/>
  <c r="E78" i="2"/>
  <c r="F78" i="2"/>
  <c r="H78" i="2" s="1"/>
  <c r="I78" i="2" s="1"/>
  <c r="D78" i="2" s="1"/>
  <c r="E79" i="2"/>
  <c r="F79" i="2"/>
  <c r="H79" i="2" s="1"/>
  <c r="I79" i="2" s="1"/>
  <c r="D79" i="2" s="1"/>
  <c r="E80" i="2"/>
  <c r="F80" i="2"/>
  <c r="H80" i="2" s="1"/>
  <c r="I80" i="2" s="1"/>
  <c r="D80" i="2" s="1"/>
  <c r="E81" i="2"/>
  <c r="F81" i="2"/>
  <c r="E82" i="2"/>
  <c r="F82" i="2"/>
  <c r="A27" i="20"/>
  <c r="A28" i="20"/>
  <c r="Q5" i="9" a="1"/>
  <c r="A14" i="21" s="1"/>
  <c r="B14" i="21" s="1"/>
  <c r="L64" i="9"/>
  <c r="G5" i="15"/>
  <c r="G6" i="15"/>
  <c r="D30" i="18"/>
  <c r="I3" i="12"/>
  <c r="J3" i="14"/>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G4" i="6"/>
  <c r="E56" i="2"/>
  <c r="F56" i="2"/>
  <c r="H56" i="2" s="1"/>
  <c r="I56" i="2" s="1"/>
  <c r="D56" i="2" s="1"/>
  <c r="E57" i="2"/>
  <c r="F57" i="2"/>
  <c r="E58" i="2"/>
  <c r="F58" i="2"/>
  <c r="F27" i="2"/>
  <c r="H27" i="2" s="1"/>
  <c r="I27" i="2" s="1"/>
  <c r="D27" i="2" s="1"/>
  <c r="E27" i="2"/>
  <c r="E59" i="2"/>
  <c r="F59" i="2"/>
  <c r="H59" i="2" s="1"/>
  <c r="I59" i="2" s="1"/>
  <c r="D59" i="2" s="1"/>
  <c r="F28" i="2"/>
  <c r="H28" i="2" s="1"/>
  <c r="I28" i="2" s="1"/>
  <c r="D28" i="2" s="1"/>
  <c r="E28" i="2"/>
  <c r="E60" i="2"/>
  <c r="F60" i="2"/>
  <c r="G60" i="2" s="1"/>
  <c r="E61" i="2"/>
  <c r="G61" i="2" s="1"/>
  <c r="H183" i="1" s="1"/>
  <c r="F61" i="2"/>
  <c r="H61" i="2" s="1"/>
  <c r="I61" i="2" s="1"/>
  <c r="D61" i="2" s="1"/>
  <c r="E62" i="2"/>
  <c r="F62" i="2"/>
  <c r="H62" i="2" s="1"/>
  <c r="I62" i="2" s="1"/>
  <c r="D62" i="2" s="1"/>
  <c r="E63" i="2"/>
  <c r="F63" i="2"/>
  <c r="H63" i="2" s="1"/>
  <c r="I63" i="2" s="1"/>
  <c r="D63" i="2" s="1"/>
  <c r="E64" i="2"/>
  <c r="F64" i="2"/>
  <c r="E65" i="2"/>
  <c r="F65" i="2"/>
  <c r="E66" i="2"/>
  <c r="F66" i="2"/>
  <c r="H66" i="2" s="1"/>
  <c r="I66" i="2" s="1"/>
  <c r="D66" i="2" s="1"/>
  <c r="E67" i="2"/>
  <c r="F67" i="2"/>
  <c r="E68" i="2"/>
  <c r="F68" i="2"/>
  <c r="E69" i="2"/>
  <c r="F69" i="2"/>
  <c r="E70" i="2"/>
  <c r="F70" i="2"/>
  <c r="E71" i="2"/>
  <c r="F71" i="2"/>
  <c r="E72" i="2"/>
  <c r="F72" i="2"/>
  <c r="H72" i="2" s="1"/>
  <c r="I72" i="2" s="1"/>
  <c r="D72" i="2" s="1"/>
  <c r="E73" i="2"/>
  <c r="G73" i="2" s="1"/>
  <c r="H210" i="1" s="1"/>
  <c r="F73" i="2"/>
  <c r="H73" i="2" s="1"/>
  <c r="I73" i="2" s="1"/>
  <c r="D73" i="2" s="1"/>
  <c r="E45" i="2"/>
  <c r="F45" i="2"/>
  <c r="E46" i="2"/>
  <c r="F46" i="2"/>
  <c r="H46" i="2" s="1"/>
  <c r="I46" i="2" s="1"/>
  <c r="D46" i="2" s="1"/>
  <c r="E47" i="2"/>
  <c r="F47" i="2"/>
  <c r="H47" i="2"/>
  <c r="I47" i="2" s="1"/>
  <c r="D47" i="2" s="1"/>
  <c r="E48" i="2"/>
  <c r="F48" i="2"/>
  <c r="F20" i="2"/>
  <c r="H20" i="2" s="1"/>
  <c r="I20" i="2" s="1"/>
  <c r="D20" i="2" s="1"/>
  <c r="E20" i="2"/>
  <c r="E49" i="2"/>
  <c r="G49" i="2" s="1"/>
  <c r="F49" i="2"/>
  <c r="F21" i="2"/>
  <c r="H21" i="2" s="1"/>
  <c r="I21" i="2" s="1"/>
  <c r="D21" i="2" s="1"/>
  <c r="E21" i="2"/>
  <c r="E50" i="2"/>
  <c r="F50" i="2"/>
  <c r="H50" i="2" s="1"/>
  <c r="I50" i="2" s="1"/>
  <c r="D50" i="2" s="1"/>
  <c r="E51" i="2"/>
  <c r="F51" i="2"/>
  <c r="H51" i="2" s="1"/>
  <c r="I51" i="2" s="1"/>
  <c r="D51" i="2" s="1"/>
  <c r="E52" i="2"/>
  <c r="F52" i="2"/>
  <c r="H52" i="2" s="1"/>
  <c r="I52" i="2" s="1"/>
  <c r="D52" i="2" s="1"/>
  <c r="E53" i="2"/>
  <c r="F53" i="2"/>
  <c r="H53" i="2" s="1"/>
  <c r="I53" i="2" s="1"/>
  <c r="D53" i="2" s="1"/>
  <c r="E54" i="2"/>
  <c r="F54" i="2"/>
  <c r="F24" i="2"/>
  <c r="H24" i="2" s="1"/>
  <c r="I24" i="2" s="1"/>
  <c r="D24" i="2" s="1"/>
  <c r="E24" i="2"/>
  <c r="E55" i="2"/>
  <c r="F55" i="2"/>
  <c r="H55" i="2"/>
  <c r="I55" i="2" s="1"/>
  <c r="D55" i="2" s="1"/>
  <c r="F25" i="2"/>
  <c r="H25" i="2" s="1"/>
  <c r="I25" i="2" s="1"/>
  <c r="D25" i="2" s="1"/>
  <c r="E25" i="2"/>
  <c r="C3" i="12"/>
  <c r="O7" i="17"/>
  <c r="D21" i="18"/>
  <c r="D22" i="18"/>
  <c r="D23" i="18"/>
  <c r="D24" i="18"/>
  <c r="D25" i="18"/>
  <c r="D26" i="18"/>
  <c r="D27" i="18"/>
  <c r="D28" i="18"/>
  <c r="D29" i="18"/>
  <c r="D31" i="18"/>
  <c r="D32" i="18"/>
  <c r="D33" i="18"/>
  <c r="D34" i="18"/>
  <c r="E21" i="18"/>
  <c r="E22" i="18"/>
  <c r="E23" i="18"/>
  <c r="E24" i="18"/>
  <c r="E25" i="18"/>
  <c r="E26" i="18"/>
  <c r="E27" i="18"/>
  <c r="E28" i="18"/>
  <c r="E29" i="18"/>
  <c r="E30" i="18"/>
  <c r="E31" i="18"/>
  <c r="E32" i="18"/>
  <c r="E33" i="18"/>
  <c r="E34" i="18"/>
  <c r="J21" i="14"/>
  <c r="J22" i="14"/>
  <c r="J23" i="14"/>
  <c r="J24" i="14"/>
  <c r="J25" i="14"/>
  <c r="J26" i="14"/>
  <c r="J27" i="14"/>
  <c r="J28" i="14"/>
  <c r="J29" i="14"/>
  <c r="J30" i="14"/>
  <c r="J31" i="14"/>
  <c r="J32" i="14"/>
  <c r="J33" i="14"/>
  <c r="J34" i="14"/>
  <c r="D17" i="14"/>
  <c r="D18" i="14"/>
  <c r="D19" i="14"/>
  <c r="D20" i="14"/>
  <c r="D21" i="14"/>
  <c r="D22" i="14"/>
  <c r="D23" i="14"/>
  <c r="D24" i="14"/>
  <c r="D25" i="14"/>
  <c r="D26" i="14"/>
  <c r="D27" i="14"/>
  <c r="D28" i="14"/>
  <c r="D29" i="14"/>
  <c r="D30" i="14"/>
  <c r="D31" i="14"/>
  <c r="D32" i="14"/>
  <c r="D33" i="14"/>
  <c r="D34" i="14"/>
  <c r="G3" i="6"/>
  <c r="G2" i="6"/>
  <c r="C19" i="8"/>
  <c r="D16" i="14"/>
  <c r="J18" i="14"/>
  <c r="J19" i="14"/>
  <c r="J20" i="14"/>
  <c r="E33" i="2"/>
  <c r="F33" i="2"/>
  <c r="H33" i="2" s="1"/>
  <c r="I33" i="2" s="1"/>
  <c r="D33" i="2" s="1"/>
  <c r="F6" i="2"/>
  <c r="H6" i="2" s="1"/>
  <c r="I6" i="2" s="1"/>
  <c r="D6" i="2" s="1"/>
  <c r="E6" i="2"/>
  <c r="F5" i="2"/>
  <c r="H5" i="2" s="1"/>
  <c r="I5" i="2" s="1"/>
  <c r="D5" i="2" s="1"/>
  <c r="E5" i="2"/>
  <c r="E34" i="2"/>
  <c r="G34" i="2" s="1"/>
  <c r="H131" i="1" s="1"/>
  <c r="F34" i="2"/>
  <c r="H34" i="2"/>
  <c r="I34" i="2" s="1"/>
  <c r="D34" i="2" s="1"/>
  <c r="F18" i="2"/>
  <c r="E18" i="2"/>
  <c r="G18" i="2" s="1"/>
  <c r="H102" i="1" s="1"/>
  <c r="E35" i="2"/>
  <c r="F35" i="2"/>
  <c r="H35" i="2" s="1"/>
  <c r="I35" i="2" s="1"/>
  <c r="D35" i="2" s="1"/>
  <c r="E36" i="2"/>
  <c r="G36" i="2" s="1"/>
  <c r="H135" i="1" s="1"/>
  <c r="F36" i="2"/>
  <c r="H36" i="2" s="1"/>
  <c r="I36" i="2" s="1"/>
  <c r="D36" i="2" s="1"/>
  <c r="F22" i="2"/>
  <c r="H22" i="2" s="1"/>
  <c r="I22" i="2" s="1"/>
  <c r="D22" i="2" s="1"/>
  <c r="E22" i="2"/>
  <c r="F7" i="2"/>
  <c r="E7" i="2"/>
  <c r="E37" i="2"/>
  <c r="F37" i="2"/>
  <c r="G37" i="2"/>
  <c r="H136" i="1" s="1"/>
  <c r="E39" i="2"/>
  <c r="F39" i="2"/>
  <c r="H39" i="2" s="1"/>
  <c r="I39" i="2" s="1"/>
  <c r="D39" i="2" s="1"/>
  <c r="E40" i="2"/>
  <c r="F40" i="2"/>
  <c r="H40" i="2" s="1"/>
  <c r="I40" i="2" s="1"/>
  <c r="D40" i="2" s="1"/>
  <c r="E41" i="2"/>
  <c r="F41" i="2"/>
  <c r="H41" i="2"/>
  <c r="I41" i="2" s="1"/>
  <c r="D41" i="2" s="1"/>
  <c r="E42" i="2"/>
  <c r="F42" i="2"/>
  <c r="H42" i="2" s="1"/>
  <c r="I42" i="2" s="1"/>
  <c r="D42" i="2" s="1"/>
  <c r="E43" i="2"/>
  <c r="F43" i="2"/>
  <c r="H43" i="2" s="1"/>
  <c r="I43" i="2" s="1"/>
  <c r="D43" i="2" s="1"/>
  <c r="E44" i="2"/>
  <c r="F44" i="2"/>
  <c r="H44" i="2" s="1"/>
  <c r="I44" i="2" s="1"/>
  <c r="D44" i="2" s="1"/>
  <c r="F19" i="2"/>
  <c r="H19" i="2" s="1"/>
  <c r="I19" i="2" s="1"/>
  <c r="D19" i="2" s="1"/>
  <c r="E19" i="2"/>
  <c r="G19" i="2" s="1"/>
  <c r="H103" i="1" s="1"/>
  <c r="F38" i="2"/>
  <c r="H38" i="2" s="1"/>
  <c r="I38" i="2" s="1"/>
  <c r="D38" i="2" s="1"/>
  <c r="E38" i="2"/>
  <c r="I4" i="12"/>
  <c r="I5" i="12"/>
  <c r="D3" i="14"/>
  <c r="D4" i="14"/>
  <c r="D5" i="14"/>
  <c r="D6" i="14"/>
  <c r="D7" i="14"/>
  <c r="D8" i="14"/>
  <c r="D9" i="14"/>
  <c r="D10" i="14"/>
  <c r="D11" i="14"/>
  <c r="D12" i="14"/>
  <c r="D13" i="14"/>
  <c r="D14" i="14"/>
  <c r="D15" i="14"/>
  <c r="D3" i="18"/>
  <c r="D4" i="18"/>
  <c r="D5" i="18"/>
  <c r="D6" i="18"/>
  <c r="D7" i="18"/>
  <c r="D8" i="18"/>
  <c r="D9" i="18"/>
  <c r="D10" i="18"/>
  <c r="D11" i="18"/>
  <c r="D12" i="18"/>
  <c r="D13" i="18"/>
  <c r="D14" i="18"/>
  <c r="D15" i="18"/>
  <c r="D16" i="18"/>
  <c r="D17" i="18"/>
  <c r="D18" i="18"/>
  <c r="D19" i="18"/>
  <c r="D20" i="18"/>
  <c r="J5" i="14"/>
  <c r="J6" i="14"/>
  <c r="J7" i="14"/>
  <c r="J8" i="14"/>
  <c r="J9" i="14"/>
  <c r="J10" i="14"/>
  <c r="J11" i="14"/>
  <c r="J12" i="14"/>
  <c r="J13" i="14"/>
  <c r="J14" i="14"/>
  <c r="J16" i="14"/>
  <c r="J17" i="14"/>
  <c r="J4" i="19" a="1"/>
  <c r="J4" i="19" s="1"/>
  <c r="E8" i="18"/>
  <c r="E3" i="18"/>
  <c r="E4" i="18"/>
  <c r="E5" i="18"/>
  <c r="E6" i="18"/>
  <c r="E7" i="18"/>
  <c r="E9" i="18"/>
  <c r="E10" i="18"/>
  <c r="E11" i="18"/>
  <c r="E12" i="18"/>
  <c r="E13" i="18"/>
  <c r="E14" i="18"/>
  <c r="E15" i="18"/>
  <c r="E16" i="18"/>
  <c r="E17" i="18"/>
  <c r="E18" i="18"/>
  <c r="E19" i="18"/>
  <c r="E20" i="18"/>
  <c r="F13" i="2"/>
  <c r="E13" i="2"/>
  <c r="F23" i="2"/>
  <c r="H23" i="2" s="1"/>
  <c r="I23" i="2" s="1"/>
  <c r="D23" i="2" s="1"/>
  <c r="E23" i="2"/>
  <c r="G23" i="2" s="1"/>
  <c r="H113" i="1" s="1"/>
  <c r="F15" i="2"/>
  <c r="H15" i="2" s="1"/>
  <c r="I15" i="2" s="1"/>
  <c r="D15" i="2" s="1"/>
  <c r="E15" i="2"/>
  <c r="F16" i="2"/>
  <c r="H16" i="2" s="1"/>
  <c r="I16" i="2" s="1"/>
  <c r="D16" i="2" s="1"/>
  <c r="E16" i="2"/>
  <c r="F26" i="2"/>
  <c r="H26" i="2" s="1"/>
  <c r="I26" i="2" s="1"/>
  <c r="D26" i="2" s="1"/>
  <c r="E26" i="2"/>
  <c r="F29" i="2"/>
  <c r="H29" i="2" s="1"/>
  <c r="I29" i="2" s="1"/>
  <c r="D29" i="2" s="1"/>
  <c r="E29" i="2"/>
  <c r="F30" i="2"/>
  <c r="F31" i="2"/>
  <c r="H31" i="2" s="1"/>
  <c r="I31" i="2" s="1"/>
  <c r="D31" i="2" s="1"/>
  <c r="E31" i="2"/>
  <c r="F32" i="2"/>
  <c r="H32" i="2" s="1"/>
  <c r="I32" i="2" s="1"/>
  <c r="D32" i="2" s="1"/>
  <c r="F14" i="2"/>
  <c r="H14" i="2" s="1"/>
  <c r="I14" i="2" s="1"/>
  <c r="D14" i="2" s="1"/>
  <c r="E14" i="2"/>
  <c r="E30" i="2"/>
  <c r="E32" i="2"/>
  <c r="N4" i="17"/>
  <c r="F12" i="2"/>
  <c r="E12" i="2"/>
  <c r="G12" i="2" s="1"/>
  <c r="H93" i="1" s="1"/>
  <c r="F11" i="2"/>
  <c r="H11" i="2" s="1"/>
  <c r="I11" i="2" s="1"/>
  <c r="E11" i="2"/>
  <c r="E17" i="2"/>
  <c r="F17" i="2"/>
  <c r="F9" i="2"/>
  <c r="H9" i="2" s="1"/>
  <c r="I9" i="2" s="1"/>
  <c r="D9" i="2" s="1"/>
  <c r="E9" i="2"/>
  <c r="E8" i="2"/>
  <c r="F8" i="2"/>
  <c r="H8" i="2" s="1"/>
  <c r="I8" i="2" s="1"/>
  <c r="D8" i="2" s="1"/>
  <c r="E10" i="2"/>
  <c r="E4" i="2"/>
  <c r="C8" i="8"/>
  <c r="F10" i="2"/>
  <c r="H10" i="2" s="1"/>
  <c r="I10" i="2" s="1"/>
  <c r="D10" i="2" s="1"/>
  <c r="F4" i="2"/>
  <c r="H4" i="2" s="1"/>
  <c r="I4" i="2" s="1"/>
  <c r="D4" i="2" s="1"/>
  <c r="N3" i="7"/>
  <c r="N5" i="7"/>
  <c r="E6" i="11"/>
  <c r="D6" i="11"/>
  <c r="F3" i="2"/>
  <c r="J15" i="14"/>
  <c r="H92" i="2"/>
  <c r="I92" i="2"/>
  <c r="D92" i="2"/>
  <c r="G88" i="2"/>
  <c r="G81" i="2"/>
  <c r="H223" i="1" s="1"/>
  <c r="G87" i="2"/>
  <c r="H94" i="2"/>
  <c r="I94" i="2"/>
  <c r="D94" i="2"/>
  <c r="G91" i="2"/>
  <c r="G90" i="2"/>
  <c r="H89" i="2"/>
  <c r="I89" i="2"/>
  <c r="D89" i="2"/>
  <c r="G83" i="2"/>
  <c r="H224" i="1" s="1"/>
  <c r="H98" i="2"/>
  <c r="I98" i="2"/>
  <c r="D98" i="2"/>
  <c r="H93" i="2"/>
  <c r="I93" i="2"/>
  <c r="D93" i="2"/>
  <c r="G85" i="2"/>
  <c r="H88" i="2"/>
  <c r="I88" i="2"/>
  <c r="D88" i="2"/>
  <c r="H95" i="2"/>
  <c r="I95" i="2"/>
  <c r="D95" i="2"/>
  <c r="G84" i="2"/>
  <c r="H97" i="2"/>
  <c r="I97" i="2"/>
  <c r="D97" i="2"/>
  <c r="G86" i="2"/>
  <c r="G82" i="2"/>
  <c r="H85" i="2"/>
  <c r="I85" i="2"/>
  <c r="D85" i="2"/>
  <c r="H82" i="2"/>
  <c r="I82" i="2" s="1"/>
  <c r="D82" i="2" s="1"/>
  <c r="H81" i="2"/>
  <c r="I81" i="2" s="1"/>
  <c r="D81" i="2" s="1"/>
  <c r="H65" i="2"/>
  <c r="I65" i="2" s="1"/>
  <c r="D65" i="2" s="1"/>
  <c r="B2" i="2"/>
  <c r="C408" i="17"/>
  <c r="K4" i="17" s="1"/>
  <c r="C16" i="10"/>
  <c r="J30" i="15"/>
  <c r="C6" i="8"/>
  <c r="J59" i="1"/>
  <c r="J44" i="1"/>
  <c r="J40" i="1"/>
  <c r="J62" i="1"/>
  <c r="J51" i="1"/>
  <c r="J68" i="1"/>
  <c r="J45" i="1"/>
  <c r="J3" i="1"/>
  <c r="J28" i="1"/>
  <c r="J70" i="1"/>
  <c r="J19" i="1"/>
  <c r="J13" i="1"/>
  <c r="J6" i="1"/>
  <c r="J79" i="1"/>
  <c r="J54" i="1"/>
  <c r="J64" i="1"/>
  <c r="J15" i="1"/>
  <c r="J18" i="1"/>
  <c r="J43" i="1"/>
  <c r="J8" i="1"/>
  <c r="J77" i="1"/>
  <c r="J76" i="1"/>
  <c r="J57" i="1"/>
  <c r="J55" i="1"/>
  <c r="J69" i="1"/>
  <c r="J56" i="1"/>
  <c r="J30" i="1"/>
  <c r="J29" i="1"/>
  <c r="J17" i="1"/>
  <c r="J63" i="1"/>
  <c r="J22" i="1"/>
  <c r="J42" i="1"/>
  <c r="J39" i="1"/>
  <c r="J14" i="1"/>
  <c r="J74" i="1"/>
  <c r="J67" i="1"/>
  <c r="J31" i="1"/>
  <c r="J66" i="1"/>
  <c r="J9" i="1"/>
  <c r="J47" i="1"/>
  <c r="J80" i="1"/>
  <c r="J10" i="1"/>
  <c r="J48" i="1"/>
  <c r="J7" i="1"/>
  <c r="J4" i="1"/>
  <c r="J11" i="1"/>
  <c r="J65" i="1"/>
  <c r="J35" i="1"/>
  <c r="J52" i="1"/>
  <c r="J36" i="1"/>
  <c r="J2" i="1"/>
  <c r="J20" i="1"/>
  <c r="J24" i="1"/>
  <c r="J25" i="1"/>
  <c r="J49" i="1"/>
  <c r="J12" i="1"/>
  <c r="J81" i="1"/>
  <c r="J61" i="1"/>
  <c r="J27" i="1"/>
  <c r="J32" i="1"/>
  <c r="J16" i="1"/>
  <c r="J58" i="1"/>
  <c r="J72" i="1"/>
  <c r="D3" i="17"/>
  <c r="N6" i="17" s="1"/>
  <c r="D2" i="17"/>
  <c r="N5" i="17"/>
  <c r="H73" i="1"/>
  <c r="H48" i="1"/>
  <c r="H25" i="1"/>
  <c r="H35" i="1"/>
  <c r="H51" i="1"/>
  <c r="H23" i="1"/>
  <c r="H61" i="1"/>
  <c r="H74" i="1"/>
  <c r="H29" i="1"/>
  <c r="H9" i="1"/>
  <c r="H11" i="1"/>
  <c r="H32" i="1"/>
  <c r="H52" i="1"/>
  <c r="H62" i="1"/>
  <c r="H68" i="1"/>
  <c r="H7" i="1"/>
  <c r="H64" i="1"/>
  <c r="H71" i="1"/>
  <c r="H13" i="1"/>
  <c r="H66" i="1"/>
  <c r="H21" i="1"/>
  <c r="H78" i="1"/>
  <c r="H80" i="1"/>
  <c r="H15" i="1"/>
  <c r="H33" i="1"/>
  <c r="H47" i="1"/>
  <c r="H24" i="1"/>
  <c r="H18" i="1"/>
  <c r="H57" i="1"/>
  <c r="H70" i="1"/>
  <c r="H36" i="1"/>
  <c r="H27" i="1"/>
  <c r="H14" i="1"/>
  <c r="H12" i="1"/>
  <c r="H69" i="1"/>
  <c r="H72" i="1"/>
  <c r="H37" i="1"/>
  <c r="H49" i="1"/>
  <c r="H2" i="1"/>
  <c r="H60" i="1"/>
  <c r="H5" i="1"/>
  <c r="H56" i="1"/>
  <c r="H31" i="1"/>
  <c r="H16" i="1"/>
  <c r="H77" i="1"/>
  <c r="H75" i="1"/>
  <c r="H55" i="1"/>
  <c r="H6" i="1"/>
  <c r="H34" i="1"/>
  <c r="H4" i="1"/>
  <c r="H65" i="1"/>
  <c r="H63" i="1"/>
  <c r="H22" i="1"/>
  <c r="H53" i="1"/>
  <c r="H30" i="1"/>
  <c r="H79" i="1"/>
  <c r="H50" i="1"/>
  <c r="H81" i="1"/>
  <c r="H10" i="1"/>
  <c r="H20" i="1"/>
  <c r="H26" i="1"/>
  <c r="H67" i="1"/>
  <c r="H46" i="1"/>
  <c r="H17" i="1"/>
  <c r="H58" i="1"/>
  <c r="H8" i="1"/>
  <c r="H28" i="1"/>
  <c r="H3" i="1"/>
  <c r="H76" i="1"/>
  <c r="H59" i="1"/>
  <c r="H54" i="1"/>
  <c r="H19" i="1"/>
  <c r="H48" i="2"/>
  <c r="I48" i="2" s="1"/>
  <c r="D48" i="2" s="1"/>
  <c r="G48" i="2"/>
  <c r="H151" i="1" s="1"/>
  <c r="H69" i="2"/>
  <c r="I69" i="2" s="1"/>
  <c r="D69" i="2" s="1"/>
  <c r="G13" i="2"/>
  <c r="H95" i="1"/>
  <c r="G29" i="2"/>
  <c r="H119" i="1"/>
  <c r="H13" i="2"/>
  <c r="I13" i="2" s="1"/>
  <c r="D13" i="2" s="1"/>
  <c r="H17" i="2"/>
  <c r="I17" i="2" s="1"/>
  <c r="D17" i="2" s="1"/>
  <c r="J64" i="9" a="1"/>
  <c r="J64" i="9" s="1"/>
  <c r="L55" i="9"/>
  <c r="G87" i="9"/>
  <c r="V8" i="9" s="1" a="1"/>
  <c r="V8" i="9" s="1"/>
  <c r="I86" i="9"/>
  <c r="X7" i="9" s="1" a="1"/>
  <c r="X7" i="9" s="1"/>
  <c r="B5" i="9"/>
  <c r="C5" i="9" s="1"/>
  <c r="Y28" i="9" a="1"/>
  <c r="Y28" i="9" s="1"/>
  <c r="J87" i="9"/>
  <c r="Y8" i="9" s="1" a="1"/>
  <c r="Y8" i="9" s="1"/>
  <c r="J51" i="9" a="1"/>
  <c r="J51" i="9" s="1"/>
  <c r="H85" i="9"/>
  <c r="F94" i="9"/>
  <c r="U15" i="9" s="1" a="1"/>
  <c r="U15" i="9" s="1"/>
  <c r="G8" i="2"/>
  <c r="H75" i="2"/>
  <c r="I75" i="2" s="1"/>
  <c r="D75" i="2" s="1"/>
  <c r="G17" i="2"/>
  <c r="H101" i="1" s="1"/>
  <c r="G46" i="2"/>
  <c r="H149" i="1" s="1"/>
  <c r="H70" i="2"/>
  <c r="I70" i="2" s="1"/>
  <c r="D70" i="2" s="1"/>
  <c r="G64" i="2"/>
  <c r="G50" i="2"/>
  <c r="H156" i="1" s="1"/>
  <c r="H18" i="2"/>
  <c r="I18" i="2" s="1"/>
  <c r="D18" i="2" s="1"/>
  <c r="G55" i="2"/>
  <c r="H168" i="1" s="1"/>
  <c r="G89" i="9"/>
  <c r="L63" i="9"/>
  <c r="I57" i="9" a="1"/>
  <c r="I57" i="9" s="1"/>
  <c r="E86" i="9"/>
  <c r="T7" i="9" s="1" a="1"/>
  <c r="T7" i="9" s="1"/>
  <c r="B14" i="9"/>
  <c r="C14" i="9" s="1"/>
  <c r="F98" i="9"/>
  <c r="U19" i="9" s="1" a="1"/>
  <c r="U19" i="9" s="1"/>
  <c r="L100" i="9"/>
  <c r="L101" i="9"/>
  <c r="I92" i="9"/>
  <c r="X13" i="9" s="1" a="1"/>
  <c r="X13" i="9" s="1"/>
  <c r="J50" i="9" a="1"/>
  <c r="J50" i="9" s="1"/>
  <c r="H90" i="9"/>
  <c r="W11" i="9" s="1" a="1"/>
  <c r="W11" i="9" s="1"/>
  <c r="D100" i="9"/>
  <c r="S21" i="9" s="1" a="1"/>
  <c r="S21" i="9" s="1"/>
  <c r="L50" i="9"/>
  <c r="C86" i="9"/>
  <c r="R7" i="9" s="1" a="1"/>
  <c r="R7" i="9" s="1"/>
  <c r="J63" i="9" a="1"/>
  <c r="J63" i="9" s="1"/>
  <c r="Y26" i="9" a="1"/>
  <c r="Y26" i="9" s="1"/>
  <c r="B3" i="9"/>
  <c r="C3" i="9" s="1"/>
  <c r="L94" i="9"/>
  <c r="L96" i="9"/>
  <c r="I63" i="9" a="1"/>
  <c r="I63" i="9" s="1"/>
  <c r="L60" i="9"/>
  <c r="H102" i="9"/>
  <c r="W23" i="9" s="1" a="1"/>
  <c r="W23" i="9" s="1"/>
  <c r="J95" i="9"/>
  <c r="Y16" i="9" s="1" a="1"/>
  <c r="Y16" i="9" s="1"/>
  <c r="I95" i="9"/>
  <c r="X16" i="9" s="1" a="1"/>
  <c r="X16" i="9" s="1"/>
  <c r="I103" i="9"/>
  <c r="X24" i="9" s="1" a="1"/>
  <c r="X24" i="9" s="1"/>
  <c r="L59" i="9"/>
  <c r="L92" i="9"/>
  <c r="E98" i="9"/>
  <c r="T19" i="9" s="1" a="1"/>
  <c r="T19" i="9" s="1"/>
  <c r="I56" i="9" a="1"/>
  <c r="I56" i="9" s="1"/>
  <c r="H53" i="9" a="1"/>
  <c r="H53" i="9" s="1"/>
  <c r="L67" i="9"/>
  <c r="L97" i="9"/>
  <c r="Z18" i="9" a="1"/>
  <c r="Z18" i="9" s="1"/>
  <c r="V27" i="9" a="1"/>
  <c r="V27" i="9" s="1"/>
  <c r="U28" i="9" a="1"/>
  <c r="U28" i="9" s="1"/>
  <c r="J67" i="9" a="1"/>
  <c r="J67" i="9" s="1"/>
  <c r="T28" i="9" a="1"/>
  <c r="T28" i="9" s="1"/>
  <c r="L53" i="9"/>
  <c r="G62" i="9" a="1"/>
  <c r="G62" i="9" s="1"/>
  <c r="L71" i="9"/>
  <c r="D92" i="9"/>
  <c r="S13" i="9" s="1" a="1"/>
  <c r="S13" i="9" s="1"/>
  <c r="H52" i="9" a="1"/>
  <c r="H52" i="9" s="1"/>
  <c r="X27" i="9" a="1"/>
  <c r="X27" i="9" s="1"/>
  <c r="H63" i="9" a="1"/>
  <c r="H63" i="9" s="1"/>
  <c r="E95" i="9"/>
  <c r="T16" i="9" s="1" a="1"/>
  <c r="T16" i="9" s="1"/>
  <c r="J55" i="9" a="1"/>
  <c r="J55" i="9" s="1"/>
  <c r="L103" i="9"/>
  <c r="U25" i="9" a="1"/>
  <c r="U25" i="9" s="1"/>
  <c r="L62" i="9"/>
  <c r="I94" i="9"/>
  <c r="X15" i="9" s="1" a="1"/>
  <c r="X15" i="9" s="1"/>
  <c r="C91" i="9"/>
  <c r="R12" i="9" s="1" a="1"/>
  <c r="R12" i="9" s="1"/>
  <c r="L93" i="9"/>
  <c r="E96" i="9"/>
  <c r="T17" i="9" s="1" a="1"/>
  <c r="T17" i="9" s="1"/>
  <c r="G96" i="9"/>
  <c r="I71" i="9" a="1"/>
  <c r="I71" i="9" s="1"/>
  <c r="E88" i="9"/>
  <c r="T9" i="9" s="1" a="1"/>
  <c r="T9" i="9" s="1"/>
  <c r="J100" i="9"/>
  <c r="Y21" i="9" s="1" a="1"/>
  <c r="Y21" i="9" s="1"/>
  <c r="D89" i="9"/>
  <c r="S10" i="9" s="1" a="1"/>
  <c r="S10" i="9" s="1"/>
  <c r="R28" i="9" a="1"/>
  <c r="R28" i="9" s="1"/>
  <c r="J53" i="9" a="1"/>
  <c r="J53" i="9" s="1"/>
  <c r="L52" i="9"/>
  <c r="Z10" i="9" a="1"/>
  <c r="Z10" i="9" s="1"/>
  <c r="H62" i="9" a="1"/>
  <c r="H62" i="9" s="1"/>
  <c r="E99" i="9"/>
  <c r="T20" i="9" s="1" a="1"/>
  <c r="T20" i="9" s="1"/>
  <c r="D86" i="9"/>
  <c r="S7" i="9" s="1" a="1"/>
  <c r="S7" i="9" s="1"/>
  <c r="J68" i="9" a="1"/>
  <c r="J68" i="9" s="1"/>
  <c r="J102" i="9"/>
  <c r="Y23" i="9" s="1" a="1"/>
  <c r="Y23" i="9" s="1"/>
  <c r="J101" i="9"/>
  <c r="Y22" i="9" s="1" a="1"/>
  <c r="Y22" i="9" s="1"/>
  <c r="E85" i="9"/>
  <c r="T6" i="9" s="1" a="1"/>
  <c r="T6" i="9" s="1"/>
  <c r="Z15" i="9" a="1"/>
  <c r="Z15" i="9" s="1"/>
  <c r="C12" i="10"/>
  <c r="H166" i="1"/>
  <c r="H181" i="1"/>
  <c r="G7" i="2"/>
  <c r="H83" i="1"/>
  <c r="H49" i="2"/>
  <c r="I49" i="2" s="1"/>
  <c r="D49" i="2" s="1"/>
  <c r="H71" i="2"/>
  <c r="I71" i="2" s="1"/>
  <c r="D71" i="2" s="1"/>
  <c r="H67" i="2"/>
  <c r="I67" i="2" s="1"/>
  <c r="D67" i="2" s="1"/>
  <c r="G21" i="2"/>
  <c r="H117" i="1" s="1"/>
  <c r="H7" i="2"/>
  <c r="I7" i="2" s="1"/>
  <c r="D7" i="2" s="1"/>
  <c r="H37" i="2"/>
  <c r="I37" i="2" s="1"/>
  <c r="D37" i="2" s="1"/>
  <c r="H58" i="2"/>
  <c r="I58" i="2" s="1"/>
  <c r="D58" i="2" s="1"/>
  <c r="G16" i="2"/>
  <c r="H139" i="1" s="1"/>
  <c r="G32" i="2"/>
  <c r="H124" i="1" s="1"/>
  <c r="G62" i="2"/>
  <c r="H184" i="1"/>
  <c r="H64" i="2"/>
  <c r="I64" i="2" s="1"/>
  <c r="D64" i="2" s="1"/>
  <c r="G11" i="2"/>
  <c r="H91" i="1" s="1"/>
  <c r="G27" i="2"/>
  <c r="H116" i="1" s="1"/>
  <c r="G39" i="2"/>
  <c r="H141" i="1" s="1"/>
  <c r="G24" i="2"/>
  <c r="H169" i="1"/>
  <c r="G59" i="2"/>
  <c r="G42" i="2"/>
  <c r="H144" i="1" s="1"/>
  <c r="G69" i="2"/>
  <c r="H202" i="1" s="1"/>
  <c r="I161" i="1"/>
  <c r="J161" i="1" s="1" a="1"/>
  <c r="J161" i="1" s="1"/>
  <c r="H85" i="1"/>
  <c r="H86" i="1"/>
  <c r="H88" i="1"/>
  <c r="H87" i="1"/>
  <c r="H189" i="1"/>
  <c r="H186" i="1"/>
  <c r="G47" i="2"/>
  <c r="H150" i="1" s="1"/>
  <c r="G56" i="2"/>
  <c r="H195" i="1" s="1"/>
  <c r="H54" i="2"/>
  <c r="I54" i="2" s="1"/>
  <c r="D54" i="2" s="1"/>
  <c r="H12" i="2"/>
  <c r="I12" i="2" s="1"/>
  <c r="D12" i="2" s="1"/>
  <c r="Z27" i="9" a="1"/>
  <c r="Z27" i="9" s="1"/>
  <c r="L54" i="9"/>
  <c r="I67" i="9" a="1"/>
  <c r="I67" i="9" s="1"/>
  <c r="F103" i="9"/>
  <c r="U24" i="9" s="1" a="1"/>
  <c r="U24" i="9" s="1"/>
  <c r="Z14" i="9" a="1"/>
  <c r="Z14" i="9" s="1"/>
  <c r="K6" i="6"/>
  <c r="C4" i="8"/>
  <c r="G54" i="6"/>
  <c r="H203" i="1"/>
  <c r="H175" i="1"/>
  <c r="H188" i="1"/>
  <c r="H109" i="1"/>
  <c r="H110" i="1"/>
  <c r="H187" i="1"/>
  <c r="H178" i="1"/>
  <c r="H190" i="1"/>
  <c r="H193" i="1"/>
  <c r="H177" i="1"/>
  <c r="C2" i="2"/>
  <c r="AB33" i="9" l="1"/>
  <c r="AB30" i="9"/>
  <c r="AB32" i="9"/>
  <c r="AA25" i="9" a="1"/>
  <c r="AA25" i="9" s="1"/>
  <c r="AB34" i="9"/>
  <c r="AB31" i="9"/>
  <c r="D408" i="17"/>
  <c r="K5" i="17" s="1"/>
  <c r="K6" i="17" s="1"/>
  <c r="N7" i="17"/>
  <c r="P7" i="17" s="1"/>
  <c r="G20" i="15"/>
  <c r="C43" i="12"/>
  <c r="H20" i="15"/>
  <c r="J37" i="14"/>
  <c r="C12" i="8" s="1"/>
  <c r="D38" i="18"/>
  <c r="C11" i="8" s="1"/>
  <c r="D37" i="14"/>
  <c r="C10" i="8" s="1"/>
  <c r="I37" i="12"/>
  <c r="E38" i="18"/>
  <c r="H54" i="6"/>
  <c r="H21" i="7"/>
  <c r="F408" i="17"/>
  <c r="I28" i="6"/>
  <c r="I54" i="6" s="1"/>
  <c r="G72" i="9" a="1"/>
  <c r="G72" i="9" s="1"/>
  <c r="H201" i="1"/>
  <c r="G33" i="2"/>
  <c r="H125" i="1" s="1"/>
  <c r="G51" i="2"/>
  <c r="G74" i="2"/>
  <c r="H211" i="1" s="1"/>
  <c r="G57" i="2"/>
  <c r="G15" i="2"/>
  <c r="G65" i="2"/>
  <c r="Y29" i="9" a="1"/>
  <c r="Y29" i="9" s="1"/>
  <c r="G52" i="9" a="1"/>
  <c r="G52" i="9" s="1"/>
  <c r="I51" i="9" a="1"/>
  <c r="I51" i="9" s="1"/>
  <c r="W26" i="9" a="1"/>
  <c r="W26" i="9" s="1"/>
  <c r="J66" i="9" a="1"/>
  <c r="J66" i="9" s="1"/>
  <c r="H54" i="9" a="1"/>
  <c r="H54" i="9" s="1"/>
  <c r="H67" i="9" a="1"/>
  <c r="H67" i="9" s="1"/>
  <c r="E103" i="9"/>
  <c r="T24" i="9" s="1" a="1"/>
  <c r="T24" i="9" s="1"/>
  <c r="H59" i="9" a="1"/>
  <c r="H59" i="9" s="1"/>
  <c r="L102" i="9"/>
  <c r="E100" i="9"/>
  <c r="T21" i="9" s="1" a="1"/>
  <c r="T21" i="9" s="1"/>
  <c r="H100" i="9"/>
  <c r="W21" i="9" s="1" a="1"/>
  <c r="W21" i="9" s="1"/>
  <c r="C92" i="9"/>
  <c r="R13" i="9" s="1" a="1"/>
  <c r="R13" i="9" s="1"/>
  <c r="F95" i="9"/>
  <c r="U16" i="9" s="1" a="1"/>
  <c r="U16" i="9" s="1"/>
  <c r="J72" i="9" a="1"/>
  <c r="J72" i="9" s="1"/>
  <c r="J103" i="9"/>
  <c r="Y24" i="9" s="1" a="1"/>
  <c r="Y24" i="9" s="1"/>
  <c r="L89" i="9"/>
  <c r="F101" i="9"/>
  <c r="U22" i="9" s="1" a="1"/>
  <c r="U22" i="9" s="1"/>
  <c r="B6" i="9"/>
  <c r="E6" i="9" s="1"/>
  <c r="I89" i="9"/>
  <c r="X10" i="9" s="1" a="1"/>
  <c r="X10" i="9" s="1"/>
  <c r="I102" i="9"/>
  <c r="X23" i="9" s="1" a="1"/>
  <c r="X23" i="9" s="1"/>
  <c r="H103" i="9"/>
  <c r="L58" i="9"/>
  <c r="G94" i="9"/>
  <c r="K94" i="9" s="1"/>
  <c r="M94" i="9" s="1"/>
  <c r="C102" i="9"/>
  <c r="R23" i="9" s="1" a="1"/>
  <c r="R23" i="9" s="1"/>
  <c r="F100" i="9"/>
  <c r="U21" i="9" s="1" a="1"/>
  <c r="U21" i="9" s="1"/>
  <c r="L91" i="9"/>
  <c r="I90" i="9"/>
  <c r="X11" i="9" s="1" a="1"/>
  <c r="X11" i="9" s="1"/>
  <c r="Z22" i="9" a="1"/>
  <c r="Z22" i="9" s="1"/>
  <c r="H73" i="9" a="1"/>
  <c r="H73" i="9" s="1"/>
  <c r="B13" i="9"/>
  <c r="C13" i="9" s="1"/>
  <c r="C94" i="9"/>
  <c r="R15" i="9" s="1" a="1"/>
  <c r="R15" i="9" s="1"/>
  <c r="F92" i="9"/>
  <c r="U13" i="9" s="1" a="1"/>
  <c r="U13" i="9" s="1"/>
  <c r="J90" i="9"/>
  <c r="Y11" i="9" s="1" a="1"/>
  <c r="Y11" i="9" s="1"/>
  <c r="C89" i="9"/>
  <c r="R10" i="9" s="1" a="1"/>
  <c r="R10" i="9" s="1"/>
  <c r="E97" i="9"/>
  <c r="T18" i="9" s="1" a="1"/>
  <c r="T18" i="9" s="1"/>
  <c r="D103" i="9"/>
  <c r="S24" i="9" s="1" a="1"/>
  <c r="S24" i="9" s="1"/>
  <c r="H58" i="9" a="1"/>
  <c r="H58" i="9" s="1"/>
  <c r="Z21" i="9" a="1"/>
  <c r="Z21" i="9" s="1"/>
  <c r="R27" i="9" a="1"/>
  <c r="R27" i="9" s="1"/>
  <c r="B16" i="9"/>
  <c r="E16" i="9" s="1"/>
  <c r="D102" i="9"/>
  <c r="S23" i="9" s="1" a="1"/>
  <c r="S23" i="9" s="1"/>
  <c r="J93" i="9"/>
  <c r="Y14" i="9" s="1" a="1"/>
  <c r="Y14" i="9" s="1"/>
  <c r="U27" i="9" a="1"/>
  <c r="U27" i="9" s="1"/>
  <c r="E94" i="9"/>
  <c r="T15" i="9" s="1" a="1"/>
  <c r="T15" i="9" s="1"/>
  <c r="C101" i="9"/>
  <c r="R22" i="9" s="1" a="1"/>
  <c r="R22" i="9" s="1"/>
  <c r="I85" i="9"/>
  <c r="X6" i="9" s="1" a="1"/>
  <c r="X6" i="9" s="1"/>
  <c r="I59" i="9" a="1"/>
  <c r="I59" i="9" s="1"/>
  <c r="I69" i="9" a="1"/>
  <c r="I69" i="9" s="1"/>
  <c r="E102" i="9"/>
  <c r="T23" i="9" s="1" a="1"/>
  <c r="T23" i="9" s="1"/>
  <c r="H98" i="9"/>
  <c r="W19" i="9" s="1" a="1"/>
  <c r="W19" i="9" s="1"/>
  <c r="C88" i="9"/>
  <c r="R9" i="9" s="1" a="1"/>
  <c r="R9" i="9" s="1"/>
  <c r="W25" i="9" a="1"/>
  <c r="W25" i="9" s="1"/>
  <c r="I52" i="9" a="1"/>
  <c r="I52" i="9" s="1"/>
  <c r="K52" i="9" s="1"/>
  <c r="M52" i="9" s="1"/>
  <c r="J89" i="9"/>
  <c r="Y10" i="9" s="1" a="1"/>
  <c r="Y10" i="9" s="1"/>
  <c r="I58" i="9" a="1"/>
  <c r="I58" i="9" s="1"/>
  <c r="F99" i="9"/>
  <c r="U20" i="9" s="1" a="1"/>
  <c r="U20" i="9" s="1"/>
  <c r="J96" i="9"/>
  <c r="Y17" i="9" s="1" a="1"/>
  <c r="Y17" i="9" s="1"/>
  <c r="L69" i="9"/>
  <c r="Z11" i="9" a="1"/>
  <c r="Z11" i="9" s="1"/>
  <c r="U29" i="9" a="1"/>
  <c r="U29" i="9" s="1"/>
  <c r="S29" i="9" a="1"/>
  <c r="S29" i="9" s="1"/>
  <c r="I88" i="9"/>
  <c r="X9" i="9" s="1" a="1"/>
  <c r="X9" i="9" s="1"/>
  <c r="Z13" i="9" a="1"/>
  <c r="Z13" i="9" s="1"/>
  <c r="G98" i="9"/>
  <c r="V19" i="9" s="1" a="1"/>
  <c r="V19" i="9" s="1"/>
  <c r="Z7" i="9" a="1"/>
  <c r="Z7" i="9" s="1"/>
  <c r="Z12" i="9" a="1"/>
  <c r="Z12" i="9" s="1"/>
  <c r="J52" i="9" a="1"/>
  <c r="J52" i="9" s="1"/>
  <c r="H86" i="9"/>
  <c r="H89" i="9"/>
  <c r="W10" i="9" s="1" a="1"/>
  <c r="W10" i="9" s="1"/>
  <c r="H72" i="9" a="1"/>
  <c r="H72" i="9" s="1"/>
  <c r="D93" i="9"/>
  <c r="S14" i="9" s="1" a="1"/>
  <c r="S14" i="9" s="1"/>
  <c r="H87" i="9"/>
  <c r="W8" i="9" s="1" a="1"/>
  <c r="W8" i="9" s="1"/>
  <c r="B8" i="9"/>
  <c r="C8" i="9" s="1"/>
  <c r="Z8" i="9" a="1"/>
  <c r="Z8" i="9" s="1"/>
  <c r="G66" i="9" a="1"/>
  <c r="G66" i="9" s="1"/>
  <c r="E92" i="9"/>
  <c r="T13" i="9" s="1" a="1"/>
  <c r="T13" i="9" s="1"/>
  <c r="L90" i="9"/>
  <c r="H70" i="9" a="1"/>
  <c r="H70" i="9" s="1"/>
  <c r="I60" i="9" a="1"/>
  <c r="I60" i="9" s="1"/>
  <c r="G97" i="9"/>
  <c r="V18" i="9" s="1" a="1"/>
  <c r="V18" i="9" s="1"/>
  <c r="H93" i="9"/>
  <c r="W14" i="9" s="1" a="1"/>
  <c r="W14" i="9" s="1"/>
  <c r="L88" i="9"/>
  <c r="F96" i="9"/>
  <c r="U17" i="9" s="1" a="1"/>
  <c r="U17" i="9" s="1"/>
  <c r="G71" i="9" a="1"/>
  <c r="G71" i="9" s="1"/>
  <c r="J61" i="9" a="1"/>
  <c r="J61" i="9" s="1"/>
  <c r="I50" i="9" a="1"/>
  <c r="I50" i="9" s="1"/>
  <c r="F91" i="9"/>
  <c r="U12" i="9" s="1" a="1"/>
  <c r="U12" i="9" s="1"/>
  <c r="G99" i="9"/>
  <c r="V20" i="9" s="1" a="1"/>
  <c r="V20" i="9" s="1"/>
  <c r="Z9" i="9" a="1"/>
  <c r="Z9" i="9" s="1"/>
  <c r="D94" i="9"/>
  <c r="S15" i="9" s="1" a="1"/>
  <c r="S15" i="9" s="1"/>
  <c r="G95" i="9"/>
  <c r="H94" i="9"/>
  <c r="W15" i="9" s="1" a="1"/>
  <c r="W15" i="9" s="1"/>
  <c r="I70" i="9" a="1"/>
  <c r="I70" i="9" s="1"/>
  <c r="L73" i="9"/>
  <c r="F88" i="9"/>
  <c r="U9" i="9" s="1" a="1"/>
  <c r="U9" i="9" s="1"/>
  <c r="G86" i="9"/>
  <c r="V7" i="9" s="1" a="1"/>
  <c r="V7" i="9" s="1"/>
  <c r="F89" i="9"/>
  <c r="U10" i="9" s="1" a="1"/>
  <c r="U10" i="9" s="1"/>
  <c r="I101" i="9"/>
  <c r="X22" i="9" s="1" a="1"/>
  <c r="X22" i="9" s="1"/>
  <c r="L51" i="9"/>
  <c r="I72" i="9" a="1"/>
  <c r="I72" i="9" s="1"/>
  <c r="F97" i="9"/>
  <c r="U18" i="9" s="1" a="1"/>
  <c r="U18" i="9" s="1"/>
  <c r="G61" i="9" a="1"/>
  <c r="G61" i="9" s="1"/>
  <c r="I97" i="9"/>
  <c r="X18" i="9" s="1" a="1"/>
  <c r="X18" i="9" s="1"/>
  <c r="F90" i="9"/>
  <c r="U11" i="9" s="1" a="1"/>
  <c r="U11" i="9" s="1"/>
  <c r="B15" i="9"/>
  <c r="E15" i="9" s="1"/>
  <c r="H61" i="9" a="1"/>
  <c r="H61" i="9" s="1"/>
  <c r="L56" i="9"/>
  <c r="Z17" i="9" a="1"/>
  <c r="Z17" i="9" s="1"/>
  <c r="B4" i="9"/>
  <c r="E4" i="9" s="1"/>
  <c r="G64" i="9" a="1"/>
  <c r="G64" i="9" s="1"/>
  <c r="E87" i="9"/>
  <c r="T8" i="9" s="1" a="1"/>
  <c r="T8" i="9" s="1"/>
  <c r="C99" i="9"/>
  <c r="R20" i="9" s="1" a="1"/>
  <c r="R20" i="9" s="1"/>
  <c r="L98" i="9"/>
  <c r="B7" i="9"/>
  <c r="C7" i="9" s="1"/>
  <c r="J99" i="9"/>
  <c r="Y20" i="9" s="1" a="1"/>
  <c r="Y20" i="9" s="1"/>
  <c r="Y27" i="9" a="1"/>
  <c r="Y27" i="9" s="1"/>
  <c r="L61" i="9"/>
  <c r="J58" i="9" a="1"/>
  <c r="J58" i="9" s="1"/>
  <c r="Z26" i="9" a="1"/>
  <c r="Z26" i="9" s="1"/>
  <c r="Z29" i="9" a="1"/>
  <c r="Z29" i="9" s="1"/>
  <c r="B18" i="9"/>
  <c r="C100" i="9"/>
  <c r="R21" i="9" s="1" a="1"/>
  <c r="R21" i="9" s="1"/>
  <c r="F87" i="9"/>
  <c r="U8" i="9" s="1" a="1"/>
  <c r="U8" i="9" s="1"/>
  <c r="I61" i="9" a="1"/>
  <c r="I61" i="9" s="1"/>
  <c r="J92" i="9"/>
  <c r="Y13" i="9" s="1" a="1"/>
  <c r="Y13" i="9" s="1"/>
  <c r="I65" i="9" a="1"/>
  <c r="I65" i="9" s="1"/>
  <c r="D101" i="9"/>
  <c r="S22" i="9" s="1" a="1"/>
  <c r="S22" i="9" s="1"/>
  <c r="X26" i="9" a="1"/>
  <c r="X26" i="9" s="1"/>
  <c r="J54" i="9" a="1"/>
  <c r="J54" i="9" s="1"/>
  <c r="F85" i="9"/>
  <c r="U6" i="9" s="1" a="1"/>
  <c r="U6" i="9" s="1"/>
  <c r="L95" i="9"/>
  <c r="AC16" i="9" s="1"/>
  <c r="B13" i="20" s="1"/>
  <c r="J97" i="9"/>
  <c r="Y18" i="9" s="1" a="1"/>
  <c r="Y18" i="9" s="1"/>
  <c r="I66" i="9" a="1"/>
  <c r="I66" i="9" s="1"/>
  <c r="B11" i="9"/>
  <c r="E11" i="9" s="1"/>
  <c r="H69" i="9" a="1"/>
  <c r="H69" i="9" s="1"/>
  <c r="J70" i="9" a="1"/>
  <c r="J70" i="9" s="1"/>
  <c r="Z25" i="9" a="1"/>
  <c r="Z25" i="9" s="1"/>
  <c r="I68" i="9" a="1"/>
  <c r="I68" i="9" s="1"/>
  <c r="I53" i="9" a="1"/>
  <c r="I53" i="9" s="1"/>
  <c r="J88" i="9"/>
  <c r="Y9" i="9" s="1" a="1"/>
  <c r="Y9" i="9" s="1"/>
  <c r="X28" i="9" a="1"/>
  <c r="X28" i="9" s="1"/>
  <c r="J91" i="9"/>
  <c r="Y12" i="9" s="1" a="1"/>
  <c r="Y12" i="9" s="1"/>
  <c r="D90" i="9"/>
  <c r="S11" i="9" s="1" a="1"/>
  <c r="S11" i="9" s="1"/>
  <c r="S27" i="9" a="1"/>
  <c r="S27" i="9" s="1"/>
  <c r="C104" i="9"/>
  <c r="R25" i="9" s="1" a="1"/>
  <c r="R25" i="9" s="1"/>
  <c r="B17" i="9"/>
  <c r="E17" i="9" s="1"/>
  <c r="Z16" i="9" a="1"/>
  <c r="Z16" i="9" s="1"/>
  <c r="W29" i="9" a="1"/>
  <c r="W29" i="9" s="1"/>
  <c r="B49" i="9"/>
  <c r="F49" i="9" s="1" a="1"/>
  <c r="F49" i="9" s="1"/>
  <c r="G93" i="9"/>
  <c r="V14" i="9" s="1" a="1"/>
  <c r="V14" i="9" s="1"/>
  <c r="H91" i="9"/>
  <c r="W12" i="9" s="1" a="1"/>
  <c r="W12" i="9" s="1"/>
  <c r="J98" i="9"/>
  <c r="Y19" i="9" s="1" a="1"/>
  <c r="Y19" i="9" s="1"/>
  <c r="F86" i="9"/>
  <c r="U7" i="9" s="1" a="1"/>
  <c r="U7" i="9" s="1"/>
  <c r="L85" i="9"/>
  <c r="J85" i="9"/>
  <c r="Y6" i="9" s="1" a="1"/>
  <c r="Y6" i="9" s="1"/>
  <c r="H101" i="9"/>
  <c r="W22" i="9" s="1" a="1"/>
  <c r="W22" i="9" s="1"/>
  <c r="G65" i="9" a="1"/>
  <c r="G65" i="9" s="1"/>
  <c r="Z19" i="9" a="1"/>
  <c r="Z19" i="9" s="1"/>
  <c r="G91" i="9"/>
  <c r="J62" i="9" a="1"/>
  <c r="J62" i="9" s="1"/>
  <c r="E91" i="9"/>
  <c r="T12" i="9" s="1" a="1"/>
  <c r="T12" i="9" s="1"/>
  <c r="I87" i="9"/>
  <c r="X8" i="9" s="1" a="1"/>
  <c r="X8" i="9" s="1"/>
  <c r="C95" i="9"/>
  <c r="R16" i="9" s="1" a="1"/>
  <c r="R16" i="9" s="1"/>
  <c r="D87" i="9"/>
  <c r="S8" i="9" s="1" a="1"/>
  <c r="S8" i="9" s="1"/>
  <c r="J71" i="9" a="1"/>
  <c r="J71" i="9" s="1"/>
  <c r="H95" i="9"/>
  <c r="G101" i="9"/>
  <c r="V22" i="9" s="1" a="1"/>
  <c r="V22" i="9" s="1"/>
  <c r="I98" i="9"/>
  <c r="X19" i="9" s="1" a="1"/>
  <c r="X19" i="9" s="1"/>
  <c r="L99" i="9"/>
  <c r="AC20" i="9" s="1"/>
  <c r="B17" i="20" s="1"/>
  <c r="L72" i="9"/>
  <c r="H56" i="9" a="1"/>
  <c r="H56" i="9" s="1"/>
  <c r="L66" i="9"/>
  <c r="J94" i="9"/>
  <c r="Y15" i="9" s="1" a="1"/>
  <c r="Y15" i="9" s="1"/>
  <c r="Z6" i="9" a="1"/>
  <c r="Z6" i="9" s="1"/>
  <c r="C97" i="9"/>
  <c r="R18" i="9" s="1" a="1"/>
  <c r="R18" i="9" s="1"/>
  <c r="G53" i="9" a="1"/>
  <c r="G53" i="9" s="1"/>
  <c r="Y25" i="9" a="1"/>
  <c r="Y25" i="9" s="1"/>
  <c r="W28" i="9" a="1"/>
  <c r="W28" i="9" s="1"/>
  <c r="J57" i="9" a="1"/>
  <c r="J57" i="9" s="1"/>
  <c r="J60" i="9" a="1"/>
  <c r="J60" i="9" s="1"/>
  <c r="L57" i="9"/>
  <c r="H66" i="9" a="1"/>
  <c r="H66" i="9" s="1"/>
  <c r="G90" i="9"/>
  <c r="Z28" i="9" a="1"/>
  <c r="Z28" i="9" s="1"/>
  <c r="G73" i="9" a="1"/>
  <c r="G73" i="9" s="1"/>
  <c r="D97" i="9"/>
  <c r="S18" i="9" s="1" a="1"/>
  <c r="S18" i="9" s="1"/>
  <c r="D96" i="9"/>
  <c r="S17" i="9" s="1" a="1"/>
  <c r="S17" i="9" s="1"/>
  <c r="E93" i="9"/>
  <c r="T14" i="9" s="1" a="1"/>
  <c r="T14" i="9" s="1"/>
  <c r="S26" i="9" a="1"/>
  <c r="S26" i="9" s="1"/>
  <c r="S28" i="9" a="1"/>
  <c r="S28" i="9" s="1"/>
  <c r="T29" i="9" a="1"/>
  <c r="T29" i="9" s="1"/>
  <c r="H57" i="9" a="1"/>
  <c r="H57" i="9" s="1"/>
  <c r="J86" i="9"/>
  <c r="Y7" i="9" s="1" a="1"/>
  <c r="Y7" i="9" s="1"/>
  <c r="G58" i="9" a="1"/>
  <c r="G58" i="9" s="1"/>
  <c r="Z20" i="9" a="1"/>
  <c r="Z20" i="9" s="1"/>
  <c r="T26" i="9" a="1"/>
  <c r="T26" i="9" s="1"/>
  <c r="I100" i="9"/>
  <c r="X21" i="9" s="1" a="1"/>
  <c r="X21" i="9" s="1"/>
  <c r="H97" i="9"/>
  <c r="W18" i="9" s="1" a="1"/>
  <c r="W18" i="9" s="1"/>
  <c r="J56" i="9" a="1"/>
  <c r="J56" i="9" s="1"/>
  <c r="X25" i="9" a="1"/>
  <c r="X25" i="9" s="1"/>
  <c r="D91" i="9"/>
  <c r="S12" i="9" s="1" a="1"/>
  <c r="S12" i="9" s="1"/>
  <c r="H88" i="9"/>
  <c r="W9" i="9" s="1" a="1"/>
  <c r="W9" i="9" s="1"/>
  <c r="G100" i="9"/>
  <c r="V21" i="9" s="1" a="1"/>
  <c r="V21" i="9" s="1"/>
  <c r="C85" i="9"/>
  <c r="R6" i="9" s="1" a="1"/>
  <c r="R6" i="9" s="1"/>
  <c r="H96" i="9"/>
  <c r="W17" i="9" s="1" a="1"/>
  <c r="W17" i="9" s="1"/>
  <c r="L70" i="9"/>
  <c r="H64" i="9" a="1"/>
  <c r="H64" i="9" s="1"/>
  <c r="D99" i="9"/>
  <c r="S20" i="9" s="1" a="1"/>
  <c r="S20" i="9" s="1"/>
  <c r="J69" i="9" a="1"/>
  <c r="J69" i="9" s="1"/>
  <c r="F93" i="9"/>
  <c r="U14" i="9" s="1" a="1"/>
  <c r="U14" i="9" s="1"/>
  <c r="Z23" i="9" a="1"/>
  <c r="Z23" i="9" s="1"/>
  <c r="X29" i="9" a="1"/>
  <c r="X29" i="9" s="1"/>
  <c r="V26" i="9" a="1"/>
  <c r="V26" i="9" s="1"/>
  <c r="R29" i="9" a="1"/>
  <c r="R29" i="9" s="1"/>
  <c r="J65" i="9" a="1"/>
  <c r="J65" i="9" s="1"/>
  <c r="H99" i="9"/>
  <c r="W20" i="9" s="1" a="1"/>
  <c r="W20" i="9" s="1"/>
  <c r="U26" i="9" a="1"/>
  <c r="U26" i="9" s="1"/>
  <c r="I54" i="9" a="1"/>
  <c r="I54" i="9" s="1"/>
  <c r="L87" i="9"/>
  <c r="G57" i="9" a="1"/>
  <c r="G57" i="9" s="1"/>
  <c r="J73" i="9" a="1"/>
  <c r="J73" i="9" s="1"/>
  <c r="T25" i="9" a="1"/>
  <c r="T25" i="9" s="1"/>
  <c r="I93" i="9"/>
  <c r="X14" i="9" s="1" a="1"/>
  <c r="X14" i="9" s="1"/>
  <c r="G92" i="9"/>
  <c r="V13" i="9" s="1" a="1"/>
  <c r="V13" i="9" s="1"/>
  <c r="G50" i="9" a="1"/>
  <c r="G50" i="9" s="1"/>
  <c r="G103" i="9"/>
  <c r="V24" i="9" s="1" a="1"/>
  <c r="V24" i="9" s="1"/>
  <c r="C87" i="9"/>
  <c r="R8" i="9" s="1" a="1"/>
  <c r="R8" i="9" s="1"/>
  <c r="D88" i="9"/>
  <c r="S9" i="9" s="1" a="1"/>
  <c r="S9" i="9" s="1"/>
  <c r="H92" i="9"/>
  <c r="W13" i="9" s="1" a="1"/>
  <c r="W13" i="9" s="1"/>
  <c r="I73" i="9" a="1"/>
  <c r="I73" i="9" s="1"/>
  <c r="H55" i="9" a="1"/>
  <c r="H55" i="9" s="1"/>
  <c r="B10" i="9"/>
  <c r="E10" i="9" s="1"/>
  <c r="I62" i="9" a="1"/>
  <c r="I62" i="9" s="1"/>
  <c r="I91" i="9"/>
  <c r="X12" i="9" s="1" a="1"/>
  <c r="X12" i="9" s="1"/>
  <c r="T27" i="9" a="1"/>
  <c r="T27" i="9" s="1"/>
  <c r="I96" i="9"/>
  <c r="X17" i="9" s="1" a="1"/>
  <c r="X17" i="9" s="1"/>
  <c r="C103" i="9"/>
  <c r="R24" i="9" s="1" a="1"/>
  <c r="R24" i="9" s="1"/>
  <c r="V29" i="9" a="1"/>
  <c r="V29" i="9" s="1"/>
  <c r="G88" i="9"/>
  <c r="V9" i="9" s="1" a="1"/>
  <c r="V9" i="9" s="1"/>
  <c r="L68" i="9"/>
  <c r="D98" i="9"/>
  <c r="S19" i="9" s="1" a="1"/>
  <c r="S19" i="9" s="1"/>
  <c r="C98" i="9"/>
  <c r="R19" i="9" s="1" a="1"/>
  <c r="R19" i="9" s="1"/>
  <c r="E101" i="9"/>
  <c r="T22" i="9" s="1" a="1"/>
  <c r="T22" i="9" s="1"/>
  <c r="I55" i="9" a="1"/>
  <c r="I55" i="9" s="1"/>
  <c r="S25" i="9" a="1"/>
  <c r="S25" i="9" s="1"/>
  <c r="C90" i="9"/>
  <c r="R11" i="9" s="1" a="1"/>
  <c r="R11" i="9" s="1"/>
  <c r="G102" i="9"/>
  <c r="D85" i="9"/>
  <c r="S6" i="9" s="1" a="1"/>
  <c r="S6" i="9" s="1"/>
  <c r="C96" i="9"/>
  <c r="R17" i="9" s="1" a="1"/>
  <c r="R17" i="9" s="1"/>
  <c r="B12" i="9"/>
  <c r="E12" i="9" s="1"/>
  <c r="D95" i="9"/>
  <c r="S16" i="9" s="1" a="1"/>
  <c r="S16" i="9" s="1"/>
  <c r="G63" i="9" a="1"/>
  <c r="G63" i="9" s="1"/>
  <c r="K63" i="9" s="1"/>
  <c r="M63" i="9" s="1"/>
  <c r="E90" i="9"/>
  <c r="T11" i="9" s="1" a="1"/>
  <c r="T11" i="9" s="1"/>
  <c r="E89" i="9"/>
  <c r="T10" i="9" s="1" a="1"/>
  <c r="T10" i="9" s="1"/>
  <c r="I64" i="9" a="1"/>
  <c r="I64" i="9" s="1"/>
  <c r="L65" i="9"/>
  <c r="I99" i="9"/>
  <c r="X20" i="9" s="1" a="1"/>
  <c r="X20" i="9" s="1"/>
  <c r="J59" i="9" a="1"/>
  <c r="J59" i="9" s="1"/>
  <c r="C93" i="9"/>
  <c r="R14" i="9" s="1" a="1"/>
  <c r="R14" i="9" s="1"/>
  <c r="B9" i="9"/>
  <c r="C9" i="9" s="1"/>
  <c r="R26" i="9" a="1"/>
  <c r="R26" i="9" s="1"/>
  <c r="F102" i="9"/>
  <c r="U23" i="9" s="1" a="1"/>
  <c r="U23" i="9" s="1"/>
  <c r="L86" i="9"/>
  <c r="AC7" i="9" s="1"/>
  <c r="B4" i="20" s="1"/>
  <c r="G85" i="9"/>
  <c r="V6" i="9" s="1" a="1"/>
  <c r="V6" i="9" s="1"/>
  <c r="G68" i="9" a="1"/>
  <c r="G68" i="9" s="1"/>
  <c r="H71" i="9" a="1"/>
  <c r="H71" i="9" s="1"/>
  <c r="A15" i="21"/>
  <c r="B15" i="21" s="1"/>
  <c r="A11" i="21"/>
  <c r="B11" i="21" s="1"/>
  <c r="B2" i="9"/>
  <c r="E2" i="9" s="1"/>
  <c r="C15" i="9"/>
  <c r="E5" i="9"/>
  <c r="A6" i="20"/>
  <c r="A20" i="21"/>
  <c r="B20" i="21" s="1"/>
  <c r="E14" i="9"/>
  <c r="J84" i="9"/>
  <c r="Y5" i="9" s="1" a="1"/>
  <c r="Y5" i="9" s="1"/>
  <c r="E3" i="9"/>
  <c r="A9" i="21"/>
  <c r="B9" i="21" s="1"/>
  <c r="A21" i="21"/>
  <c r="B21" i="21" s="1"/>
  <c r="A15" i="20"/>
  <c r="A13" i="20"/>
  <c r="A4" i="20"/>
  <c r="A6" i="21"/>
  <c r="B6" i="21" s="1"/>
  <c r="AC19" i="9"/>
  <c r="B16" i="20" s="1"/>
  <c r="AC25" i="9"/>
  <c r="B22" i="20" s="1"/>
  <c r="H97" i="1"/>
  <c r="H138" i="1"/>
  <c r="H192" i="1"/>
  <c r="H194" i="1"/>
  <c r="H60" i="2"/>
  <c r="I60" i="2" s="1"/>
  <c r="D60" i="2" s="1"/>
  <c r="G52" i="2"/>
  <c r="H158" i="1" s="1"/>
  <c r="G66" i="2"/>
  <c r="H198" i="1" s="1"/>
  <c r="G72" i="2"/>
  <c r="H209" i="1" s="1"/>
  <c r="H140" i="1"/>
  <c r="G22" i="2"/>
  <c r="H106" i="1" s="1"/>
  <c r="G30" i="2"/>
  <c r="H127" i="1" s="1"/>
  <c r="G70" i="2"/>
  <c r="G40" i="2"/>
  <c r="H142" i="1" s="1"/>
  <c r="G80" i="2"/>
  <c r="H222" i="1" s="1"/>
  <c r="G43" i="2"/>
  <c r="H145" i="1" s="1"/>
  <c r="G5" i="2"/>
  <c r="H98" i="1" s="1"/>
  <c r="G45" i="2"/>
  <c r="H154" i="1" s="1"/>
  <c r="G68" i="2"/>
  <c r="H200" i="1" s="1"/>
  <c r="H226" i="1"/>
  <c r="H57" i="2"/>
  <c r="I57" i="2" s="1"/>
  <c r="D57" i="2" s="1"/>
  <c r="G10" i="2"/>
  <c r="H90" i="1" s="1"/>
  <c r="G54" i="2"/>
  <c r="H165" i="1" s="1"/>
  <c r="G20" i="2"/>
  <c r="H104" i="1" s="1"/>
  <c r="G14" i="2"/>
  <c r="H172" i="1"/>
  <c r="H155" i="1"/>
  <c r="H161" i="1"/>
  <c r="G63" i="2"/>
  <c r="H185" i="1" s="1"/>
  <c r="G53" i="2"/>
  <c r="H162" i="1" s="1"/>
  <c r="H159" i="1"/>
  <c r="G67" i="2"/>
  <c r="H199" i="1" s="1"/>
  <c r="H30" i="2"/>
  <c r="I30" i="2" s="1"/>
  <c r="D30" i="2" s="1"/>
  <c r="G38" i="2"/>
  <c r="H164" i="1" s="1"/>
  <c r="H99" i="1"/>
  <c r="G25" i="2"/>
  <c r="H111" i="1" s="1"/>
  <c r="G41" i="2"/>
  <c r="H160" i="1" s="1"/>
  <c r="G78" i="2"/>
  <c r="H219" i="1" s="1"/>
  <c r="G58" i="2"/>
  <c r="H197" i="1" s="1"/>
  <c r="G77" i="2"/>
  <c r="H218" i="1" s="1"/>
  <c r="H94" i="1"/>
  <c r="G31" i="2"/>
  <c r="G6" i="2"/>
  <c r="G71" i="2"/>
  <c r="H208" i="1" s="1"/>
  <c r="G26" i="2"/>
  <c r="G28" i="2"/>
  <c r="G75" i="2"/>
  <c r="H212" i="1" s="1"/>
  <c r="G79" i="2"/>
  <c r="H221" i="1" s="1"/>
  <c r="H45" i="2"/>
  <c r="I45" i="2" s="1"/>
  <c r="D45" i="2" s="1"/>
  <c r="W27" i="9" a="1"/>
  <c r="W27" i="9" s="1"/>
  <c r="AB27" i="9" s="1"/>
  <c r="H137" i="1"/>
  <c r="H100" i="1"/>
  <c r="H152" i="1"/>
  <c r="H96" i="1"/>
  <c r="H179" i="1"/>
  <c r="H182" i="1"/>
  <c r="H204" i="1"/>
  <c r="H173" i="1"/>
  <c r="H114" i="1"/>
  <c r="H115" i="1"/>
  <c r="H205" i="1"/>
  <c r="H206" i="1"/>
  <c r="H122" i="1"/>
  <c r="H118" i="1"/>
  <c r="H167" i="1"/>
  <c r="H92" i="1"/>
  <c r="G35" i="2"/>
  <c r="G9" i="2"/>
  <c r="H89" i="1" s="1"/>
  <c r="G44" i="2"/>
  <c r="H68" i="2"/>
  <c r="I68" i="2" s="1"/>
  <c r="D68" i="2" s="1"/>
  <c r="H107" i="1"/>
  <c r="G4" i="2"/>
  <c r="H176" i="1"/>
  <c r="H77" i="2"/>
  <c r="I77" i="2" s="1"/>
  <c r="D77" i="2" s="1"/>
  <c r="H148" i="1"/>
  <c r="H112" i="1"/>
  <c r="G76" i="2"/>
  <c r="H213" i="1" s="1"/>
  <c r="H108" i="1"/>
  <c r="H207" i="1"/>
  <c r="H126" i="1"/>
  <c r="H105" i="1"/>
  <c r="H217" i="1"/>
  <c r="H121" i="1"/>
  <c r="A5" i="20"/>
  <c r="A4" i="21"/>
  <c r="B4" i="21" s="1"/>
  <c r="A25" i="20"/>
  <c r="AC13" i="9"/>
  <c r="B10" i="20" s="1"/>
  <c r="A24" i="20"/>
  <c r="A12" i="21"/>
  <c r="B12" i="21" s="1"/>
  <c r="A11" i="20"/>
  <c r="AC27" i="9"/>
  <c r="B24" i="20" s="1"/>
  <c r="A20" i="20"/>
  <c r="G55" i="9" a="1"/>
  <c r="G55" i="9" s="1"/>
  <c r="AC11" i="9"/>
  <c r="B8" i="20" s="1"/>
  <c r="V11" i="9" a="1"/>
  <c r="V11" i="9" s="1"/>
  <c r="A3" i="21"/>
  <c r="B3" i="21" s="1"/>
  <c r="A5" i="21"/>
  <c r="B5" i="21" s="1"/>
  <c r="AC24" i="9"/>
  <c r="B21" i="20" s="1"/>
  <c r="C17" i="9"/>
  <c r="AC17" i="9"/>
  <c r="B14" i="20" s="1"/>
  <c r="AC23" i="9"/>
  <c r="B20" i="20" s="1"/>
  <c r="A16" i="21"/>
  <c r="B16" i="21" s="1"/>
  <c r="AC29" i="9"/>
  <c r="B26" i="20" s="1"/>
  <c r="AC6" i="9"/>
  <c r="B3" i="20" s="1"/>
  <c r="A26" i="20"/>
  <c r="A17" i="20"/>
  <c r="K95" i="9"/>
  <c r="A22" i="20"/>
  <c r="A9" i="20"/>
  <c r="A21" i="20"/>
  <c r="D84" i="9"/>
  <c r="S5" i="9" s="1" a="1"/>
  <c r="S5" i="9" s="1"/>
  <c r="G59" i="9" a="1"/>
  <c r="G59" i="9" s="1"/>
  <c r="A8" i="21"/>
  <c r="B8" i="21" s="1"/>
  <c r="A10" i="21"/>
  <c r="B10" i="21" s="1"/>
  <c r="A8" i="20"/>
  <c r="A10" i="20"/>
  <c r="AC22" i="9"/>
  <c r="B19" i="20" s="1"/>
  <c r="AC21" i="9"/>
  <c r="B18" i="20" s="1"/>
  <c r="A3" i="20"/>
  <c r="A7" i="20"/>
  <c r="E9" i="9"/>
  <c r="A18" i="21"/>
  <c r="B18" i="21" s="1"/>
  <c r="A14" i="20"/>
  <c r="AC12" i="9"/>
  <c r="B9" i="20" s="1"/>
  <c r="J49" i="9" a="1"/>
  <c r="J49" i="9" s="1"/>
  <c r="A22" i="21"/>
  <c r="B22" i="21" s="1"/>
  <c r="G56" i="9" a="1"/>
  <c r="G56" i="9" s="1"/>
  <c r="AC9" i="9"/>
  <c r="B6" i="20" s="1"/>
  <c r="G84" i="9"/>
  <c r="A12" i="20"/>
  <c r="A7" i="21"/>
  <c r="B7" i="21" s="1"/>
  <c r="A16" i="20"/>
  <c r="AC14" i="9"/>
  <c r="B11" i="20" s="1"/>
  <c r="AC10" i="9"/>
  <c r="B7" i="20" s="1"/>
  <c r="E84" i="9"/>
  <c r="T5" i="9" s="1" a="1"/>
  <c r="T5" i="9" s="1"/>
  <c r="AC28" i="9"/>
  <c r="B25" i="20" s="1"/>
  <c r="A19" i="21"/>
  <c r="B19" i="21" s="1"/>
  <c r="A13" i="21"/>
  <c r="B13" i="21" s="1"/>
  <c r="C11" i="9"/>
  <c r="Q5" i="9"/>
  <c r="A2" i="21" s="1"/>
  <c r="B2" i="21" s="1"/>
  <c r="A17" i="21"/>
  <c r="B17" i="21" s="1"/>
  <c r="A18" i="20"/>
  <c r="A19" i="20"/>
  <c r="A23" i="20"/>
  <c r="AC26" i="9"/>
  <c r="B23" i="20" s="1"/>
  <c r="AC8" i="9"/>
  <c r="B5" i="20" s="1"/>
  <c r="H65" i="9" a="1"/>
  <c r="H65" i="9" s="1"/>
  <c r="C6" i="9"/>
  <c r="E7" i="9" a="1"/>
  <c r="E7" i="9" s="1"/>
  <c r="AD35" i="9"/>
  <c r="K102" i="9"/>
  <c r="M102" i="9" s="1"/>
  <c r="K90" i="9"/>
  <c r="M90" i="9" s="1"/>
  <c r="G70" i="9" a="1"/>
  <c r="G70" i="9" s="1"/>
  <c r="V10" i="9" a="1"/>
  <c r="V10" i="9" s="1"/>
  <c r="E13" i="9"/>
  <c r="I84" i="9"/>
  <c r="X5" i="9" s="1" a="1"/>
  <c r="X5" i="9" s="1"/>
  <c r="F84" i="9"/>
  <c r="U5" i="9" s="1" a="1"/>
  <c r="U5" i="9" s="1"/>
  <c r="H84" i="9"/>
  <c r="W5" i="9" s="1" a="1"/>
  <c r="W5" i="9" s="1"/>
  <c r="K91" i="9"/>
  <c r="M91" i="9" s="1"/>
  <c r="L49" i="9"/>
  <c r="C14" i="19" a="1"/>
  <c r="C14" i="19" s="1"/>
  <c r="K76" i="9"/>
  <c r="M76" i="9" s="1"/>
  <c r="G51" i="9" a="1"/>
  <c r="G51" i="9" s="1"/>
  <c r="K78" i="9"/>
  <c r="M78" i="9" s="1"/>
  <c r="H60" i="9" a="1"/>
  <c r="H60" i="9" s="1"/>
  <c r="W24" i="9" a="1"/>
  <c r="W24" i="9" s="1"/>
  <c r="G49" i="9" a="1"/>
  <c r="G49" i="9" s="1"/>
  <c r="G60" i="9" a="1"/>
  <c r="G60" i="9" s="1"/>
  <c r="V16" i="9" a="1"/>
  <c r="V16" i="9" s="1"/>
  <c r="V17" i="9" a="1"/>
  <c r="V17" i="9" s="1"/>
  <c r="AD31" i="9"/>
  <c r="C28" i="20" s="1"/>
  <c r="Z24" i="9" a="1"/>
  <c r="Z24" i="9" s="1"/>
  <c r="C2" i="9"/>
  <c r="D10" i="19" a="1"/>
  <c r="D10" i="19" s="1"/>
  <c r="E49" i="9" a="1"/>
  <c r="E49" i="9" s="1"/>
  <c r="D49" i="9" a="1"/>
  <c r="D49" i="9" s="1"/>
  <c r="K75" i="9"/>
  <c r="M75" i="9" s="1"/>
  <c r="I49" i="9" a="1"/>
  <c r="I49" i="9" s="1"/>
  <c r="K93" i="9"/>
  <c r="M93" i="9" s="1"/>
  <c r="K89" i="9"/>
  <c r="M89" i="9" s="1"/>
  <c r="H68" i="9" a="1"/>
  <c r="H68" i="9" s="1"/>
  <c r="K77" i="9"/>
  <c r="M77" i="9" s="1"/>
  <c r="AD32" i="9"/>
  <c r="AD30" i="9"/>
  <c r="C27" i="20" s="1"/>
  <c r="G67" i="9" a="1"/>
  <c r="G67" i="9" s="1"/>
  <c r="V23" i="9" a="1"/>
  <c r="V23" i="9" s="1"/>
  <c r="H50" i="9" a="1"/>
  <c r="H50" i="9" s="1"/>
  <c r="J227" i="1" a="1"/>
  <c r="J227" i="1" s="1"/>
  <c r="K227" i="1"/>
  <c r="D8" i="19" a="1"/>
  <c r="D8" i="19" s="1"/>
  <c r="G69" i="9" a="1"/>
  <c r="G69" i="9" s="1"/>
  <c r="V25" i="9" a="1"/>
  <c r="V25" i="9" s="1"/>
  <c r="W7" i="9" a="1"/>
  <c r="W7" i="9" s="1"/>
  <c r="H51" i="9" a="1"/>
  <c r="H51" i="9" s="1"/>
  <c r="G54" i="9" a="1"/>
  <c r="G54" i="9" s="1"/>
  <c r="AD33" i="9"/>
  <c r="AC18" i="9"/>
  <c r="B15" i="20" s="1"/>
  <c r="AC15" i="9"/>
  <c r="B12" i="20" s="1"/>
  <c r="W6" i="9" a="1"/>
  <c r="W6" i="9" s="1"/>
  <c r="I227" i="1" a="1"/>
  <c r="I227" i="1" s="1"/>
  <c r="C12" i="19" a="1"/>
  <c r="C12" i="19" s="1"/>
  <c r="C49" i="9" a="1"/>
  <c r="C49" i="9" s="1"/>
  <c r="V12" i="9" a="1"/>
  <c r="V12" i="9" s="1"/>
  <c r="K74" i="9"/>
  <c r="M74" i="9" s="1"/>
  <c r="V5" i="9" a="1"/>
  <c r="V5" i="9" s="1"/>
  <c r="W16" i="9" a="1"/>
  <c r="W16" i="9" s="1"/>
  <c r="C16" i="9"/>
  <c r="H49" i="9" a="1"/>
  <c r="H49" i="9" s="1"/>
  <c r="C84" i="9"/>
  <c r="R5" i="9" s="1" a="1"/>
  <c r="R5" i="9" s="1"/>
  <c r="L84" i="9"/>
  <c r="AD34" i="9"/>
  <c r="D2" i="2"/>
  <c r="AB29" i="9" l="1"/>
  <c r="AB28" i="9"/>
  <c r="AB23" i="9"/>
  <c r="AD23" i="9" s="1"/>
  <c r="C20" i="20" s="1"/>
  <c r="AB10" i="9"/>
  <c r="AB13" i="9"/>
  <c r="AB17" i="9"/>
  <c r="AD17" i="9" s="1"/>
  <c r="C14" i="20" s="1"/>
  <c r="AB8" i="9"/>
  <c r="AD8" i="9" s="1"/>
  <c r="C5" i="20" s="1"/>
  <c r="AB9" i="9"/>
  <c r="AD9" i="9" s="1"/>
  <c r="C6" i="20" s="1"/>
  <c r="AB21" i="9"/>
  <c r="AD21" i="9" s="1"/>
  <c r="C18" i="20" s="1"/>
  <c r="AB22" i="9"/>
  <c r="AD22" i="9" s="1"/>
  <c r="C19" i="20" s="1"/>
  <c r="AB16" i="9"/>
  <c r="AD16" i="9" s="1"/>
  <c r="C13" i="20" s="1"/>
  <c r="AB18" i="9"/>
  <c r="AD18" i="9" s="1"/>
  <c r="C15" i="20" s="1"/>
  <c r="AB12" i="9"/>
  <c r="AD12" i="9" s="1"/>
  <c r="C9" i="20" s="1"/>
  <c r="AB24" i="9"/>
  <c r="AB5" i="9"/>
  <c r="AB26" i="9"/>
  <c r="AD26" i="9" s="1"/>
  <c r="C23" i="20" s="1"/>
  <c r="AB25" i="9"/>
  <c r="AD25" i="9" s="1"/>
  <c r="C22" i="20" s="1"/>
  <c r="AB11" i="9"/>
  <c r="AD11" i="9" s="1"/>
  <c r="C8" i="20" s="1"/>
  <c r="AB14" i="9"/>
  <c r="AD14" i="9" s="1"/>
  <c r="C11" i="20" s="1"/>
  <c r="K72" i="9"/>
  <c r="M72" i="9" s="1"/>
  <c r="AB20" i="9"/>
  <c r="AD20" i="9" s="1"/>
  <c r="C17" i="20" s="1"/>
  <c r="AB19" i="9"/>
  <c r="AD19" i="9" s="1"/>
  <c r="C16" i="20" s="1"/>
  <c r="AB6" i="9"/>
  <c r="AD6" i="9" s="1"/>
  <c r="C3" i="20" s="1"/>
  <c r="AB7" i="9"/>
  <c r="AD7" i="9" s="1"/>
  <c r="C4" i="20" s="1"/>
  <c r="K87" i="9"/>
  <c r="M87" i="9" s="1"/>
  <c r="K99" i="9"/>
  <c r="M99" i="9" s="1"/>
  <c r="K101" i="9"/>
  <c r="M101" i="9" s="1"/>
  <c r="E8" i="9"/>
  <c r="C4" i="9"/>
  <c r="K88" i="9"/>
  <c r="M88" i="9" s="1"/>
  <c r="K98" i="9"/>
  <c r="M98" i="9" s="1"/>
  <c r="V15" i="9" a="1"/>
  <c r="V15" i="9" s="1"/>
  <c r="K86" i="9"/>
  <c r="M86" i="9" s="1"/>
  <c r="K92" i="9"/>
  <c r="M92" i="9" s="1"/>
  <c r="K97" i="9"/>
  <c r="M97" i="9" s="1"/>
  <c r="K96" i="9"/>
  <c r="M96" i="9" s="1"/>
  <c r="C19" i="10"/>
  <c r="F38" i="18"/>
  <c r="C14" i="8"/>
  <c r="C4" i="10" s="1"/>
  <c r="C15" i="10" s="1"/>
  <c r="C17" i="10" s="1"/>
  <c r="K66" i="9"/>
  <c r="M66" i="9" s="1"/>
  <c r="K64" i="9"/>
  <c r="M64" i="9" s="1"/>
  <c r="K69" i="9"/>
  <c r="M69" i="9" s="1"/>
  <c r="K61" i="9"/>
  <c r="M61" i="9" s="1"/>
  <c r="K71" i="9"/>
  <c r="M71" i="9" s="1"/>
  <c r="AD13" i="9"/>
  <c r="C10" i="20" s="1"/>
  <c r="K53" i="9"/>
  <c r="M53" i="9" s="1"/>
  <c r="K62" i="9"/>
  <c r="M62" i="9" s="1"/>
  <c r="K73" i="9"/>
  <c r="M73" i="9" s="1"/>
  <c r="H147" i="1"/>
  <c r="H225" i="1"/>
  <c r="H157" i="1"/>
  <c r="H216" i="1"/>
  <c r="H170" i="1"/>
  <c r="AD28" i="9"/>
  <c r="C25" i="20" s="1"/>
  <c r="K58" i="9"/>
  <c r="M58" i="9" s="1"/>
  <c r="K65" i="9"/>
  <c r="M65" i="9" s="1"/>
  <c r="AD27" i="9"/>
  <c r="C24" i="20" s="1"/>
  <c r="K68" i="9"/>
  <c r="M68" i="9" s="1"/>
  <c r="K56" i="9"/>
  <c r="M56" i="9" s="1"/>
  <c r="K54" i="9"/>
  <c r="M54" i="9" s="1"/>
  <c r="AD29" i="9"/>
  <c r="C26" i="20" s="1"/>
  <c r="AD10" i="9"/>
  <c r="C7" i="20" s="1"/>
  <c r="K57" i="9"/>
  <c r="M57" i="9" s="1"/>
  <c r="K70" i="9"/>
  <c r="M70" i="9" s="1"/>
  <c r="K50" i="9"/>
  <c r="M50" i="9" s="1"/>
  <c r="K67" i="9"/>
  <c r="M67" i="9" s="1"/>
  <c r="K59" i="9"/>
  <c r="M59" i="9" s="1"/>
  <c r="E18" i="19" a="1"/>
  <c r="E18" i="19" s="1"/>
  <c r="A2" i="20"/>
  <c r="C12" i="9"/>
  <c r="K103" i="9"/>
  <c r="M103" i="9" s="1"/>
  <c r="K100" i="9"/>
  <c r="M100" i="9" s="1"/>
  <c r="M95" i="9"/>
  <c r="D14" i="19" a="1"/>
  <c r="D14" i="19" s="1"/>
  <c r="E14" i="19" s="1"/>
  <c r="D12" i="19" a="1"/>
  <c r="D12" i="19" s="1"/>
  <c r="E12" i="19" s="1"/>
  <c r="C10" i="9"/>
  <c r="K85" i="9"/>
  <c r="M85" i="9" s="1"/>
  <c r="K55" i="9"/>
  <c r="M55" i="9" s="1"/>
  <c r="E18" i="9"/>
  <c r="C18" i="9"/>
  <c r="H174" i="1"/>
  <c r="H196" i="1"/>
  <c r="H128" i="1"/>
  <c r="H130" i="1"/>
  <c r="H171" i="1"/>
  <c r="H120" i="1"/>
  <c r="H220" i="1"/>
  <c r="H143" i="1"/>
  <c r="H84" i="1"/>
  <c r="H82" i="1"/>
  <c r="H123" i="1"/>
  <c r="H132" i="1"/>
  <c r="H180" i="1"/>
  <c r="H191" i="1"/>
  <c r="H129" i="1"/>
  <c r="H153" i="1"/>
  <c r="H163" i="1"/>
  <c r="H215" i="1"/>
  <c r="H146" i="1"/>
  <c r="H214" i="1"/>
  <c r="H134" i="1"/>
  <c r="H133" i="1"/>
  <c r="K51" i="9"/>
  <c r="M51" i="9" s="1"/>
  <c r="K60" i="9"/>
  <c r="M60" i="9" s="1"/>
  <c r="K84" i="9"/>
  <c r="M84" i="9" s="1"/>
  <c r="K49" i="9"/>
  <c r="AD24" i="9"/>
  <c r="C21" i="20" s="1"/>
  <c r="AC5" i="9"/>
  <c r="B2" i="20" s="1"/>
  <c r="AB15" i="9" l="1"/>
  <c r="AD15" i="9" s="1"/>
  <c r="C12" i="20" s="1"/>
  <c r="C21" i="9"/>
  <c r="E16" i="19"/>
  <c r="E20" i="19" a="1"/>
  <c r="E20" i="19" s="1"/>
  <c r="M49" i="9"/>
  <c r="C23" i="9"/>
  <c r="C3" i="10" s="1"/>
  <c r="C5" i="10" s="1"/>
  <c r="F21" i="10" s="1"/>
  <c r="AD5" i="9"/>
  <c r="C2" i="20" s="1"/>
  <c r="C11" i="10" l="1"/>
  <c r="C13" i="10" s="1"/>
  <c r="C21"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Khata (2).xlsx!Table4" type="102" refreshedVersion="8" minRefreshableVersion="5" refreshOnLoad="1" saveData="1">
    <extLst>
      <ext xmlns:x15="http://schemas.microsoft.com/office/spreadsheetml/2010/11/main" uri="{DE250136-89BD-433C-8126-D09CA5730AF9}">
        <x15:connection id="Table4" autoDelete="1">
          <x15:rangePr sourceName="_xlcn.WorksheetConnection_Khata2.xlsxTable4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<sst xmlns="http://schemas.openxmlformats.org/spreadsheetml/2006/main" count="2280" uniqueCount="426">
  <si>
    <t>Billing</t>
  </si>
  <si>
    <t>Billing Total</t>
  </si>
  <si>
    <t>Party Name</t>
  </si>
  <si>
    <t>Tiyaar</t>
  </si>
  <si>
    <t>Rate</t>
  </si>
  <si>
    <t>Total</t>
  </si>
  <si>
    <t>Row Labels</t>
  </si>
  <si>
    <t>Sum of Tiyaar</t>
  </si>
  <si>
    <t>Sum of Total</t>
  </si>
  <si>
    <t>Arshad</t>
  </si>
  <si>
    <t>Gaz</t>
  </si>
  <si>
    <t>Total Metres</t>
  </si>
  <si>
    <t>Total Chamki</t>
  </si>
  <si>
    <t>Total Super Silky</t>
  </si>
  <si>
    <t>Billing (Chamki/Crinkle)</t>
  </si>
  <si>
    <t>Billing (Super Chamki)</t>
  </si>
  <si>
    <t>Adjusted Bill</t>
  </si>
  <si>
    <t>Amount Paid</t>
  </si>
  <si>
    <t>Balance</t>
  </si>
  <si>
    <t>Rate (Chamki)</t>
  </si>
  <si>
    <t>Rate (Super Silky)</t>
  </si>
  <si>
    <t>BSC</t>
  </si>
  <si>
    <t>Ejaz Sahab</t>
  </si>
  <si>
    <t>Shehzad Kamoki</t>
  </si>
  <si>
    <t>Sufi Nawaz Sahab</t>
  </si>
  <si>
    <t>Sajad Khan</t>
  </si>
  <si>
    <t>Raaz Fabrics</t>
  </si>
  <si>
    <t>Hafiz Qureshi</t>
  </si>
  <si>
    <t>Grand Total</t>
  </si>
  <si>
    <t>Total:</t>
  </si>
  <si>
    <t>(Real Figure)</t>
  </si>
  <si>
    <t>Total influx</t>
  </si>
  <si>
    <t>(considering 10.5)</t>
  </si>
  <si>
    <t>Parties:</t>
  </si>
  <si>
    <t>Party Names:</t>
  </si>
  <si>
    <t>Ubaidullah</t>
  </si>
  <si>
    <t>Description</t>
  </si>
  <si>
    <t>Total Gazana/gaz</t>
  </si>
  <si>
    <t>Gazana/meters</t>
  </si>
  <si>
    <t>Total Chamki-crinkle/meters</t>
  </si>
  <si>
    <t>Total Super Silky/meters</t>
  </si>
  <si>
    <t>Total Billing</t>
  </si>
  <si>
    <t>Total Paid</t>
  </si>
  <si>
    <t>Total Balance</t>
  </si>
  <si>
    <t>Expenses</t>
  </si>
  <si>
    <t>Type</t>
  </si>
  <si>
    <t>Amount</t>
  </si>
  <si>
    <t>Wood</t>
  </si>
  <si>
    <t>Dyes/Chemical</t>
  </si>
  <si>
    <t xml:space="preserve">Finish </t>
  </si>
  <si>
    <t>Misc</t>
  </si>
  <si>
    <t>Electricity</t>
  </si>
  <si>
    <t>Salary</t>
  </si>
  <si>
    <t>Running Acc</t>
  </si>
  <si>
    <t>Transport</t>
  </si>
  <si>
    <t>Parts</t>
  </si>
  <si>
    <t>Stock (for next 15th)</t>
  </si>
  <si>
    <t>Stock</t>
  </si>
  <si>
    <t>quantity</t>
  </si>
  <si>
    <t>Column3</t>
  </si>
  <si>
    <t>mann</t>
  </si>
  <si>
    <t>Starch</t>
  </si>
  <si>
    <t>Kg</t>
  </si>
  <si>
    <t>Pva</t>
  </si>
  <si>
    <t>Dyes</t>
  </si>
  <si>
    <t>Nil</t>
  </si>
  <si>
    <t>Column1</t>
  </si>
  <si>
    <t>Column2</t>
  </si>
  <si>
    <t>Profit</t>
  </si>
  <si>
    <t>Credit</t>
  </si>
  <si>
    <t>Debit</t>
  </si>
  <si>
    <t>Exp Balance</t>
  </si>
  <si>
    <t>Cash in hand</t>
  </si>
  <si>
    <t>Difference</t>
  </si>
  <si>
    <t>My share:</t>
  </si>
  <si>
    <t>Date</t>
  </si>
  <si>
    <t>Diff</t>
  </si>
  <si>
    <t>Bill Number</t>
  </si>
  <si>
    <t>Quality</t>
  </si>
  <si>
    <t>Shipment Number</t>
  </si>
  <si>
    <t>Kora/metre</t>
  </si>
  <si>
    <t>Tiyaar/gaz</t>
  </si>
  <si>
    <t>shortage %</t>
  </si>
  <si>
    <t>tiyar/meters</t>
  </si>
  <si>
    <t>billing</t>
  </si>
  <si>
    <t>Chamki</t>
  </si>
  <si>
    <t>Crinkle</t>
  </si>
  <si>
    <t>Silky</t>
  </si>
  <si>
    <t>(All)</t>
  </si>
  <si>
    <t>Sum of Tiyaar/gaz</t>
  </si>
  <si>
    <t>Vehicle Number</t>
  </si>
  <si>
    <t>Weight</t>
  </si>
  <si>
    <t>Rent</t>
  </si>
  <si>
    <t>Paid</t>
  </si>
  <si>
    <t>balance</t>
  </si>
  <si>
    <t>Malik Zaheer</t>
  </si>
  <si>
    <t>Closing Balance CF</t>
  </si>
  <si>
    <t>Aqib</t>
  </si>
  <si>
    <t>-</t>
  </si>
  <si>
    <t>Gari #</t>
  </si>
  <si>
    <t>Sum of Weight</t>
  </si>
  <si>
    <t>Sum of total</t>
  </si>
  <si>
    <t>Sum of Paid</t>
  </si>
  <si>
    <t>Sum of balance</t>
  </si>
  <si>
    <t>(blank)</t>
  </si>
  <si>
    <t>amount</t>
  </si>
  <si>
    <t>Actual</t>
  </si>
  <si>
    <t>Cash in hand (July):</t>
  </si>
  <si>
    <t>Bank Withdrawal</t>
  </si>
  <si>
    <t>Bank</t>
  </si>
  <si>
    <t>Cash</t>
  </si>
  <si>
    <t>Party</t>
  </si>
  <si>
    <t>Mode</t>
  </si>
  <si>
    <t>Withdrawal</t>
  </si>
  <si>
    <t>Rashan</t>
  </si>
  <si>
    <t>H3R</t>
  </si>
  <si>
    <t>Unicolour</t>
  </si>
  <si>
    <t>Faysal Akraam</t>
  </si>
  <si>
    <t>Finish</t>
  </si>
  <si>
    <t>Sum of Credit</t>
  </si>
  <si>
    <t>Sum of Debit</t>
  </si>
  <si>
    <t>Chemical Name</t>
  </si>
  <si>
    <t>Boxes</t>
  </si>
  <si>
    <t>Price</t>
  </si>
  <si>
    <t>info</t>
  </si>
  <si>
    <t>chemicals</t>
  </si>
  <si>
    <t>Navy Blue</t>
  </si>
  <si>
    <t>Rubine B</t>
  </si>
  <si>
    <t>Sum of Price</t>
  </si>
  <si>
    <t>Sum of Balance</t>
  </si>
  <si>
    <t>Blue SE2R</t>
  </si>
  <si>
    <t>Red F3BS</t>
  </si>
  <si>
    <t>Violet 3R</t>
  </si>
  <si>
    <t>Violet 5R</t>
  </si>
  <si>
    <t>Yellow 10GF</t>
  </si>
  <si>
    <t>Item</t>
  </si>
  <si>
    <t>Quantity</t>
  </si>
  <si>
    <t>Bill number</t>
  </si>
  <si>
    <t>Units</t>
  </si>
  <si>
    <t>Advance</t>
  </si>
  <si>
    <t>Person</t>
  </si>
  <si>
    <t>Shipment number</t>
  </si>
  <si>
    <t>Max of Kora/metre</t>
  </si>
  <si>
    <t>cost</t>
  </si>
  <si>
    <t>Max of Kora/gaz</t>
  </si>
  <si>
    <t>Tiyar/metre</t>
  </si>
  <si>
    <t>Cost</t>
  </si>
  <si>
    <t>Yellow 4G</t>
  </si>
  <si>
    <t>Scarlet B</t>
  </si>
  <si>
    <t>Ashraf Zia</t>
  </si>
  <si>
    <t>Rafaqat</t>
  </si>
  <si>
    <t>gazana</t>
  </si>
  <si>
    <t>sum</t>
  </si>
  <si>
    <t>Azam</t>
  </si>
  <si>
    <t>Blue GSL</t>
  </si>
  <si>
    <t>Billing (Previous)</t>
  </si>
  <si>
    <t>Billing September</t>
  </si>
  <si>
    <t>boxes</t>
  </si>
  <si>
    <t>kgs</t>
  </si>
  <si>
    <t>total</t>
  </si>
  <si>
    <t>Black</t>
  </si>
  <si>
    <t>Red FB</t>
  </si>
  <si>
    <t>Yellow GG</t>
  </si>
  <si>
    <t>T blue</t>
  </si>
  <si>
    <t>LAST Month Stock</t>
  </si>
  <si>
    <t>BP26</t>
  </si>
  <si>
    <t>AS Traders</t>
  </si>
  <si>
    <t>Badshah Fabrics</t>
  </si>
  <si>
    <t>Party Names</t>
  </si>
  <si>
    <t>Reject</t>
  </si>
  <si>
    <t>Kaleem ullah</t>
  </si>
  <si>
    <t>Qadeer Driver:</t>
  </si>
  <si>
    <t>21500 old advance</t>
  </si>
  <si>
    <t>20000 paid (Salary0</t>
  </si>
  <si>
    <t>21500-17000</t>
  </si>
  <si>
    <t>4500 advance left</t>
  </si>
  <si>
    <t>Amjad 7up</t>
  </si>
  <si>
    <t>Hazrat Khan</t>
  </si>
  <si>
    <t>Ishaq</t>
  </si>
  <si>
    <t>Haseeb Shamsi</t>
  </si>
  <si>
    <t>September Closing CF</t>
  </si>
  <si>
    <t>(Last month)</t>
  </si>
  <si>
    <t>oct-Nov</t>
  </si>
  <si>
    <t>Omer</t>
  </si>
  <si>
    <t>Faizan</t>
  </si>
  <si>
    <t>madina dyes</t>
  </si>
  <si>
    <t>Dasti</t>
  </si>
  <si>
    <t>Shafique Ansari</t>
  </si>
  <si>
    <t>Amjad sohail</t>
  </si>
  <si>
    <t>Master Tanveer</t>
  </si>
  <si>
    <t>Billing (Slub)</t>
  </si>
  <si>
    <t>Billing (Satin)</t>
  </si>
  <si>
    <t>bsc</t>
  </si>
  <si>
    <t>Aurangzeb</t>
  </si>
  <si>
    <t>Usama jet</t>
  </si>
  <si>
    <t>General Dyes</t>
  </si>
  <si>
    <t>Salman Zaffar</t>
  </si>
  <si>
    <t>1880+1885</t>
  </si>
  <si>
    <t>Slub</t>
  </si>
  <si>
    <t>Satin</t>
  </si>
  <si>
    <t>October Closing CF</t>
  </si>
  <si>
    <t>closing CF</t>
  </si>
  <si>
    <t>black</t>
  </si>
  <si>
    <t>Closing October CF</t>
  </si>
  <si>
    <t>Closing october CF</t>
  </si>
  <si>
    <t>Mazdoor</t>
  </si>
  <si>
    <t>kaleem ullah</t>
  </si>
  <si>
    <t>Unloading</t>
  </si>
  <si>
    <t>Clips</t>
  </si>
  <si>
    <t>ghar</t>
  </si>
  <si>
    <t>Lights</t>
  </si>
  <si>
    <t>electric</t>
  </si>
  <si>
    <t>salary</t>
  </si>
  <si>
    <t>Umer boiler-waqas</t>
  </si>
  <si>
    <t>against Cash</t>
  </si>
  <si>
    <t>TID:578038</t>
  </si>
  <si>
    <t>workshop</t>
  </si>
  <si>
    <t>SM</t>
  </si>
  <si>
    <t>60 bags starch 3 bp26</t>
  </si>
  <si>
    <t>700*810</t>
  </si>
  <si>
    <t>advance salary</t>
  </si>
  <si>
    <t>Khalid sahab</t>
  </si>
  <si>
    <t>F3BS, 4G, Navy, Black</t>
  </si>
  <si>
    <t>Madina dyes</t>
  </si>
  <si>
    <t>TKL 364</t>
  </si>
  <si>
    <t>kora karaya</t>
  </si>
  <si>
    <t>Boiler sheets</t>
  </si>
  <si>
    <t>ejaz sahab</t>
  </si>
  <si>
    <t>advance</t>
  </si>
  <si>
    <t>Daig</t>
  </si>
  <si>
    <t>PVA</t>
  </si>
  <si>
    <t>clips</t>
  </si>
  <si>
    <t>petrol</t>
  </si>
  <si>
    <t>Petrol</t>
  </si>
  <si>
    <t>october</t>
  </si>
  <si>
    <t>TID:267053</t>
  </si>
  <si>
    <t>Amjad Sohail</t>
  </si>
  <si>
    <t>Arb Dasti</t>
  </si>
  <si>
    <t>Azam Payment (175k)</t>
  </si>
  <si>
    <t>advance master tanveer</t>
  </si>
  <si>
    <t>parts</t>
  </si>
  <si>
    <t>tape</t>
  </si>
  <si>
    <t>Shahid Qasayi</t>
  </si>
  <si>
    <t>1670+1671</t>
  </si>
  <si>
    <t>general dyes</t>
  </si>
  <si>
    <t>TID:446711</t>
  </si>
  <si>
    <t>stationary</t>
  </si>
  <si>
    <t>misc</t>
  </si>
  <si>
    <t>generator</t>
  </si>
  <si>
    <t>atta</t>
  </si>
  <si>
    <t>UBL</t>
  </si>
  <si>
    <t>Ashraf Boiler</t>
  </si>
  <si>
    <t>Nauman Ali</t>
  </si>
  <si>
    <t>channay//akbar sahab</t>
  </si>
  <si>
    <t>1822+1823</t>
  </si>
  <si>
    <t>APL</t>
  </si>
  <si>
    <t>BP26,Black</t>
  </si>
  <si>
    <t>Dyes (Cash)</t>
  </si>
  <si>
    <t>Rubine B x2</t>
  </si>
  <si>
    <t>BP26 x4+Black x2</t>
  </si>
  <si>
    <t>sajad khan</t>
  </si>
  <si>
    <t>starch</t>
  </si>
  <si>
    <t>registers</t>
  </si>
  <si>
    <t>cash</t>
  </si>
  <si>
    <t>cement</t>
  </si>
  <si>
    <t>waqas chakki</t>
  </si>
  <si>
    <t>ali ahmad fitter</t>
  </si>
  <si>
    <t>cash BSC</t>
  </si>
  <si>
    <t>arshad silk</t>
  </si>
  <si>
    <t>malik z</t>
  </si>
  <si>
    <t>C 8947</t>
  </si>
  <si>
    <t>E 3229</t>
  </si>
  <si>
    <t>cash bsc</t>
  </si>
  <si>
    <t>arshad silk cash</t>
  </si>
  <si>
    <t>Abid ghafoor</t>
  </si>
  <si>
    <t>abid ghafoor</t>
  </si>
  <si>
    <t>TID:903176</t>
  </si>
  <si>
    <t>mtag</t>
  </si>
  <si>
    <t>toll</t>
  </si>
  <si>
    <t>Akbar sahab</t>
  </si>
  <si>
    <t>TAD 290</t>
  </si>
  <si>
    <t>chakki</t>
  </si>
  <si>
    <t>bearings</t>
  </si>
  <si>
    <t>Balance Nill</t>
  </si>
  <si>
    <t>E 9399</t>
  </si>
  <si>
    <t>Payment</t>
  </si>
  <si>
    <t>loom ac</t>
  </si>
  <si>
    <t>imran</t>
  </si>
  <si>
    <t>adil hussain</t>
  </si>
  <si>
    <t>lacking</t>
  </si>
  <si>
    <t>imran electric</t>
  </si>
  <si>
    <t>Naeem</t>
  </si>
  <si>
    <t>NAD 668</t>
  </si>
  <si>
    <t>pump</t>
  </si>
  <si>
    <t>battery</t>
  </si>
  <si>
    <t>azam</t>
  </si>
  <si>
    <t>credit</t>
  </si>
  <si>
    <t>ibraheem behraam</t>
  </si>
  <si>
    <t>oil</t>
  </si>
  <si>
    <t>Hameed corporation</t>
  </si>
  <si>
    <t>Rubine B x2, Navy Blue</t>
  </si>
  <si>
    <t>shafi dyes</t>
  </si>
  <si>
    <t>shafi Dyes</t>
  </si>
  <si>
    <t>Shafi Dyes</t>
  </si>
  <si>
    <t>rubine B, Navy</t>
  </si>
  <si>
    <t>Baloch chakki</t>
  </si>
  <si>
    <t>salary day exp</t>
  </si>
  <si>
    <t>afzaal chakki baloch</t>
  </si>
  <si>
    <t>account deposit</t>
  </si>
  <si>
    <t>310+155</t>
  </si>
  <si>
    <t>CAR 6957</t>
  </si>
  <si>
    <t>bill nill</t>
  </si>
  <si>
    <t>black x2</t>
  </si>
  <si>
    <t>TID:080137</t>
  </si>
  <si>
    <t>TID:944970</t>
  </si>
  <si>
    <t>Advance Khalid Sahab</t>
  </si>
  <si>
    <t>rajanpur chakki</t>
  </si>
  <si>
    <t>petrol-16100</t>
  </si>
  <si>
    <t>salary-imran</t>
  </si>
  <si>
    <t>brush</t>
  </si>
  <si>
    <t>afzaal chakki</t>
  </si>
  <si>
    <t>Qadeer sahab salary</t>
  </si>
  <si>
    <t>shadi</t>
  </si>
  <si>
    <t>food</t>
  </si>
  <si>
    <t>Cash lekr gaye</t>
  </si>
  <si>
    <t>gari workshop</t>
  </si>
  <si>
    <t>BP26 x4</t>
  </si>
  <si>
    <t>TID:914464</t>
  </si>
  <si>
    <t>Madina Dyes</t>
  </si>
  <si>
    <t>cheque meezan</t>
  </si>
  <si>
    <t>amjad sohail</t>
  </si>
  <si>
    <t>ubaidullah</t>
  </si>
  <si>
    <t>shahid Qasayi</t>
  </si>
  <si>
    <t>TID:610976</t>
  </si>
  <si>
    <t>Ajmal chakki</t>
  </si>
  <si>
    <t>nasir</t>
  </si>
  <si>
    <t>dyes</t>
  </si>
  <si>
    <t>baloch chakki</t>
  </si>
  <si>
    <t>master arshad</t>
  </si>
  <si>
    <t>basharat</t>
  </si>
  <si>
    <t>TID:599001</t>
  </si>
  <si>
    <t>irfan punjabi</t>
  </si>
  <si>
    <t>LES 8294</t>
  </si>
  <si>
    <t>dhaga</t>
  </si>
  <si>
    <t>Irfan Punjabi</t>
  </si>
  <si>
    <t>master arshad advance</t>
  </si>
  <si>
    <t>freight</t>
  </si>
  <si>
    <t>TID:860184</t>
  </si>
  <si>
    <t>malik zaheer</t>
  </si>
  <si>
    <t>parts+dyes</t>
  </si>
  <si>
    <t>malik zaheer freight</t>
  </si>
  <si>
    <t>sajid operator</t>
  </si>
  <si>
    <t>imtiaz</t>
  </si>
  <si>
    <t>stenter</t>
  </si>
  <si>
    <t>wire</t>
  </si>
  <si>
    <t>C 1605</t>
  </si>
  <si>
    <t>Zia-ullah karachi</t>
  </si>
  <si>
    <t xml:space="preserve">jazz device </t>
  </si>
  <si>
    <t>nasir stenter</t>
  </si>
  <si>
    <t>daig</t>
  </si>
  <si>
    <t>naeem electric</t>
  </si>
  <si>
    <t>bajwa</t>
  </si>
  <si>
    <t>mama package</t>
  </si>
  <si>
    <t>bulbs</t>
  </si>
  <si>
    <t>TID:314327</t>
  </si>
  <si>
    <t>haseen old</t>
  </si>
  <si>
    <t>rafaqat</t>
  </si>
  <si>
    <t>H3R, leac0</t>
  </si>
  <si>
    <t>against cash</t>
  </si>
  <si>
    <t>chain parts</t>
  </si>
  <si>
    <t>markers</t>
  </si>
  <si>
    <t>Amjad wood</t>
  </si>
  <si>
    <t>TKT 364</t>
  </si>
  <si>
    <t>LEI 9662</t>
  </si>
  <si>
    <t>LEI 2223</t>
  </si>
  <si>
    <t>JU 4472</t>
  </si>
  <si>
    <t>LEJ 9662</t>
  </si>
  <si>
    <t>master tanveer</t>
  </si>
  <si>
    <t>mazdoor</t>
  </si>
  <si>
    <t>dipalpur chakki</t>
  </si>
  <si>
    <t>Master Akbar</t>
  </si>
  <si>
    <t>loom Ac</t>
  </si>
  <si>
    <t>master Abid</t>
  </si>
  <si>
    <t>daig pakkai</t>
  </si>
  <si>
    <t>LES 3785</t>
  </si>
  <si>
    <t>Black-Chamki</t>
  </si>
  <si>
    <t>khalid sahab</t>
  </si>
  <si>
    <t>Raaz fabrics</t>
  </si>
  <si>
    <t>Billing (Black-chamki)</t>
  </si>
  <si>
    <t>TID:457544</t>
  </si>
  <si>
    <t>bank deposit</t>
  </si>
  <si>
    <t>arshad atari</t>
  </si>
  <si>
    <t>silai machine</t>
  </si>
  <si>
    <t>meezan</t>
  </si>
  <si>
    <t>gloves etc</t>
  </si>
  <si>
    <t>stamps</t>
  </si>
  <si>
    <t>Ghulam Abbas</t>
  </si>
  <si>
    <t>Temp</t>
  </si>
  <si>
    <t>ghulam abbas</t>
  </si>
  <si>
    <t>4G</t>
  </si>
  <si>
    <t>nasir opt salary</t>
  </si>
  <si>
    <t>ahmad exp</t>
  </si>
  <si>
    <t>wood</t>
  </si>
  <si>
    <t>khubaib</t>
  </si>
  <si>
    <t>lei 2223</t>
  </si>
  <si>
    <t>omer pankhaman</t>
  </si>
  <si>
    <t>Qadeer driver</t>
  </si>
  <si>
    <t>Part</t>
  </si>
  <si>
    <t>seal</t>
  </si>
  <si>
    <t>DYES</t>
  </si>
  <si>
    <t>petrol+oil</t>
  </si>
  <si>
    <t>optix</t>
  </si>
  <si>
    <t>master abid</t>
  </si>
  <si>
    <t>azam (150)</t>
  </si>
  <si>
    <t>copper</t>
  </si>
  <si>
    <t>1953+1952</t>
  </si>
  <si>
    <t>omer</t>
  </si>
  <si>
    <t>kataan</t>
  </si>
  <si>
    <t>environment</t>
  </si>
  <si>
    <t>anti foam</t>
  </si>
  <si>
    <t>waqas</t>
  </si>
  <si>
    <t>Hafiz qureshi 100k</t>
  </si>
  <si>
    <t>master akbar</t>
  </si>
  <si>
    <t>Dyes+antfoam</t>
  </si>
  <si>
    <t>rajistan</t>
  </si>
  <si>
    <t>sajad helper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</si>
</sst>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 #,##0.0_-;\-* #,##0.0_-;_-* &quot;-&quot;??_-;_-@_-"/>
  </numFmts>
  <fonts count="14" x14ac:knownFonts="1">
    <font>
      <sz val="11"/>
      <color theme="1"/>
      <name val="Aptos Narrow"/>
      <family val="2"/>
      <scheme val="minor"/>
    </font>
    <font>
      <b/>
      <sz val="11"/>
      <color theme="1"/>
      <name val="Aptos Narrow"/>
      <family val="2"/>
      <scheme val="minor"/>
    </font>
    <font>
      <b/>
      <i/>
      <sz val="11"/>
      <color theme="1"/>
      <name val="Aptos Narrow"/>
      <family val="2"/>
      <scheme val="minor"/>
    </font>
    <font>
      <b/>
      <i/>
      <u/>
      <sz val="20"/>
      <color theme="1"/>
      <name val="Aptos Narrow"/>
      <family val="2"/>
      <scheme val="minor"/>
    </font>
    <font>
      <sz val="8"/>
      <name val="Aptos Narrow"/>
      <family val="2"/>
      <scheme val="minor"/>
    </font>
    <font>
      <b/>
      <i/>
      <u/>
      <sz val="22"/>
      <color theme="1"/>
      <name val="Aptos Narrow"/>
      <family val="2"/>
      <scheme val="minor"/>
    </font>
    <font>
      <sz val="11"/>
      <color theme="1"/>
      <name val="Aptos Narrow"/>
      <family val="2"/>
      <scheme val="minor"/>
    </font>
    <font>
      <sz val="6"/>
      <name val="Yu Gothic"/>
      <family val="2"/>
      <charset val="128"/>
    </font>
    <font>
      <b/>
      <sz val="14"/>
      <color theme="1"/>
      <name val="Aptos Narrow"/>
      <family val="2"/>
      <scheme val="minor"/>
    </font>
    <font>
      <b/>
      <sz val="12"/>
      <color theme="1"/>
      <name val="Aptos Narrow"/>
      <family val="2"/>
      <scheme val="minor"/>
    </font>
    <font>
      <b/>
      <sz val="16"/>
      <color theme="1"/>
      <name val="Aptos Narrow"/>
      <family val="2"/>
      <scheme val="minor"/>
    </font>
    <font>
      <sz val="14"/>
      <color theme="1"/>
      <name val="Aptos Narrow"/>
      <family val="2"/>
      <scheme val="minor"/>
    </font>
    <font>
      <b/>
      <sz val="11"/>
      <color theme="0"/>
      <name val="Aptos Narrow"/>
      <family val="2"/>
      <scheme val="minor"/>
    </font>
    <font>
      <sz val="16"/>
      <color theme="1"/>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1"/>
        <bgColor indexed="64"/>
      </patternFill>
    </fill>
    <fill>
      <patternFill patternType="solid">
        <fgColor rgb="FFFF0000"/>
        <bgColor indexed="64"/>
      </patternFill>
    </fill>
    <fill>
      <patternFill patternType="solid">
        <fgColor rgb="FF92D050"/>
        <bgColor indexed="64"/>
      </patternFill>
    </fill>
    <fill>
      <patternFill patternType="solid">
        <fgColor theme="4"/>
        <bgColor indexed="64"/>
      </patternFill>
    </fill>
    <fill>
      <patternFill patternType="solid">
        <fgColor theme="0"/>
        <bgColor indexed="64"/>
      </patternFill>
    </fill>
    <fill>
      <patternFill patternType="solid">
        <fgColor theme="0"/>
        <bgColor theme="4" tint="0.79998168889431442"/>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double">
        <color theme="4"/>
      </top>
      <bottom style="thin">
        <color theme="4" tint="0.39997558519241921"/>
      </bottom>
      <diagonal/>
    </border>
    <border>
      <left style="thin">
        <color indexed="64"/>
      </left>
      <right/>
      <top/>
      <bottom style="thin">
        <color indexed="64"/>
      </bottom>
      <diagonal/>
    </border>
    <border>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505050"/>
      </left>
      <right/>
      <top style="medium">
        <color rgb="FF505050"/>
      </top>
      <bottom style="medium">
        <color rgb="FF505050"/>
      </bottom>
      <diagonal/>
    </border>
    <border>
      <left/>
      <right style="medium">
        <color rgb="FF505050"/>
      </right>
      <top style="medium">
        <color rgb="FF505050"/>
      </top>
      <bottom style="medium">
        <color rgb="FF505050"/>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auto="1"/>
      </left>
      <right style="thin">
        <color auto="1"/>
      </right>
      <top style="thin">
        <color auto="1"/>
      </top>
      <bottom/>
      <diagonal/>
    </border>
  </borders>
  <cellStyleXfs count="2">
    <xf numFmtId="0" fontId="0" fillId="0" borderId="0"/>
    <xf numFmtId="43" fontId="6" fillId="0" borderId="0" applyFont="0" applyFill="0" applyBorder="0" applyAlignment="0" applyProtection="0"/>
  </cellStyleXfs>
  <cellXfs count="139">
    <xf numFmtId="0" fontId="0" fillId="0" borderId="0" xfId="0"/>
    <xf numFmtId="1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3" fillId="0" borderId="0" xfId="0" applyFont="1"/>
    <xf numFmtId="0" fontId="1" fillId="0" borderId="3" xfId="0" applyFont="1" applyBorder="1" applyAlignment="1">
      <alignment horizontal="center" vertical="top"/>
    </xf>
    <xf numFmtId="0" fontId="5" fillId="0" borderId="0" xfId="0" applyFont="1"/>
    <xf numFmtId="43" fontId="0" fillId="0" borderId="0" xfId="1" applyFont="1"/>
    <xf numFmtId="164" fontId="0" fillId="0" borderId="0" xfId="1" applyNumberFormat="1" applyFont="1"/>
    <xf numFmtId="164" fontId="1" fillId="0" borderId="3" xfId="1" applyNumberFormat="1" applyFont="1" applyBorder="1" applyAlignment="1">
      <alignment horizontal="center" vertical="top"/>
    </xf>
    <xf numFmtId="164" fontId="1" fillId="0" borderId="3" xfId="1" applyNumberFormat="1" applyFont="1" applyBorder="1"/>
    <xf numFmtId="164" fontId="0" fillId="0" borderId="0" xfId="0" applyNumberFormat="1"/>
    <xf numFmtId="164" fontId="2" fillId="0" borderId="0" xfId="1" applyNumberFormat="1" applyFont="1"/>
    <xf numFmtId="164" fontId="0" fillId="0" borderId="0" xfId="0" applyNumberFormat="1" applyAlignment="1">
      <alignment horizontal="left"/>
    </xf>
    <xf numFmtId="164" fontId="1" fillId="0" borderId="4" xfId="0" applyNumberFormat="1" applyFont="1" applyBorder="1"/>
    <xf numFmtId="1" fontId="0" fillId="0" borderId="0" xfId="0" applyNumberFormat="1"/>
    <xf numFmtId="0" fontId="0" fillId="2" borderId="0" xfId="0" applyFill="1"/>
    <xf numFmtId="164" fontId="0" fillId="2" borderId="0" xfId="1" applyNumberFormat="1" applyFont="1" applyFill="1"/>
    <xf numFmtId="0" fontId="0" fillId="0" borderId="1" xfId="0" applyBorder="1"/>
    <xf numFmtId="164" fontId="0" fillId="0" borderId="1" xfId="1" applyNumberFormat="1" applyFont="1" applyBorder="1"/>
    <xf numFmtId="0" fontId="1" fillId="3" borderId="1" xfId="0" applyFont="1" applyFill="1" applyBorder="1"/>
    <xf numFmtId="0" fontId="1" fillId="0" borderId="1" xfId="0" applyFont="1" applyBorder="1"/>
    <xf numFmtId="164" fontId="0" fillId="2" borderId="0" xfId="0" applyNumberFormat="1" applyFill="1"/>
    <xf numFmtId="14" fontId="0" fillId="0" borderId="0" xfId="0" applyNumberFormat="1" applyAlignment="1">
      <alignment horizontal="left"/>
    </xf>
    <xf numFmtId="0" fontId="1" fillId="0" borderId="2" xfId="1" applyNumberFormat="1" applyFont="1" applyBorder="1" applyAlignment="1">
      <alignment horizontal="center" vertical="top"/>
    </xf>
    <xf numFmtId="43" fontId="0" fillId="0" borderId="0" xfId="0" applyNumberFormat="1"/>
    <xf numFmtId="164" fontId="0" fillId="4" borderId="0" xfId="1" applyNumberFormat="1" applyFont="1" applyFill="1"/>
    <xf numFmtId="164" fontId="0" fillId="6" borderId="0" xfId="0" applyNumberFormat="1" applyFill="1"/>
    <xf numFmtId="0" fontId="1" fillId="5" borderId="1" xfId="0" applyFont="1" applyFill="1" applyBorder="1"/>
    <xf numFmtId="164" fontId="1" fillId="5" borderId="1" xfId="0" applyNumberFormat="1" applyFont="1" applyFill="1" applyBorder="1"/>
    <xf numFmtId="164" fontId="1" fillId="5" borderId="1" xfId="1" applyNumberFormat="1" applyFont="1" applyFill="1" applyBorder="1"/>
    <xf numFmtId="164" fontId="0" fillId="0" borderId="3" xfId="0" pivotButton="1" applyNumberFormat="1" applyBorder="1"/>
    <xf numFmtId="164" fontId="0" fillId="0" borderId="5" xfId="0" applyNumberFormat="1" applyBorder="1"/>
    <xf numFmtId="164" fontId="0" fillId="0" borderId="6" xfId="0" applyNumberFormat="1" applyBorder="1"/>
    <xf numFmtId="164" fontId="1" fillId="0" borderId="1" xfId="1" applyNumberFormat="1" applyFont="1" applyBorder="1"/>
    <xf numFmtId="14" fontId="0" fillId="0" borderId="8" xfId="0" applyNumberFormat="1" applyBorder="1"/>
    <xf numFmtId="164" fontId="0" fillId="0" borderId="1" xfId="0" applyNumberFormat="1" applyBorder="1"/>
    <xf numFmtId="0" fontId="2" fillId="0" borderId="1" xfId="0" applyFont="1" applyBorder="1"/>
    <xf numFmtId="164" fontId="2" fillId="0" borderId="1" xfId="0" applyNumberFormat="1" applyFont="1" applyBorder="1"/>
    <xf numFmtId="0" fontId="0" fillId="0" borderId="0" xfId="0" applyAlignment="1">
      <alignment horizontal="left" indent="1"/>
    </xf>
    <xf numFmtId="165" fontId="0" fillId="0" borderId="0" xfId="0" applyNumberFormat="1"/>
    <xf numFmtId="164" fontId="0" fillId="0" borderId="0" xfId="0" pivotButton="1" applyNumberFormat="1"/>
    <xf numFmtId="0" fontId="0" fillId="0" borderId="9" xfId="0" applyBorder="1"/>
    <xf numFmtId="164" fontId="0" fillId="0" borderId="10" xfId="0" applyNumberFormat="1" applyBorder="1"/>
    <xf numFmtId="0" fontId="0" fillId="0" borderId="6" xfId="0" applyBorder="1"/>
    <xf numFmtId="0" fontId="0" fillId="0" borderId="11" xfId="0" applyBorder="1"/>
    <xf numFmtId="164" fontId="0" fillId="0" borderId="12" xfId="0" applyNumberFormat="1" applyBorder="1"/>
    <xf numFmtId="0" fontId="0" fillId="0" borderId="5" xfId="0" applyBorder="1"/>
    <xf numFmtId="0" fontId="0" fillId="0" borderId="10" xfId="0" applyBorder="1"/>
    <xf numFmtId="0" fontId="1" fillId="0" borderId="11" xfId="0" applyFont="1" applyBorder="1"/>
    <xf numFmtId="164" fontId="1" fillId="0" borderId="12" xfId="0" applyNumberFormat="1" applyFont="1" applyBorder="1"/>
    <xf numFmtId="164" fontId="0" fillId="7" borderId="0" xfId="0" applyNumberFormat="1" applyFill="1"/>
    <xf numFmtId="0" fontId="8" fillId="0" borderId="0" xfId="0" applyFont="1"/>
    <xf numFmtId="0" fontId="0" fillId="0" borderId="13" xfId="0" applyBorder="1"/>
    <xf numFmtId="164" fontId="0" fillId="0" borderId="14" xfId="0" applyNumberFormat="1" applyBorder="1"/>
    <xf numFmtId="0" fontId="0" fillId="0" borderId="15" xfId="0" applyBorder="1"/>
    <xf numFmtId="164" fontId="0" fillId="0" borderId="16" xfId="0" applyNumberFormat="1" applyBorder="1"/>
    <xf numFmtId="0" fontId="1" fillId="0" borderId="19" xfId="0" applyFont="1" applyBorder="1"/>
    <xf numFmtId="164" fontId="1" fillId="0" borderId="20" xfId="0" applyNumberFormat="1" applyFont="1" applyBorder="1"/>
    <xf numFmtId="0" fontId="9" fillId="0" borderId="0" xfId="0" applyFont="1"/>
    <xf numFmtId="165" fontId="0" fillId="0" borderId="1" xfId="1" applyNumberFormat="1" applyFont="1" applyBorder="1"/>
    <xf numFmtId="0" fontId="10" fillId="3" borderId="1" xfId="0" applyFont="1" applyFill="1" applyBorder="1"/>
    <xf numFmtId="0" fontId="11" fillId="0" borderId="0" xfId="0" applyFont="1"/>
    <xf numFmtId="165" fontId="8" fillId="0" borderId="0" xfId="1" applyNumberFormat="1" applyFont="1" applyBorder="1"/>
    <xf numFmtId="165" fontId="11" fillId="0" borderId="0" xfId="1" applyNumberFormat="1" applyFont="1" applyBorder="1"/>
    <xf numFmtId="164" fontId="8" fillId="0" borderId="0" xfId="1" applyNumberFormat="1" applyFont="1" applyBorder="1"/>
    <xf numFmtId="164" fontId="11" fillId="0" borderId="0" xfId="1" applyNumberFormat="1" applyFont="1" applyBorder="1"/>
    <xf numFmtId="43" fontId="0" fillId="0" borderId="1" xfId="1" applyFont="1" applyBorder="1"/>
    <xf numFmtId="0" fontId="1" fillId="0" borderId="15" xfId="0" applyFont="1" applyBorder="1"/>
    <xf numFmtId="164" fontId="1" fillId="0" borderId="16" xfId="0" applyNumberFormat="1" applyFont="1" applyBorder="1"/>
    <xf numFmtId="164" fontId="1" fillId="0" borderId="18" xfId="0" applyNumberFormat="1" applyFont="1" applyBorder="1"/>
    <xf numFmtId="0" fontId="1" fillId="0" borderId="17" xfId="0" applyFont="1" applyBorder="1"/>
    <xf numFmtId="0" fontId="1" fillId="0" borderId="21" xfId="0" applyFont="1" applyBorder="1"/>
    <xf numFmtId="164" fontId="1" fillId="0" borderId="22" xfId="0" applyNumberFormat="1" applyFont="1" applyBorder="1"/>
    <xf numFmtId="0" fontId="1" fillId="5" borderId="0" xfId="0" applyFont="1" applyFill="1"/>
    <xf numFmtId="2" fontId="1" fillId="0" borderId="0" xfId="0" applyNumberFormat="1" applyFont="1"/>
    <xf numFmtId="0" fontId="12" fillId="0" borderId="19" xfId="0" applyFont="1" applyBorder="1"/>
    <xf numFmtId="43" fontId="12" fillId="0" borderId="23" xfId="0" applyNumberFormat="1" applyFont="1" applyBorder="1"/>
    <xf numFmtId="0" fontId="1" fillId="0" borderId="0" xfId="0" applyFont="1"/>
    <xf numFmtId="0" fontId="1" fillId="0" borderId="0" xfId="0" applyFont="1" applyAlignment="1">
      <alignment horizontal="center" vertical="top"/>
    </xf>
    <xf numFmtId="164" fontId="1" fillId="0" borderId="0" xfId="1" applyNumberFormat="1" applyFont="1" applyBorder="1" applyAlignment="1">
      <alignment horizontal="center" vertical="top"/>
    </xf>
    <xf numFmtId="164" fontId="1" fillId="0" borderId="0" xfId="1" applyNumberFormat="1" applyFont="1" applyBorder="1"/>
    <xf numFmtId="14" fontId="1" fillId="0" borderId="0" xfId="0" applyNumberFormat="1" applyFont="1" applyAlignment="1">
      <alignment horizontal="center" vertical="top"/>
    </xf>
    <xf numFmtId="14" fontId="1" fillId="0" borderId="7" xfId="0" applyNumberFormat="1" applyFont="1" applyBorder="1"/>
    <xf numFmtId="164" fontId="1" fillId="0" borderId="0" xfId="1" applyNumberFormat="1" applyFont="1"/>
    <xf numFmtId="0" fontId="1" fillId="0" borderId="0" xfId="0" applyFont="1" applyAlignment="1">
      <alignment horizontal="center"/>
    </xf>
    <xf numFmtId="0" fontId="0" fillId="0" borderId="3" xfId="0" applyBorder="1"/>
    <xf numFmtId="0" fontId="0" fillId="0" borderId="24" xfId="0" applyBorder="1"/>
    <xf numFmtId="165" fontId="8" fillId="0" borderId="0" xfId="1" applyNumberFormat="1" applyFont="1"/>
    <xf numFmtId="165" fontId="8" fillId="0" borderId="23" xfId="1" applyNumberFormat="1" applyFont="1" applyBorder="1"/>
    <xf numFmtId="164" fontId="8" fillId="0" borderId="23" xfId="1" applyNumberFormat="1" applyFont="1" applyBorder="1"/>
    <xf numFmtId="165" fontId="0" fillId="8" borderId="0" xfId="0" applyNumberFormat="1" applyFill="1"/>
    <xf numFmtId="0" fontId="1" fillId="0" borderId="0" xfId="0" applyFont="1" applyAlignment="1">
      <alignment horizontal="center" vertical="center"/>
    </xf>
    <xf numFmtId="14" fontId="1" fillId="0" borderId="0" xfId="0" applyNumberFormat="1" applyFont="1"/>
    <xf numFmtId="164" fontId="0" fillId="0" borderId="0" xfId="1" applyNumberFormat="1" applyFont="1" applyBorder="1"/>
    <xf numFmtId="0" fontId="1" fillId="0" borderId="0" xfId="0" applyFont="1" applyAlignment="1">
      <alignment horizontal="left" vertical="top"/>
    </xf>
    <xf numFmtId="165" fontId="0" fillId="0" borderId="0" xfId="1" applyNumberFormat="1" applyFont="1" applyBorder="1"/>
    <xf numFmtId="0" fontId="1" fillId="0" borderId="1" xfId="0" applyFont="1" applyBorder="1" applyAlignment="1">
      <alignment horizontal="left"/>
    </xf>
    <xf numFmtId="164" fontId="1" fillId="0" borderId="1" xfId="0" applyNumberFormat="1" applyFont="1" applyBorder="1" applyAlignment="1">
      <alignment horizontal="left"/>
    </xf>
    <xf numFmtId="0" fontId="0" fillId="9" borderId="0" xfId="0" applyFill="1"/>
    <xf numFmtId="164" fontId="8" fillId="9" borderId="23" xfId="1" applyNumberFormat="1" applyFont="1" applyFill="1" applyBorder="1"/>
    <xf numFmtId="0" fontId="10" fillId="0" borderId="0" xfId="0" applyFont="1"/>
    <xf numFmtId="164" fontId="10" fillId="7" borderId="0" xfId="0" applyNumberFormat="1" applyFont="1" applyFill="1"/>
    <xf numFmtId="164" fontId="10" fillId="8" borderId="0" xfId="0" applyNumberFormat="1" applyFont="1" applyFill="1"/>
    <xf numFmtId="164" fontId="13" fillId="0" borderId="0" xfId="0" applyNumberFormat="1" applyFont="1"/>
    <xf numFmtId="14" fontId="0" fillId="0" borderId="7" xfId="1" applyNumberFormat="1" applyFont="1" applyBorder="1"/>
    <xf numFmtId="0" fontId="0" fillId="0" borderId="25" xfId="1" applyNumberFormat="1" applyFont="1" applyBorder="1"/>
    <xf numFmtId="164" fontId="0" fillId="0" borderId="25" xfId="1" applyNumberFormat="1" applyFont="1" applyBorder="1"/>
    <xf numFmtId="165" fontId="0" fillId="0" borderId="25" xfId="1" applyNumberFormat="1" applyFont="1" applyBorder="1"/>
    <xf numFmtId="0" fontId="0" fillId="0" borderId="26" xfId="1" applyNumberFormat="1" applyFont="1" applyBorder="1"/>
    <xf numFmtId="0" fontId="1" fillId="0" borderId="27" xfId="1" applyNumberFormat="1" applyFont="1" applyBorder="1" applyAlignment="1">
      <alignment horizontal="center" vertical="top"/>
    </xf>
    <xf numFmtId="14" fontId="1" fillId="0" borderId="1" xfId="1" applyNumberFormat="1" applyFont="1" applyBorder="1"/>
    <xf numFmtId="0" fontId="1" fillId="0" borderId="1" xfId="1" applyNumberFormat="1" applyFont="1" applyBorder="1"/>
    <xf numFmtId="164" fontId="1" fillId="0" borderId="1" xfId="1" applyNumberFormat="1" applyFont="1" applyFill="1" applyBorder="1"/>
    <xf numFmtId="165" fontId="1" fillId="0" borderId="1" xfId="1" applyNumberFormat="1" applyFont="1" applyBorder="1"/>
    <xf numFmtId="0" fontId="0" fillId="11" borderId="25" xfId="1" applyNumberFormat="1" applyFont="1" applyFill="1" applyBorder="1"/>
    <xf numFmtId="14" fontId="0" fillId="11" borderId="7" xfId="1" applyNumberFormat="1" applyFont="1" applyFill="1" applyBorder="1"/>
    <xf numFmtId="164" fontId="0" fillId="11" borderId="25" xfId="1" applyNumberFormat="1" applyFont="1" applyFill="1" applyBorder="1"/>
    <xf numFmtId="165" fontId="0" fillId="11" borderId="25" xfId="1" applyNumberFormat="1" applyFont="1" applyFill="1" applyBorder="1"/>
    <xf numFmtId="165" fontId="0" fillId="10" borderId="0" xfId="1" applyNumberFormat="1" applyFont="1" applyFill="1" applyBorder="1"/>
    <xf numFmtId="0" fontId="0" fillId="11" borderId="26" xfId="1" applyNumberFormat="1" applyFont="1" applyFill="1" applyBorder="1"/>
    <xf numFmtId="0" fontId="0" fillId="0" borderId="0" xfId="0" applyAlignment="1">
      <alignment horizontal="center"/>
    </xf>
    <xf numFmtId="14" fontId="0" fillId="0" borderId="7" xfId="0" applyNumberFormat="1" applyBorder="1"/>
    <xf numFmtId="0" fontId="0" fillId="0" borderId="0" xfId="1" applyNumberFormat="1" applyFont="1"/>
    <xf numFmtId="14" fontId="0" fillId="0" borderId="0" xfId="1" applyNumberFormat="1" applyFont="1"/>
    <xf numFmtId="164" fontId="10" fillId="0" borderId="0" xfId="0" applyNumberFormat="1" applyFont="1"/>
    <xf numFmtId="16" fontId="0" fillId="0" borderId="0" xfId="0" applyNumberFormat="1"/>
    <xf numFmtId="16" fontId="0" fillId="0" borderId="0" xfId="1" applyNumberFormat="1" applyFont="1"/>
    <xf numFmtId="165" fontId="1" fillId="0" borderId="25" xfId="1" applyNumberFormat="1" applyFont="1" applyBorder="1"/>
    <xf numFmtId="165" fontId="1" fillId="11" borderId="25" xfId="1" applyNumberFormat="1" applyFont="1" applyFill="1" applyBorder="1"/>
    <xf numFmtId="165" fontId="1" fillId="0" borderId="0" xfId="1" applyNumberFormat="1" applyFont="1"/>
    <xf numFmtId="0" fontId="0" fillId="0" borderId="0" xfId="0" applyNumberFormat="1"/>
    <xf numFmtId="14" fontId="0" fillId="0" borderId="7" xfId="0" applyNumberFormat="1" applyFont="1" applyBorder="1"/>
    <xf numFmtId="14" fontId="0" fillId="0" borderId="8" xfId="0" applyNumberFormat="1" applyFont="1" applyBorder="1"/>
    <xf numFmtId="0" fontId="0" fillId="0" borderId="0" xfId="0" applyBorder="1"/>
    <xf numFmtId="0" fontId="0" fillId="0" borderId="0" xfId="0" applyBorder="1" applyAlignment="1">
      <alignment horizontal="center"/>
    </xf>
  </cellXfs>
  <cellStyles count="2">
    <cellStyle name="Comma" xfId="1" builtinId="3"/>
    <cellStyle name="Normal" xfId="0" builtinId="0"/>
  </cellStyles>
  <dxfs count="132">
    <dxf>
      <numFmt numFmtId="164" formatCode="_-* #,##0_-;\-* #,##0_-;_-* &quot;-&quot;??_-;_-@_-"/>
      <fill>
        <patternFill patternType="solid">
          <fgColor indexed="64"/>
          <bgColor rgb="FFFF0000"/>
        </patternFill>
      </fill>
    </dxf>
    <dxf>
      <numFmt numFmtId="164" formatCode="_-* #,##0_-;\-* #,##0_-;_-* &quot;-&quot;??_-;_-@_-"/>
    </dxf>
    <dxf>
      <numFmt numFmtId="164" formatCode="_-* #,##0_-;\-* #,##0_-;_-* &quot;-&quot;??_-;_-@_-"/>
    </dxf>
    <dxf>
      <numFmt numFmtId="19" formatCode="dd/mm/yyyy"/>
      <border diagonalUp="0" diagonalDown="0" outline="0">
        <left style="thin">
          <color theme="4" tint="0.39997558519241921"/>
        </left>
        <right/>
        <top style="thin">
          <color theme="4" tint="0.39997558519241921"/>
        </top>
        <bottom/>
      </border>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numFmt numFmtId="19" formatCode="dd/mm/yyyy"/>
    </dxf>
    <dxf>
      <numFmt numFmtId="164" formatCode="_-* #,##0_-;\-* #,##0_-;_-* &quot;-&quot;??_-;_-@_-"/>
      <fill>
        <patternFill patternType="solid">
          <fgColor indexed="64"/>
          <bgColor rgb="FFFFFF00"/>
        </patternFill>
      </fill>
    </dxf>
    <dxf>
      <numFmt numFmtId="19" formatCode="dd/mm/yyyy"/>
    </dxf>
    <dxf>
      <numFmt numFmtId="164" formatCode="_-* #,##0_-;\-* #,##0_-;_-* &quot;-&quot;??_-;_-@_-"/>
    </dxf>
    <dxf>
      <numFmt numFmtId="165" formatCode="_-* #,##0.0_-;\-* #,##0.0_-;_-* &quot;-&quot;??_-;_-@_-"/>
    </dxf>
    <dxf>
      <numFmt numFmtId="165" formatCode="_-* #,##0.0_-;\-* #,##0.0_-;_-* &quot;-&quot;??_-;_-@_-"/>
      <fill>
        <patternFill patternType="solid">
          <fgColor indexed="64"/>
          <bgColor rgb="FF92D050"/>
        </patternFill>
      </fill>
    </dxf>
    <dxf>
      <numFmt numFmtId="165" formatCode="_-* #,##0.0_-;\-* #,##0.0_-;_-* &quot;-&quot;??_-;_-@_-"/>
    </dxf>
    <dxf>
      <numFmt numFmtId="164" formatCode="_-* #,##0_-;\-* #,##0_-;_-* &quot;-&quot;??_-;_-@_-"/>
    </dxf>
    <dxf>
      <numFmt numFmtId="164" formatCode="_-* #,##0_-;\-* #,##0_-;_-* &quot;-&quot;??_-;_-@_-"/>
    </dxf>
    <dxf>
      <numFmt numFmtId="164" formatCode="_-* #,##0_-;\-* #,##0_-;_-* &quot;-&quot;??_-;_-@_-"/>
    </dxf>
    <dxf>
      <alignment horizontal="center" vertical="bottom" textRotation="0" wrapText="0" indent="0" justifyLastLine="0" shrinkToFit="0" readingOrder="0"/>
    </dxf>
    <dxf>
      <numFmt numFmtId="164" formatCode="_-* #,##0_-;\-* #,##0_-;_-* &quot;-&quot;??_-;_-@_-"/>
    </dxf>
    <dxf>
      <numFmt numFmtId="164" formatCode="_-* #,##0_-;\-* #,##0_-;_-* &quot;-&quot;??_-;_-@_-"/>
    </dxf>
    <dxf>
      <font>
        <b val="0"/>
        <i val="0"/>
        <strike val="0"/>
        <condense val="0"/>
        <extend val="0"/>
        <outline val="0"/>
        <shadow val="0"/>
        <u val="none"/>
        <vertAlign val="baseline"/>
        <sz val="11"/>
        <color theme="1"/>
        <name val="Aptos Narrow"/>
        <family val="2"/>
        <scheme val="minor"/>
      </font>
      <numFmt numFmtId="19" formatCode="dd/mm/yyyy"/>
      <border diagonalUp="0" diagonalDown="0">
        <left style="thin">
          <color theme="4" tint="0.39997558519241921"/>
        </left>
        <right/>
        <top style="thin">
          <color theme="4" tint="0.39997558519241921"/>
        </top>
        <bottom style="thin">
          <color theme="4" tint="0.39997558519241921"/>
        </bottom>
        <vertical/>
        <horizontal/>
      </border>
    </dxf>
    <dxf>
      <numFmt numFmtId="0" formatCode="General"/>
    </dxf>
    <dxf>
      <numFmt numFmtId="165" formatCode="_-* #,##0.0_-;\-* #,##0.0_-;_-* &quot;-&quot;??_-;_-@_-"/>
    </dxf>
    <dxf>
      <numFmt numFmtId="165" formatCode="_-* #,##0.0_-;\-* #,##0.0_-;_-* &quot;-&quot;??_-;_-@_-"/>
    </dxf>
    <dxf>
      <font>
        <b/>
      </font>
      <numFmt numFmtId="165" formatCode="_-* #,##0.0_-;\-* #,##0.0_-;_-* &quot;-&quot;??_-;_-@_-"/>
    </dxf>
    <dxf>
      <numFmt numFmtId="164" formatCode="_-* #,##0_-;\-* #,##0_-;_-* &quot;-&quot;??_-;_-@_-"/>
    </dxf>
    <dxf>
      <numFmt numFmtId="164" formatCode="_-* #,##0_-;\-* #,##0_-;_-* &quot;-&quot;??_-;_-@_-"/>
    </dxf>
    <dxf>
      <numFmt numFmtId="164" formatCode="_-* #,##0_-;\-* #,##0_-;_-* &quot;-&quot;??_-;_-@_-"/>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35" formatCode="_-* #,##0.00_-;\-* #,##0.00_-;_-* &quot;-&quot;??_-;_-@_-"/>
    </dxf>
    <dxf>
      <numFmt numFmtId="164" formatCode="_-* #,##0_-;\-* #,##0_-;_-* &quot;-&quot;??_-;_-@_-"/>
    </dxf>
    <dxf>
      <numFmt numFmtId="0" formatCode="General"/>
    </dxf>
    <dxf>
      <numFmt numFmtId="19" formatCode="dd/mm/yyyy"/>
    </dxf>
    <dxf>
      <numFmt numFmtId="19" formatCode="dd/mm/yyyy"/>
    </dxf>
    <dxf>
      <numFmt numFmtId="19" formatCode="dd/mm/yyyy"/>
    </dxf>
    <dxf>
      <numFmt numFmtId="19" formatCode="dd/mm/yyyy"/>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1"/>
        </patternFill>
      </fil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9" formatCode="dd/mm/yyyy"/>
    </dxf>
    <dxf>
      <numFmt numFmtId="164" formatCode="_-* #,##0_-;\-* #,##0_-;_-* &quot;-&quot;??_-;_-@_-"/>
      <fill>
        <patternFill patternType="solid">
          <fgColor indexed="64"/>
          <bgColor rgb="FFFFFF00"/>
        </patternFill>
      </fill>
    </dxf>
    <dxf>
      <numFmt numFmtId="19" formatCode="dd/mm/yyyy"/>
    </dxf>
    <dxf>
      <numFmt numFmtId="164" formatCode="_-* #,##0_-;\-* #,##0_-;_-* &quot;-&quot;??_-;_-@_-"/>
    </dxf>
    <dxf>
      <numFmt numFmtId="164" formatCode="_-* #,##0_-;\-* #,##0_-;_-* &quot;-&quot;??_-;_-@_-"/>
    </dxf>
    <dxf>
      <numFmt numFmtId="0" formatCode="General"/>
    </dxf>
    <dxf>
      <numFmt numFmtId="0" formatCode="General"/>
    </dxf>
    <dxf>
      <numFmt numFmtId="0" formatCode="General"/>
    </dxf>
    <dxf>
      <numFmt numFmtId="19" formatCode="dd/mm/yyyy"/>
    </dxf>
    <dxf>
      <numFmt numFmtId="19" formatCode="dd/mm/yyyy"/>
    </dxf>
    <dxf>
      <numFmt numFmtId="19" formatCode="dd/mm/yyyy"/>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 #,##0_-;\-* #,##0_-;_-* &quot;-&quot;??_-;_-@_-"/>
    </dxf>
    <dxf>
      <numFmt numFmtId="164" formatCode="_-* #,##0_-;\-* #,##0_-;_-* &quot;-&quot;??_-;_-@_-"/>
    </dxf>
    <dxf>
      <numFmt numFmtId="19" formatCode="dd/mm/yyyy"/>
    </dxf>
    <dxf>
      <numFmt numFmtId="19" formatCode="dd/mm/yyyy"/>
    </dxf>
    <dxf>
      <border diagonalUp="0" diagonalDown="0" outline="0">
        <left/>
        <right/>
        <top style="thin">
          <color auto="1"/>
        </top>
        <bottom/>
      </border>
    </dxf>
    <dxf>
      <numFmt numFmtId="164" formatCode="_-* #,##0_-;\-* #,##0_-;_-* &quot;-&quot;??_-;_-@_-"/>
      <border diagonalUp="0" diagonalDown="0" outline="0">
        <left style="thin">
          <color auto="1"/>
        </left>
        <right/>
        <top style="thin">
          <color auto="1"/>
        </top>
        <bottom/>
      </border>
    </dxf>
    <dxf>
      <numFmt numFmtId="164" formatCode="_-* #,##0_-;\-* #,##0_-;_-* &quot;-&quot;??_-;_-@_-"/>
      <border diagonalUp="0" diagonalDown="0">
        <left style="thin">
          <color auto="1"/>
        </left>
        <right/>
        <top style="thin">
          <color auto="1"/>
        </top>
        <bottom style="thin">
          <color auto="1"/>
        </bottom>
        <vertical/>
        <horizontal/>
      </border>
    </dxf>
    <dxf>
      <border diagonalUp="0" diagonalDown="0" outline="0">
        <left/>
        <right style="thin">
          <color auto="1"/>
        </right>
        <top style="thin">
          <color auto="1"/>
        </top>
        <bottom/>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indexed="64"/>
        </bottom>
      </border>
    </dxf>
    <dxf>
      <border diagonalUp="0" diagonalDown="0" outline="0">
        <left style="thin">
          <color indexed="64"/>
        </left>
        <right style="thin">
          <color indexed="64"/>
        </right>
        <top/>
        <bottom/>
      </border>
    </dxf>
    <dxf>
      <numFmt numFmtId="164" formatCode="_-* #,##0_-;\-* #,##0_-;_-* &quot;-&quot;??_-;_-@_-"/>
      <border diagonalUp="0" diagonalDown="0">
        <left style="thin">
          <color auto="1"/>
        </left>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indexed="64"/>
        </bottom>
      </border>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sz val="14"/>
      </font>
    </dxf>
    <dxf>
      <font>
        <b/>
      </font>
    </dxf>
    <dxf>
      <numFmt numFmtId="0" formatCode="General"/>
    </dxf>
    <dxf>
      <font>
        <b/>
        <i val="0"/>
        <strike val="0"/>
        <condense val="0"/>
        <extend val="0"/>
        <outline val="0"/>
        <shadow val="0"/>
        <u val="none"/>
        <vertAlign val="baseline"/>
        <sz val="11"/>
        <color theme="1"/>
        <name val="Aptos Narrow"/>
        <family val="2"/>
        <scheme val="minor"/>
      </font>
      <numFmt numFmtId="0" formatCode="Genera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9" formatCode="dd/mm/yyyy"/>
    </dxf>
    <dxf>
      <numFmt numFmtId="19" formatCode="dd/mm/yyyy"/>
    </dxf>
    <dxf>
      <numFmt numFmtId="164" formatCode="_-* #,##0_-;\-* #,##0_-;_-* &quot;-&quot;??_-;_-@_-"/>
      <border diagonalUp="0" diagonalDown="0">
        <left/>
        <right style="medium">
          <color indexed="64"/>
        </right>
        <vertical/>
      </border>
    </dxf>
    <dxf>
      <border diagonalUp="0" diagonalDown="0">
        <left style="medium">
          <color indexed="64"/>
        </left>
        <right/>
        <vertical/>
      </border>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4" formatCode="_-* #,##0_-;\-* #,##0_-;_-* &quot;-&quot;??_-;_-@_-"/>
    </dxf>
    <dxf>
      <numFmt numFmtId="164" formatCode="_-* #,##0_-;\-* #,##0_-;_-* &quot;-&quot;??_-;_-@_-"/>
    </dxf>
    <dxf>
      <numFmt numFmtId="164" formatCode="_-* #,##0_-;\-* #,##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dxf>
    <dxf>
      <font>
        <b/>
        <i val="0"/>
        <strike val="0"/>
        <condense val="0"/>
        <extend val="0"/>
        <outline val="0"/>
        <shadow val="0"/>
        <u val="none"/>
        <vertAlign val="baseline"/>
        <sz val="14"/>
        <color theme="1"/>
        <name val="Aptos Narrow"/>
        <family val="2"/>
        <scheme val="minor"/>
      </font>
    </dxf>
    <dxf>
      <font>
        <b/>
        <i val="0"/>
        <strike val="0"/>
        <condense val="0"/>
        <extend val="0"/>
        <outline val="0"/>
        <shadow val="0"/>
        <u val="none"/>
        <vertAlign val="baseline"/>
        <sz val="12"/>
        <color theme="1"/>
        <name val="Aptos Narrow"/>
        <family val="2"/>
        <scheme val="minor"/>
      </font>
    </dxf>
    <dxf>
      <numFmt numFmtId="164" formatCode="_-* #,##0_-;\-* #,##0_-;_-* &quot;-&quot;??_-;_-@_-"/>
    </dxf>
    <dxf>
      <numFmt numFmtId="1" formatCode="0"/>
    </dxf>
    <dxf>
      <numFmt numFmtId="0" formatCode="General"/>
    </dxf>
    <dxf>
      <numFmt numFmtId="2" formatCode="0.00"/>
    </dxf>
    <dxf>
      <numFmt numFmtId="1" formatCode="0"/>
    </dxf>
    <dxf>
      <numFmt numFmtId="164" formatCode="_-* #,##0_-;\-* #,##0_-;_-* &quot;-&quot;??_-;_-@_-"/>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openxmlformats.org/officeDocument/2006/relationships/powerPivotData" Target="model/item.data"/><Relationship Id="rId21" Type="http://schemas.openxmlformats.org/officeDocument/2006/relationships/pivotCacheDefinition" Target="pivotCache/pivotCacheDefinition2.xml"/><Relationship Id="rId34" Type="http://schemas.openxmlformats.org/officeDocument/2006/relationships/theme" Target="theme/theme1.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4.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07/relationships/slicerCache" Target="slicerCaches/slicerCache7.xml"/><Relationship Id="rId37" Type="http://schemas.openxmlformats.org/officeDocument/2006/relationships/sharedStrings" Target="sharedStrings.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3.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microsoft.com/office/2007/relationships/slicerCache" Target="slicerCaches/slicerCache8.xml"/><Relationship Id="rId38"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11</xdr:col>
      <xdr:colOff>693606</xdr:colOff>
      <xdr:row>109</xdr:row>
      <xdr:rowOff>87338</xdr:rowOff>
    </xdr:from>
    <xdr:to>
      <xdr:col>15</xdr:col>
      <xdr:colOff>817243</xdr:colOff>
      <xdr:row>116</xdr:row>
      <xdr:rowOff>158331</xdr:rowOff>
    </xdr:to>
    <mc:AlternateContent xmlns:mc="http://schemas.openxmlformats.org/markup-compatibility/2006" xmlns:sle15="http://schemas.microsoft.com/office/drawing/2012/slicer">
      <mc:Choice Requires="sle15">
        <xdr:graphicFrame macro="">
          <xdr:nvGraphicFramePr>
            <xdr:cNvPr id="2" name="Party Name">
              <a:extLst>
                <a:ext uri="{FF2B5EF4-FFF2-40B4-BE49-F238E27FC236}">
                  <a16:creationId xmlns:a16="http://schemas.microsoft.com/office/drawing/2014/main" id="{8259DA32-45F5-EBDD-5B95-34700BFA09B9}"/>
                </a:ext>
              </a:extLst>
            </xdr:cNvPr>
            <xdr:cNvGraphicFramePr/>
          </xdr:nvGraphicFramePr>
          <xdr:xfrm>
            <a:off x="0" y="0"/>
            <a:ext cx="0" cy="0"/>
          </xdr:xfrm>
          <a:graphic>
            <a:graphicData uri="http://schemas.microsoft.com/office/drawing/2010/slicer">
              <sle:slicer xmlns:sle="http://schemas.microsoft.com/office/drawing/2010/slicer" name="Party Name"/>
            </a:graphicData>
          </a:graphic>
        </xdr:graphicFrame>
      </mc:Choice>
      <mc:Fallback xmlns="">
        <xdr:sp macro="" textlink="">
          <xdr:nvSpPr>
            <xdr:cNvPr id="0" name=""/>
            <xdr:cNvSpPr>
              <a:spLocks noTextEdit="1"/>
            </xdr:cNvSpPr>
          </xdr:nvSpPr>
          <xdr:spPr>
            <a:xfrm>
              <a:off x="13068703" y="20345387"/>
              <a:ext cx="4416856" cy="1371968"/>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243647</xdr:colOff>
      <xdr:row>230</xdr:row>
      <xdr:rowOff>46711</xdr:rowOff>
    </xdr:from>
    <xdr:to>
      <xdr:col>1</xdr:col>
      <xdr:colOff>984183</xdr:colOff>
      <xdr:row>238</xdr:row>
      <xdr:rowOff>105110</xdr:rowOff>
    </xdr:to>
    <mc:AlternateContent xmlns:mc="http://schemas.openxmlformats.org/markup-compatibility/2006" xmlns:sle15="http://schemas.microsoft.com/office/drawing/2012/slicer">
      <mc:Choice Requires="sle15">
        <xdr:graphicFrame macro="">
          <xdr:nvGraphicFramePr>
            <xdr:cNvPr id="3" name="Date">
              <a:extLst>
                <a:ext uri="{FF2B5EF4-FFF2-40B4-BE49-F238E27FC236}">
                  <a16:creationId xmlns:a16="http://schemas.microsoft.com/office/drawing/2014/main" id="{21711736-4BA5-0C40-7222-5B278D3B7DEA}"/>
                </a:ext>
                <a:ext uri="{147F2762-F138-4A5C-976F-8EAC2B608ADB}">
                  <a16:predDERef xmlns:a16="http://schemas.microsoft.com/office/drawing/2014/main" pred="{8259DA32-45F5-EBDD-5B95-34700BFA09B9}"/>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43647" y="42417260"/>
              <a:ext cx="1879349" cy="1532158"/>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461699</xdr:colOff>
      <xdr:row>27</xdr:row>
      <xdr:rowOff>56423</xdr:rowOff>
    </xdr:from>
    <xdr:to>
      <xdr:col>11</xdr:col>
      <xdr:colOff>66829</xdr:colOff>
      <xdr:row>40</xdr:row>
      <xdr:rowOff>92994</xdr:rowOff>
    </xdr:to>
    <mc:AlternateContent xmlns:mc="http://schemas.openxmlformats.org/markup-compatibility/2006" xmlns:sle15="http://schemas.microsoft.com/office/drawing/2012/slicer">
      <mc:Choice Requires="sle15">
        <xdr:graphicFrame macro="">
          <xdr:nvGraphicFramePr>
            <xdr:cNvPr id="2" name="Party Name 1">
              <a:extLst>
                <a:ext uri="{FF2B5EF4-FFF2-40B4-BE49-F238E27FC236}">
                  <a16:creationId xmlns:a16="http://schemas.microsoft.com/office/drawing/2014/main" id="{2078434D-1B2A-7CD5-B26B-3D2054BBA3D8}"/>
                </a:ext>
              </a:extLst>
            </xdr:cNvPr>
            <xdr:cNvGraphicFramePr/>
          </xdr:nvGraphicFramePr>
          <xdr:xfrm>
            <a:off x="0" y="0"/>
            <a:ext cx="0" cy="0"/>
          </xdr:xfrm>
          <a:graphic>
            <a:graphicData uri="http://schemas.microsoft.com/office/drawing/2010/slicer">
              <sle:slicer xmlns:sle="http://schemas.microsoft.com/office/drawing/2010/slicer" name="Party Name 1"/>
            </a:graphicData>
          </a:graphic>
        </xdr:graphicFrame>
      </mc:Choice>
      <mc:Fallback xmlns="">
        <xdr:sp macro="" textlink="">
          <xdr:nvSpPr>
            <xdr:cNvPr id="0" name=""/>
            <xdr:cNvSpPr>
              <a:spLocks noTextEdit="1"/>
            </xdr:cNvSpPr>
          </xdr:nvSpPr>
          <xdr:spPr>
            <a:xfrm>
              <a:off x="10010347" y="5033071"/>
              <a:ext cx="1859599" cy="2427675"/>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10</xdr:col>
      <xdr:colOff>481023</xdr:colOff>
      <xdr:row>7</xdr:row>
      <xdr:rowOff>43181</xdr:rowOff>
    </xdr:from>
    <xdr:to>
      <xdr:col>13</xdr:col>
      <xdr:colOff>342772</xdr:colOff>
      <xdr:row>11</xdr:row>
      <xdr:rowOff>141514</xdr:rowOff>
    </xdr:to>
    <mc:AlternateContent xmlns:mc="http://schemas.openxmlformats.org/markup-compatibility/2006" xmlns:sle15="http://schemas.microsoft.com/office/drawing/2012/slicer">
      <mc:Choice Requires="sle15">
        <xdr:graphicFrame macro="">
          <xdr:nvGraphicFramePr>
            <xdr:cNvPr id="3" name="Date 1">
              <a:extLst>
                <a:ext uri="{FF2B5EF4-FFF2-40B4-BE49-F238E27FC236}">
                  <a16:creationId xmlns:a16="http://schemas.microsoft.com/office/drawing/2014/main" id="{2FD3A6BB-AB30-2E41-D0AA-0842C10BDF25}"/>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0727522" y="1347048"/>
              <a:ext cx="2251238" cy="843399"/>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179312</xdr:colOff>
      <xdr:row>12</xdr:row>
      <xdr:rowOff>138748</xdr:rowOff>
    </xdr:from>
    <xdr:to>
      <xdr:col>14</xdr:col>
      <xdr:colOff>478515</xdr:colOff>
      <xdr:row>21</xdr:row>
      <xdr:rowOff>81973</xdr:rowOff>
    </xdr:to>
    <mc:AlternateContent xmlns:mc="http://schemas.openxmlformats.org/markup-compatibility/2006" xmlns:sle15="http://schemas.microsoft.com/office/drawing/2012/slicer">
      <mc:Choice Requires="sle15">
        <xdr:graphicFrame macro="">
          <xdr:nvGraphicFramePr>
            <xdr:cNvPr id="2" name="Party">
              <a:extLst>
                <a:ext uri="{FF2B5EF4-FFF2-40B4-BE49-F238E27FC236}">
                  <a16:creationId xmlns:a16="http://schemas.microsoft.com/office/drawing/2014/main" id="{46A80067-1595-EB06-C9E8-CC1ACACB97FE}"/>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mlns="">
        <xdr:sp macro="" textlink="">
          <xdr:nvSpPr>
            <xdr:cNvPr id="0" name=""/>
            <xdr:cNvSpPr>
              <a:spLocks noTextEdit="1"/>
            </xdr:cNvSpPr>
          </xdr:nvSpPr>
          <xdr:spPr>
            <a:xfrm>
              <a:off x="10419892" y="2355475"/>
              <a:ext cx="3441644" cy="1605771"/>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8</xdr:col>
      <xdr:colOff>546660</xdr:colOff>
      <xdr:row>10</xdr:row>
      <xdr:rowOff>152401</xdr:rowOff>
    </xdr:from>
    <xdr:to>
      <xdr:col>11</xdr:col>
      <xdr:colOff>41514</xdr:colOff>
      <xdr:row>17</xdr:row>
      <xdr:rowOff>7620</xdr:rowOff>
    </xdr:to>
    <mc:AlternateContent xmlns:mc="http://schemas.openxmlformats.org/markup-compatibility/2006" xmlns:sle15="http://schemas.microsoft.com/office/drawing/2012/slicer">
      <mc:Choice Requires="sle15">
        <xdr:graphicFrame macro="">
          <xdr:nvGraphicFramePr>
            <xdr:cNvPr id="2" name="Party Name 2">
              <a:extLst>
                <a:ext uri="{FF2B5EF4-FFF2-40B4-BE49-F238E27FC236}">
                  <a16:creationId xmlns:a16="http://schemas.microsoft.com/office/drawing/2014/main" id="{982FB2B7-BB79-2919-5556-DB024E50BA32}"/>
                </a:ext>
              </a:extLst>
            </xdr:cNvPr>
            <xdr:cNvGraphicFramePr/>
          </xdr:nvGraphicFramePr>
          <xdr:xfrm>
            <a:off x="0" y="0"/>
            <a:ext cx="0" cy="0"/>
          </xdr:xfrm>
          <a:graphic>
            <a:graphicData uri="http://schemas.microsoft.com/office/drawing/2010/slicer">
              <sle:slicer xmlns:sle="http://schemas.microsoft.com/office/drawing/2010/slicer" name="Party Name 2"/>
            </a:graphicData>
          </a:graphic>
        </xdr:graphicFrame>
      </mc:Choice>
      <mc:Fallback xmlns="">
        <xdr:sp macro="" textlink="">
          <xdr:nvSpPr>
            <xdr:cNvPr id="0" name=""/>
            <xdr:cNvSpPr>
              <a:spLocks noTextEdit="1"/>
            </xdr:cNvSpPr>
          </xdr:nvSpPr>
          <xdr:spPr>
            <a:xfrm>
              <a:off x="7008420" y="1981201"/>
              <a:ext cx="1959924" cy="1135379"/>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11</xdr:col>
      <xdr:colOff>463399</xdr:colOff>
      <xdr:row>10</xdr:row>
      <xdr:rowOff>30996</xdr:rowOff>
    </xdr:from>
    <xdr:to>
      <xdr:col>14</xdr:col>
      <xdr:colOff>471148</xdr:colOff>
      <xdr:row>24</xdr:row>
      <xdr:rowOff>80882</xdr:rowOff>
    </xdr:to>
    <mc:AlternateContent xmlns:mc="http://schemas.openxmlformats.org/markup-compatibility/2006" xmlns:sle15="http://schemas.microsoft.com/office/drawing/2012/slicer">
      <mc:Choice Requires="sle15">
        <xdr:graphicFrame macro="">
          <xdr:nvGraphicFramePr>
            <xdr:cNvPr id="2" name="Person">
              <a:extLst>
                <a:ext uri="{FF2B5EF4-FFF2-40B4-BE49-F238E27FC236}">
                  <a16:creationId xmlns:a16="http://schemas.microsoft.com/office/drawing/2014/main" id="{61B25ECF-139D-2B91-5D20-EAF105CE7515}"/>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8399823" y="1839132"/>
              <a:ext cx="1828800" cy="2581275"/>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150706</xdr:colOff>
      <xdr:row>3</xdr:row>
      <xdr:rowOff>67734</xdr:rowOff>
    </xdr:from>
    <xdr:to>
      <xdr:col>12</xdr:col>
      <xdr:colOff>438576</xdr:colOff>
      <xdr:row>17</xdr:row>
      <xdr:rowOff>41276</xdr:rowOff>
    </xdr:to>
    <mc:AlternateContent xmlns:mc="http://schemas.openxmlformats.org/markup-compatibility/2006" xmlns:a14="http://schemas.microsoft.com/office/drawing/2010/main">
      <mc:Choice Requires="a14">
        <xdr:graphicFrame macro="">
          <xdr:nvGraphicFramePr>
            <xdr:cNvPr id="2" name="Shipment Number">
              <a:extLst>
                <a:ext uri="{FF2B5EF4-FFF2-40B4-BE49-F238E27FC236}">
                  <a16:creationId xmlns:a16="http://schemas.microsoft.com/office/drawing/2014/main" id="{46BC7137-382B-BA5E-E548-421ADD6BCB8A}"/>
                </a:ext>
              </a:extLst>
            </xdr:cNvPr>
            <xdr:cNvGraphicFramePr/>
          </xdr:nvGraphicFramePr>
          <xdr:xfrm>
            <a:off x="0" y="0"/>
            <a:ext cx="0" cy="0"/>
          </xdr:xfrm>
          <a:graphic>
            <a:graphicData uri="http://schemas.microsoft.com/office/drawing/2010/slicer">
              <sle:slicer xmlns:sle="http://schemas.microsoft.com/office/drawing/2010/slicer" name="Shipment Number"/>
            </a:graphicData>
          </a:graphic>
        </xdr:graphicFrame>
      </mc:Choice>
      <mc:Fallback xmlns="">
        <xdr:sp macro="" textlink="">
          <xdr:nvSpPr>
            <xdr:cNvPr id="0" name=""/>
            <xdr:cNvSpPr>
              <a:spLocks noTextEdit="1"/>
            </xdr:cNvSpPr>
          </xdr:nvSpPr>
          <xdr:spPr>
            <a:xfrm>
              <a:off x="10920306" y="626534"/>
              <a:ext cx="1828800" cy="25812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ern-my.sharepoint.com/personal/25020299_lums_edu_pk/Documents/Desktop/Factory/Factory_Khata_October.xlsx" TargetMode="External"/><Relationship Id="rId1" Type="http://schemas.openxmlformats.org/officeDocument/2006/relationships/externalLinkPath" Target="Factory_Khata_Octob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lling"/>
      <sheetName val="Bill Print"/>
      <sheetName val="Expenses"/>
      <sheetName val="Profit"/>
      <sheetName val="Transport"/>
      <sheetName val="ledger"/>
      <sheetName val="Wood"/>
      <sheetName val="Cashbook"/>
      <sheetName val="Dyes"/>
      <sheetName val="Finish"/>
      <sheetName val="Electricity"/>
      <sheetName val="Miscellaneous"/>
      <sheetName val="Salary Acc"/>
      <sheetName val="pivot "/>
      <sheetName val="Running Acc"/>
      <sheetName val="Balance"/>
      <sheetName val="Sheet1"/>
      <sheetName val="Cashflow"/>
    </sheetNames>
    <sheetDataSet>
      <sheetData sheetId="0">
        <row r="5">
          <cell r="Q5" t="str">
            <v>BSC</v>
          </cell>
          <cell r="R5">
            <v>2205408</v>
          </cell>
          <cell r="S5">
            <v>2016649.5976591078</v>
          </cell>
          <cell r="T5">
            <v>1895402.3408924653</v>
          </cell>
          <cell r="U5">
            <v>121247.2567666423</v>
          </cell>
          <cell r="V5">
            <v>18954023.408924658</v>
          </cell>
          <cell r="W5">
            <v>1487858.4491587421</v>
          </cell>
          <cell r="X5">
            <v>0</v>
          </cell>
          <cell r="Y5">
            <v>0</v>
          </cell>
          <cell r="AA5">
            <v>18411676</v>
          </cell>
        </row>
        <row r="6">
          <cell r="Q6" t="str">
            <v>Ejaz Sahab</v>
          </cell>
          <cell r="R6">
            <v>277841</v>
          </cell>
          <cell r="S6">
            <v>254060.89978054137</v>
          </cell>
          <cell r="T6">
            <v>148145.57425018289</v>
          </cell>
          <cell r="U6">
            <v>105915.32553035846</v>
          </cell>
          <cell r="V6">
            <v>1481455.7425018288</v>
          </cell>
          <cell r="W6">
            <v>1317755.1207022679</v>
          </cell>
          <cell r="X6">
            <v>0</v>
          </cell>
          <cell r="Y6">
            <v>0</v>
          </cell>
          <cell r="AA6">
            <v>3163904</v>
          </cell>
        </row>
        <row r="7">
          <cell r="Q7" t="str">
            <v>Arshad</v>
          </cell>
          <cell r="R7">
            <v>445506</v>
          </cell>
          <cell r="S7">
            <v>407375.64008778351</v>
          </cell>
          <cell r="T7">
            <v>392581.38258961233</v>
          </cell>
          <cell r="U7">
            <v>14794.257498171179</v>
          </cell>
          <cell r="V7">
            <v>3925813.8258961234</v>
          </cell>
          <cell r="W7">
            <v>177531.08997805414</v>
          </cell>
          <cell r="X7">
            <v>0</v>
          </cell>
          <cell r="Y7">
            <v>0</v>
          </cell>
          <cell r="AA7">
            <v>4102935</v>
          </cell>
        </row>
        <row r="8">
          <cell r="Q8" t="str">
            <v>Shehzad Kamoki</v>
          </cell>
          <cell r="R8">
            <v>134607</v>
          </cell>
          <cell r="S8">
            <v>123086.13752743235</v>
          </cell>
          <cell r="T8">
            <v>123086.13752743235</v>
          </cell>
          <cell r="U8">
            <v>0</v>
          </cell>
          <cell r="V8">
            <v>1269270.3440380397</v>
          </cell>
          <cell r="W8">
            <v>0</v>
          </cell>
          <cell r="X8">
            <v>0</v>
          </cell>
          <cell r="Y8">
            <v>0</v>
          </cell>
          <cell r="AA8">
            <v>1268740</v>
          </cell>
        </row>
        <row r="9">
          <cell r="Q9" t="str">
            <v>Sufi Nawaz Sahab</v>
          </cell>
          <cell r="R9">
            <v>1186725</v>
          </cell>
          <cell r="S9">
            <v>1085154.5354791514</v>
          </cell>
          <cell r="T9">
            <v>599330.65106071695</v>
          </cell>
          <cell r="U9">
            <v>485823.88441843458</v>
          </cell>
          <cell r="V9">
            <v>5408917.8595464528</v>
          </cell>
          <cell r="W9">
            <v>5829886.6130212145</v>
          </cell>
          <cell r="X9">
            <v>0</v>
          </cell>
          <cell r="Y9">
            <v>0</v>
          </cell>
          <cell r="AA9">
            <v>10629100</v>
          </cell>
        </row>
        <row r="10">
          <cell r="Q10" t="str">
            <v>Sajad Khan</v>
          </cell>
          <cell r="R10">
            <v>604680</v>
          </cell>
          <cell r="S10">
            <v>552926.11558156554</v>
          </cell>
          <cell r="T10">
            <v>547436.90563277248</v>
          </cell>
          <cell r="U10">
            <v>0</v>
          </cell>
          <cell r="V10">
            <v>5474369.0563277248</v>
          </cell>
          <cell r="W10">
            <v>0</v>
          </cell>
          <cell r="X10">
            <v>71359.729334308722</v>
          </cell>
          <cell r="Y10">
            <v>0</v>
          </cell>
          <cell r="AA10">
            <v>5544810</v>
          </cell>
        </row>
        <row r="11">
          <cell r="Q11" t="str">
            <v>Raaz Fabrics</v>
          </cell>
          <cell r="R11">
            <v>100916</v>
          </cell>
          <cell r="S11">
            <v>92278.712509144127</v>
          </cell>
          <cell r="T11">
            <v>92278.712509144127</v>
          </cell>
          <cell r="U11">
            <v>0</v>
          </cell>
          <cell r="V11">
            <v>922787.12509144121</v>
          </cell>
          <cell r="W11">
            <v>0</v>
          </cell>
          <cell r="X11">
            <v>0</v>
          </cell>
          <cell r="Y11">
            <v>0</v>
          </cell>
          <cell r="AA11">
            <v>900000</v>
          </cell>
        </row>
        <row r="12">
          <cell r="Q12" t="str">
            <v>Azam</v>
          </cell>
          <cell r="R12">
            <v>204500</v>
          </cell>
          <cell r="S12">
            <v>186997.07388441847</v>
          </cell>
          <cell r="T12">
            <v>161808.70519385519</v>
          </cell>
          <cell r="U12">
            <v>25188.368690563279</v>
          </cell>
          <cell r="V12">
            <v>1618087.0519385519</v>
          </cell>
          <cell r="W12">
            <v>327448.79297732259</v>
          </cell>
          <cell r="X12">
            <v>0</v>
          </cell>
          <cell r="Y12">
            <v>0</v>
          </cell>
          <cell r="AA12">
            <v>1617620</v>
          </cell>
        </row>
        <row r="13">
          <cell r="Q13" t="str">
            <v>Ubaidullah</v>
          </cell>
          <cell r="R13">
            <v>66850</v>
          </cell>
          <cell r="S13">
            <v>61128.383321141191</v>
          </cell>
          <cell r="T13">
            <v>46132.955376737387</v>
          </cell>
          <cell r="U13">
            <v>14995.427944403806</v>
          </cell>
          <cell r="V13">
            <v>461329.5537673739</v>
          </cell>
          <cell r="W13">
            <v>179945.13533284568</v>
          </cell>
          <cell r="X13">
            <v>0</v>
          </cell>
          <cell r="Y13">
            <v>0</v>
          </cell>
          <cell r="AA13">
            <v>630150</v>
          </cell>
        </row>
        <row r="14">
          <cell r="Q14" t="str">
            <v>Ashraf Zia</v>
          </cell>
          <cell r="R14">
            <v>23305</v>
          </cell>
          <cell r="S14">
            <v>21310.35113386979</v>
          </cell>
          <cell r="T14">
            <v>21310.35113386979</v>
          </cell>
          <cell r="U14">
            <v>0</v>
          </cell>
          <cell r="V14">
            <v>255724.21360643749</v>
          </cell>
          <cell r="W14">
            <v>0</v>
          </cell>
          <cell r="X14">
            <v>0</v>
          </cell>
          <cell r="Y14">
            <v>0</v>
          </cell>
          <cell r="AA14">
            <v>0</v>
          </cell>
        </row>
        <row r="15">
          <cell r="Q15" t="str">
            <v>Hafiz Qureshi</v>
          </cell>
          <cell r="R15">
            <v>132491</v>
          </cell>
          <cell r="S15">
            <v>121151.24359912217</v>
          </cell>
          <cell r="T15">
            <v>121151.24359912217</v>
          </cell>
          <cell r="U15">
            <v>0</v>
          </cell>
          <cell r="V15">
            <v>1211512.4359912218</v>
          </cell>
          <cell r="W15">
            <v>0</v>
          </cell>
          <cell r="X15">
            <v>0</v>
          </cell>
          <cell r="Y15">
            <v>0</v>
          </cell>
          <cell r="AA15">
            <v>1200000</v>
          </cell>
        </row>
        <row r="16">
          <cell r="Q16" t="str">
            <v>Badshah Fabrics</v>
          </cell>
          <cell r="R16">
            <v>442848</v>
          </cell>
          <cell r="S16">
            <v>404945.13533284568</v>
          </cell>
          <cell r="T16">
            <v>341790.4169714704</v>
          </cell>
          <cell r="U16">
            <v>63154.718361375279</v>
          </cell>
          <cell r="V16">
            <v>3417904.1697147042</v>
          </cell>
          <cell r="W16">
            <v>757856.62033650337</v>
          </cell>
          <cell r="X16">
            <v>0</v>
          </cell>
          <cell r="Y16">
            <v>0</v>
          </cell>
          <cell r="AA16">
            <v>4000544</v>
          </cell>
        </row>
        <row r="17">
          <cell r="Q17" t="str">
            <v>Reject</v>
          </cell>
          <cell r="R17">
            <v>0</v>
          </cell>
          <cell r="S17">
            <v>0</v>
          </cell>
          <cell r="T17">
            <v>0</v>
          </cell>
          <cell r="U17">
            <v>0</v>
          </cell>
          <cell r="V17">
            <v>0</v>
          </cell>
          <cell r="W17">
            <v>0</v>
          </cell>
          <cell r="X17">
            <v>0</v>
          </cell>
          <cell r="Y17">
            <v>0</v>
          </cell>
          <cell r="AA17">
            <v>0</v>
          </cell>
        </row>
        <row r="18">
          <cell r="Q18" t="str">
            <v>Amjad 7up</v>
          </cell>
          <cell r="R18">
            <v>52914</v>
          </cell>
          <cell r="S18">
            <v>48385.149963423559</v>
          </cell>
          <cell r="T18">
            <v>48385.149963423559</v>
          </cell>
          <cell r="U18">
            <v>0</v>
          </cell>
          <cell r="V18">
            <v>483851.49963423557</v>
          </cell>
          <cell r="W18">
            <v>0</v>
          </cell>
          <cell r="X18">
            <v>0</v>
          </cell>
          <cell r="Y18">
            <v>0</v>
          </cell>
          <cell r="AA18">
            <v>480000</v>
          </cell>
        </row>
        <row r="19">
          <cell r="Q19" t="str">
            <v>Hazrat Khan</v>
          </cell>
          <cell r="R19">
            <v>9750</v>
          </cell>
          <cell r="S19">
            <v>8915.5084125822978</v>
          </cell>
          <cell r="T19">
            <v>8915.5084125822978</v>
          </cell>
          <cell r="U19">
            <v>0</v>
          </cell>
          <cell r="V19">
            <v>89155.084125822978</v>
          </cell>
          <cell r="W19">
            <v>0</v>
          </cell>
          <cell r="X19">
            <v>0</v>
          </cell>
          <cell r="Y19">
            <v>0</v>
          </cell>
          <cell r="AA19">
            <v>95000</v>
          </cell>
        </row>
        <row r="20">
          <cell r="Q20" t="str">
            <v>Haseeb Shamsi</v>
          </cell>
          <cell r="R20">
            <v>61975</v>
          </cell>
          <cell r="S20">
            <v>56670.629114850046</v>
          </cell>
          <cell r="T20">
            <v>47437.820043891741</v>
          </cell>
          <cell r="U20">
            <v>9232.809070958303</v>
          </cell>
          <cell r="V20">
            <v>474378.20043891744</v>
          </cell>
          <cell r="W20">
            <v>120026.51792245793</v>
          </cell>
          <cell r="X20">
            <v>0</v>
          </cell>
          <cell r="Y20">
            <v>0</v>
          </cell>
          <cell r="AA20">
            <v>474200</v>
          </cell>
        </row>
        <row r="21">
          <cell r="Q21" t="str">
            <v>Faizan</v>
          </cell>
          <cell r="R21">
            <v>222185</v>
          </cell>
          <cell r="S21">
            <v>203168.43452816387</v>
          </cell>
          <cell r="T21">
            <v>0</v>
          </cell>
          <cell r="U21">
            <v>200198.42721287493</v>
          </cell>
          <cell r="V21">
            <v>0</v>
          </cell>
          <cell r="W21">
            <v>2602579.5537673743</v>
          </cell>
          <cell r="X21">
            <v>44550.109729334312</v>
          </cell>
          <cell r="Y21">
            <v>0</v>
          </cell>
          <cell r="AA21">
            <v>2915571</v>
          </cell>
        </row>
        <row r="22">
          <cell r="Q22" t="str">
            <v>Shafique Ansari</v>
          </cell>
          <cell r="R22">
            <v>82290</v>
          </cell>
          <cell r="S22">
            <v>75246.891002194592</v>
          </cell>
          <cell r="T22">
            <v>64300.475493782011</v>
          </cell>
          <cell r="U22">
            <v>7565.8376005852242</v>
          </cell>
          <cell r="V22">
            <v>643004.75493782014</v>
          </cell>
          <cell r="W22">
            <v>98355.888807607917</v>
          </cell>
          <cell r="X22">
            <v>0</v>
          </cell>
          <cell r="Y22">
            <v>94656.181419166067</v>
          </cell>
          <cell r="AA22">
            <v>835660</v>
          </cell>
        </row>
        <row r="23">
          <cell r="Q23" t="str">
            <v>Amjad sohail</v>
          </cell>
          <cell r="R23">
            <v>108349</v>
          </cell>
          <cell r="S23">
            <v>99075.530358449163</v>
          </cell>
          <cell r="T23">
            <v>55241.40453547916</v>
          </cell>
          <cell r="U23">
            <v>43834.125822970011</v>
          </cell>
          <cell r="V23">
            <v>552414.04535479157</v>
          </cell>
          <cell r="W23">
            <v>569843.63569861022</v>
          </cell>
          <cell r="X23">
            <v>0</v>
          </cell>
          <cell r="Y23">
            <v>0</v>
          </cell>
          <cell r="AA23">
            <v>800000</v>
          </cell>
        </row>
        <row r="24">
          <cell r="Q24" t="str">
            <v>Salman Zaffar</v>
          </cell>
          <cell r="R24">
            <v>0</v>
          </cell>
          <cell r="S24">
            <v>0</v>
          </cell>
          <cell r="T24">
            <v>0</v>
          </cell>
          <cell r="U24">
            <v>0</v>
          </cell>
          <cell r="V24">
            <v>0</v>
          </cell>
          <cell r="W24">
            <v>0</v>
          </cell>
          <cell r="X24">
            <v>0</v>
          </cell>
          <cell r="Y24">
            <v>0</v>
          </cell>
          <cell r="AA24">
            <v>0</v>
          </cell>
        </row>
        <row r="25">
          <cell r="R25">
            <v>0</v>
          </cell>
          <cell r="S25">
            <v>0</v>
          </cell>
          <cell r="T25">
            <v>0</v>
          </cell>
          <cell r="U25">
            <v>0</v>
          </cell>
          <cell r="V25">
            <v>0</v>
          </cell>
          <cell r="W25">
            <v>0</v>
          </cell>
          <cell r="X25">
            <v>0</v>
          </cell>
          <cell r="Y25">
            <v>0</v>
          </cell>
          <cell r="AA25">
            <v>0</v>
          </cell>
        </row>
        <row r="26">
          <cell r="R26">
            <v>0</v>
          </cell>
          <cell r="S26">
            <v>0</v>
          </cell>
          <cell r="T26">
            <v>0</v>
          </cell>
          <cell r="U26">
            <v>0</v>
          </cell>
          <cell r="V26">
            <v>0</v>
          </cell>
          <cell r="W26">
            <v>0</v>
          </cell>
          <cell r="X26">
            <v>0</v>
          </cell>
          <cell r="Y26">
            <v>0</v>
          </cell>
          <cell r="AA26">
            <v>0</v>
          </cell>
        </row>
        <row r="27">
          <cell r="R27">
            <v>0</v>
          </cell>
          <cell r="S27">
            <v>0</v>
          </cell>
          <cell r="T27">
            <v>0</v>
          </cell>
          <cell r="U27">
            <v>0</v>
          </cell>
          <cell r="V27">
            <v>0</v>
          </cell>
          <cell r="W27">
            <v>0</v>
          </cell>
          <cell r="X27">
            <v>0</v>
          </cell>
          <cell r="Y27">
            <v>0</v>
          </cell>
          <cell r="AA27">
            <v>0</v>
          </cell>
        </row>
        <row r="28">
          <cell r="R28">
            <v>0</v>
          </cell>
          <cell r="S28">
            <v>0</v>
          </cell>
          <cell r="T28">
            <v>0</v>
          </cell>
          <cell r="U28">
            <v>0</v>
          </cell>
          <cell r="V28">
            <v>0</v>
          </cell>
          <cell r="W28">
            <v>0</v>
          </cell>
          <cell r="X28">
            <v>0</v>
          </cell>
          <cell r="Y28">
            <v>0</v>
          </cell>
          <cell r="AA28">
            <v>0</v>
          </cell>
        </row>
        <row r="29">
          <cell r="R29">
            <v>0</v>
          </cell>
          <cell r="S29">
            <v>0</v>
          </cell>
          <cell r="T29">
            <v>0</v>
          </cell>
          <cell r="U29">
            <v>0</v>
          </cell>
          <cell r="V29">
            <v>0</v>
          </cell>
          <cell r="W29">
            <v>0</v>
          </cell>
          <cell r="Y29">
            <v>0</v>
          </cell>
          <cell r="AA29">
            <v>0</v>
          </cell>
        </row>
      </sheetData>
      <sheetData sheetId="1"/>
      <sheetData sheetId="2"/>
      <sheetData sheetId="3"/>
      <sheetData sheetId="4"/>
      <sheetData sheetId="5"/>
      <sheetData sheetId="6"/>
      <sheetData sheetId="7">
        <row r="5">
          <cell r="N5">
            <v>-673115</v>
          </cell>
        </row>
        <row r="6">
          <cell r="N6">
            <v>-584716</v>
          </cell>
        </row>
      </sheetData>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04.851531828703" createdVersion="8" refreshedVersion="8" minRefreshableVersion="3" recordCount="381" xr:uid="{B5BDFB73-D93A-4A7A-8149-666BC190B09B}">
  <cacheSource type="worksheet">
    <worksheetSource name="Table14"/>
  </cacheSource>
  <cacheFields count="7">
    <cacheField name="Date" numFmtId="14">
      <sharedItems containsNonDate="0" containsDate="1" containsString="0" containsBlank="1" minDate="2025-10-17T00:00:00" maxDate="2025-12-12T00:00:00"/>
    </cacheField>
    <cacheField name="Party" numFmtId="0">
      <sharedItems containsBlank="1" count="73">
        <s v="Closing October CF"/>
        <s v="Omer"/>
        <s v="Dasti"/>
        <s v="kaleem ullah"/>
        <s v="Aurangzeb"/>
        <s v="Malik Zaheer"/>
        <s v="Parts"/>
        <s v="BSC"/>
        <s v="salary"/>
        <s v="Arshad"/>
        <s v="Rashan"/>
        <s v="Transport"/>
        <s v="Finish"/>
        <s v="advance salary"/>
        <s v="madina dyes"/>
        <s v="ejaz sahab"/>
        <s v="Electricity"/>
        <s v="Azam"/>
        <s v="Badshah Fabrics"/>
        <s v="Amjad Sohail"/>
        <s v="Haseeb Shamsi"/>
        <s v="Ashraf Zia"/>
        <s v="Arb Dasti"/>
        <s v="General Dyes"/>
        <s v="Faizan"/>
        <s v="misc"/>
        <s v="Rafaqat"/>
        <s v="Sajad Khan"/>
        <s v="abid ghafoor"/>
        <s v="Hafiz Qureshi"/>
        <s v="Zia-ullah karachi"/>
        <s v="Ishaq"/>
        <s v="Unicolour"/>
        <s v="loom ac"/>
        <s v="ibraheem behraam"/>
        <s v="Shafi Dyes"/>
        <m/>
        <s v="Ubaidullah"/>
        <s v="shahid Qasayi"/>
        <s v="irfan punjabi"/>
        <s v="Hameed corporation"/>
        <s v="Amjad wood"/>
        <s v="Raaz fabrics"/>
        <s v="Temp"/>
        <s v="Zia-ullah" u="1"/>
        <s v="Closing September CF" u="1"/>
        <s v="copper" u="1"/>
        <s v="sunsuper theka" u="1"/>
        <s v="Dyes" u="1"/>
        <s v="electric bill" u="1"/>
        <s v="Shafique Ansari" u="1"/>
        <s v="Chain Acc" u="1"/>
        <s v="Amjad 7up" u="1"/>
        <s v="Hazrat khan" u="1"/>
        <s v="Sufi Nawaz Sahab" u="1"/>
        <s v="Faysal Akraam" u="1"/>
        <s v="Al madina" u="1"/>
        <s v="Closing August CF" u="1"/>
        <s v="Shehzad Kamoki" u="1"/>
        <s v="Cash" u="1"/>
        <s v="Shamil" u="1"/>
        <s v="AS traders" u="1"/>
        <s v="Closing July CF" u="1"/>
        <s v="Chemicals" u="1"/>
        <s v="Raaz" u="1"/>
        <s v="Diesel" u="1"/>
        <s v="Old Bill" u="1"/>
        <s v="temp (Ashfaq Sahab)" u="1"/>
        <s v="Salary " u="1"/>
        <s v="Aqib" u="1"/>
        <s v="Toll" u="1"/>
        <s v="Self" u="1"/>
        <s v="Aqib Freight" u="1"/>
      </sharedItems>
    </cacheField>
    <cacheField name="Debit" numFmtId="164">
      <sharedItems containsString="0" containsBlank="1" containsNumber="1" containsInteger="1" minValue="150" maxValue="1803475"/>
    </cacheField>
    <cacheField name="Credit" numFmtId="164">
      <sharedItems containsString="0" containsBlank="1" containsNumber="1" containsInteger="1" minValue="-673115" maxValue="1353061"/>
    </cacheField>
    <cacheField name="Description" numFmtId="0">
      <sharedItems containsDate="1" containsBlank="1" containsMixedTypes="1" minDate="2025-11-19T00:00:00" maxDate="2025-11-26T00:00:00"/>
    </cacheField>
    <cacheField name="Mode" numFmtId="0">
      <sharedItems containsBlank="1"/>
    </cacheField>
    <cacheField name="Withdrawa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04.851532060187" createdVersion="8" refreshedVersion="8" minRefreshableVersion="3" recordCount="17" xr:uid="{C9337D87-FB7F-43A5-B835-F515E859066B}">
  <cacheSource type="worksheet">
    <worksheetSource name="Table4"/>
  </cacheSource>
  <cacheFields count="4">
    <cacheField name="Party Name" numFmtId="0">
      <sharedItems containsMixedTypes="1" containsNumber="1" containsInteger="1" minValue="0" maxValue="0" count="18">
        <s v="BSC"/>
        <s v="Ejaz Sahab"/>
        <s v="Arshad"/>
        <s v="Shehzad Kamoki"/>
        <s v="Sufi Nawaz Sahab"/>
        <s v="Sajad Khan"/>
        <s v="Raaz Fabrics"/>
        <s v="Azam"/>
        <s v="Ubaidullah"/>
        <s v="Ashraf Zia"/>
        <s v="Hafiz Qureshi"/>
        <s v="Badshah Fabrics"/>
        <s v="Reject"/>
        <s v="Amjad 7up"/>
        <s v="Hazrat Khan"/>
        <s v="Haseeb Shamsi"/>
        <s v="Faizan"/>
        <n v="0" u="1"/>
      </sharedItems>
    </cacheField>
    <cacheField name="Tiyaar" numFmtId="1">
      <sharedItems containsSemiMixedTypes="0" containsString="0" containsNumber="1" minValue="0" maxValue="232352.77980980251"/>
    </cacheField>
    <cacheField name="Rate" numFmtId="0">
      <sharedItems containsString="0" containsBlank="1" containsNumber="1" minValue="10" maxValue="12"/>
    </cacheField>
    <cacheField name="Total" numFmtId="164">
      <sharedItems containsSemiMixedTypes="0" containsString="0" containsNumber="1" minValue="0" maxValue="2524052.670080468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04.851532175926" createdVersion="8" refreshedVersion="8" minRefreshableVersion="3" recordCount="16" xr:uid="{AC867DCC-CE64-4D1A-827D-F1F3EE10EE4E}">
  <cacheSource type="worksheet">
    <worksheetSource name="Table8"/>
  </cacheSource>
  <cacheFields count="9">
    <cacheField name="Date" numFmtId="14">
      <sharedItems containsSemiMixedTypes="0" containsNonDate="0" containsDate="1" containsString="0" minDate="2025-05-16T00:00:00" maxDate="2025-12-12T00:00:00" count="48">
        <d v="2025-10-17T00:00:00"/>
        <d v="2025-11-18T00:00:00"/>
        <d v="2025-11-20T00:00:00"/>
        <d v="2025-11-22T00:00:00"/>
        <d v="2025-11-25T00:00:00"/>
        <d v="2025-11-26T00:00:00"/>
        <d v="2025-11-27T00:00:00"/>
        <d v="2025-11-29T00:00:00"/>
        <d v="2025-12-01T00:00:00"/>
        <d v="2025-12-02T00:00:00"/>
        <d v="2025-12-04T00:00:00"/>
        <d v="2025-12-11T00:00:00"/>
        <d v="2025-12-09T00:00:00"/>
        <d v="2025-12-06T00:00:00"/>
        <d v="2025-10-18T00:00:00" u="1"/>
        <d v="2025-10-25T00:00:00" u="1"/>
        <d v="2025-10-30T00:00:00" u="1"/>
        <d v="2025-10-31T00:00:00" u="1"/>
        <d v="2025-11-01T00:00:00" u="1"/>
        <d v="2025-11-13T00:00:00" u="1"/>
        <d v="2025-11-14T00:00:00" u="1"/>
        <d v="2025-11-17T00:00:00" u="1"/>
        <d v="2025-09-16T00:00:00" u="1"/>
        <d v="2025-09-19T00:00:00" u="1"/>
        <d v="2025-09-22T00:00:00" u="1"/>
        <d v="2025-09-26T00:00:00" u="1"/>
        <d v="2025-09-27T00:00:00" u="1"/>
        <d v="2025-10-09T00:00:00" u="1"/>
        <d v="2025-10-14T00:00:00" u="1"/>
        <d v="2025-08-16T00:00:00" u="1"/>
        <d v="2025-08-19T00:00:00" u="1"/>
        <d v="2025-08-20T00:00:00" u="1"/>
        <d v="2025-08-23T00:00:00" u="1"/>
        <d v="2025-09-10T00:00:00" u="1"/>
        <d v="2025-09-13T00:00:00" u="1"/>
        <d v="2025-08-21T00:00:00" u="1"/>
        <d v="2025-08-22T00:00:00" u="1"/>
        <d v="2025-08-24T00:00:00" u="1"/>
        <d v="2025-08-25T00:00:00" u="1"/>
        <d v="2025-08-26T00:00:00" u="1"/>
        <d v="2025-08-27T00:00:00" u="1"/>
        <d v="2025-08-28T00:00:00" u="1"/>
        <d v="2025-05-16T00:00:00" u="1"/>
        <d v="2025-07-24T00:00:00" u="1"/>
        <d v="2025-08-01T00:00:00" u="1"/>
        <d v="2025-08-05T00:00:00" u="1"/>
        <d v="2025-08-11T00:00:00" u="1"/>
        <d v="2025-08-13T00:00:00" u="1"/>
      </sharedItems>
    </cacheField>
    <cacheField name="Chemical Name" numFmtId="0">
      <sharedItems containsBlank="1"/>
    </cacheField>
    <cacheField name="Boxes" numFmtId="0">
      <sharedItems containsNonDate="0" containsString="0" containsBlank="1"/>
    </cacheField>
    <cacheField name="Rate" numFmtId="0">
      <sharedItems containsNonDate="0" containsString="0" containsBlank="1"/>
    </cacheField>
    <cacheField name="Price" numFmtId="0">
      <sharedItems containsString="0" containsBlank="1" containsNumber="1" containsInteger="1" minValue="32000" maxValue="242450"/>
    </cacheField>
    <cacheField name="Party" numFmtId="0">
      <sharedItems containsBlank="1" count="7">
        <s v="Unicolour"/>
        <s v="madina dyes"/>
        <s v="General Dyes"/>
        <s v="shafi dyes"/>
        <m u="1"/>
        <s v="Al madina" u="1"/>
        <s v="-" u="1"/>
      </sharedItems>
    </cacheField>
    <cacheField name="Paid" numFmtId="0">
      <sharedItems containsSemiMixedTypes="0" containsString="0" containsNumber="1" containsInteger="1" minValue="0" maxValue="242450"/>
    </cacheField>
    <cacheField name="Balance" numFmtId="0">
      <sharedItems containsSemiMixedTypes="0" containsString="0" containsNumber="1" containsInteger="1" minValue="-240125" maxValue="240125"/>
    </cacheField>
    <cacheField name="info"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04.851532291665" createdVersion="8" refreshedVersion="8" minRefreshableVersion="3" recordCount="52" xr:uid="{3E5C2981-ACF5-44A9-8567-B1D65DB3A8D2}">
  <cacheSource type="worksheet">
    <worksheetSource name="Table3"/>
  </cacheSource>
  <cacheFields count="9">
    <cacheField name="Date" numFmtId="14">
      <sharedItems containsSemiMixedTypes="0" containsNonDate="0" containsDate="1" containsString="0" minDate="2025-05-02T00:00:00" maxDate="2025-12-12T00:00:00" count="129">
        <d v="2025-10-17T00:00:00"/>
        <d v="2025-11-18T00:00:00"/>
        <d v="2025-11-19T00:00:00"/>
        <d v="2025-11-20T00:00:00"/>
        <d v="2025-11-21T00:00:00"/>
        <d v="2025-11-23T00:00:00"/>
        <d v="2025-11-24T00:00:00"/>
        <d v="2025-11-25T00:00:00"/>
        <d v="2025-11-26T00:00:00"/>
        <d v="2025-11-27T00:00:00"/>
        <d v="2025-11-28T00:00:00"/>
        <d v="2025-11-29T00:00:00"/>
        <d v="2025-12-01T00:00:00"/>
        <d v="2025-12-02T00:00:00"/>
        <d v="2025-12-03T00:00:00"/>
        <d v="2025-12-04T00:00:00"/>
        <d v="2025-12-05T00:00:00"/>
        <d v="2025-12-06T00:00:00"/>
        <d v="2025-12-07T00:00:00"/>
        <d v="2025-12-08T00:00:00"/>
        <d v="2025-12-09T00:00:00"/>
        <d v="2025-12-10T00:00:00"/>
        <d v="2025-12-11T00:00:00"/>
        <d v="2025-10-18T00:00:00" u="1"/>
        <d v="2025-10-20T00:00:00" u="1"/>
        <d v="2025-10-21T00:00:00" u="1"/>
        <d v="2025-10-22T00:00:00" u="1"/>
        <d v="2025-10-23T00:00:00" u="1"/>
        <d v="2025-10-24T00:00:00" u="1"/>
        <d v="2025-10-25T00:00:00" u="1"/>
        <d v="2025-10-26T00:00:00" u="1"/>
        <d v="2025-10-27T00:00:00" u="1"/>
        <d v="2025-10-28T00:00:00" u="1"/>
        <d v="2025-10-29T00:00:00" u="1"/>
        <d v="2025-10-30T00:00:00" u="1"/>
        <d v="2025-10-31T00:00:00" u="1"/>
        <d v="2025-11-01T00:00:00" u="1"/>
        <d v="2025-11-03T00:00:00" u="1"/>
        <d v="2025-11-04T00:00:00" u="1"/>
        <d v="2025-11-05T00:00:00" u="1"/>
        <d v="2025-11-06T00:00:00" u="1"/>
        <d v="2025-11-07T00:00:00" u="1"/>
        <d v="2025-11-08T00:00:00" u="1"/>
        <d v="2025-10-09T00:00:00" u="1"/>
        <d v="2025-11-10T00:00:00" u="1"/>
        <d v="2025-11-11T00:00:00" u="1"/>
        <d v="2025-11-12T00:00:00" u="1"/>
        <d v="2025-11-14T00:00:00" u="1"/>
        <d v="2025-11-17T00:00:00" u="1"/>
        <d v="2025-09-16T00:00:00" u="1"/>
        <d v="2025-09-17T00:00:00" u="1"/>
        <d v="2025-09-18T00:00:00" u="1"/>
        <d v="2025-09-19T00:00:00" u="1"/>
        <d v="2025-09-20T00:00:00" u="1"/>
        <d v="2025-09-21T00:00:00" u="1"/>
        <d v="2025-09-22T00:00:00" u="1"/>
        <d v="2025-09-23T00:00:00" u="1"/>
        <d v="2025-09-24T00:00:00" u="1"/>
        <d v="2025-09-25T00:00:00" u="1"/>
        <d v="2025-09-26T00:00:00" u="1"/>
        <d v="2025-09-27T00:00:00" u="1"/>
        <d v="2025-09-28T00:00:00" u="1"/>
        <d v="2025-09-29T00:00:00" u="1"/>
        <d v="2025-09-30T00:00:00" u="1"/>
        <d v="2025-10-01T00:00:00" u="1"/>
        <d v="2025-10-02T00:00:00" u="1"/>
        <d v="2025-10-03T00:00:00" u="1"/>
        <d v="2025-10-04T00:00:00" u="1"/>
        <d v="2025-10-05T00:00:00" u="1"/>
        <d v="2025-10-06T00:00:00" u="1"/>
        <d v="2025-10-07T00:00:00" u="1"/>
        <d v="2025-10-08T00:00:00" u="1"/>
        <d v="2025-10-10T00:00:00" u="1"/>
        <d v="2025-10-12T00:00:00" u="1"/>
        <d v="2025-10-13T00:00:00" u="1"/>
        <d v="2025-10-14T00:00:00" u="1"/>
        <d v="2025-10-15T00:00:00" u="1"/>
        <d v="2025-10-16T00:00:00" u="1"/>
        <d v="2025-09-01T00:00:00" u="1"/>
        <d v="2025-08-16T00:00:00" u="1"/>
        <d v="2025-08-12T00:00:00" u="1"/>
        <d v="2025-08-13T00:00:00" u="1"/>
        <d v="2025-08-15T00:00:00" u="1"/>
        <d v="2025-08-17T00:00:00" u="1"/>
        <d v="2025-08-18T00:00:00" u="1"/>
        <d v="2025-08-19T00:00:00" u="1"/>
        <d v="2025-08-20T00:00:00" u="1"/>
        <d v="2025-08-21T00:00:00" u="1"/>
        <d v="2025-08-23T00:00:00" u="1"/>
        <d v="2025-08-25T00:00:00" u="1"/>
        <d v="2025-08-24T00:00:00" u="1"/>
        <d v="2025-08-26T00:00:00" u="1"/>
        <d v="2025-08-27T00:00:00" u="1"/>
        <d v="2025-08-28T00:00:00" u="1"/>
        <d v="2025-08-30T00:00:00" u="1"/>
        <d v="2025-08-31T00:00:00" u="1"/>
        <d v="2025-09-02T00:00:00" u="1"/>
        <d v="2025-09-03T00:00:00" u="1"/>
        <d v="2025-09-04T00:00:00" u="1"/>
        <d v="2025-09-05T00:00:00" u="1"/>
        <d v="2025-09-07T00:00:00" u="1"/>
        <d v="2025-09-08T00:00:00" u="1"/>
        <d v="2025-09-09T00:00:00" u="1"/>
        <d v="2025-09-10T00:00:00" u="1"/>
        <d v="2025-09-11T00:00:00" u="1"/>
        <d v="2025-09-12T00:00:00" u="1"/>
        <d v="2025-09-13T00:00:00" u="1"/>
        <d v="2025-09-14T00:00:00" u="1"/>
        <d v="2025-09-15T00:00:00" u="1"/>
        <d v="2025-08-02T00:00:00" u="1"/>
        <d v="2025-07-02T00:00:00" u="1"/>
        <d v="2025-06-02T00:00:00" u="1"/>
        <d v="2025-05-02T00:00:00" u="1"/>
        <d v="2025-07-13T00:00:00" u="1"/>
        <d v="2025-07-14T00:00:00" u="1"/>
        <d v="2025-07-15T00:00:00" u="1"/>
        <d v="2025-07-19T00:00:00" u="1"/>
        <d v="2025-07-20T00:00:00" u="1"/>
        <d v="2025-07-21T00:00:00" u="1"/>
        <d v="2025-07-31T00:00:00" u="1"/>
        <d v="2025-08-03T00:00:00" u="1"/>
        <d v="2025-08-04T00:00:00" u="1"/>
        <d v="2025-08-07T00:00:00" u="1"/>
        <d v="2025-08-08T00:00:00" u="1"/>
        <d v="2025-08-09T00:00:00" u="1"/>
        <d v="2025-08-10T00:00:00" u="1"/>
        <d v="2025-08-11T00:00:00" u="1"/>
        <d v="2025-08-14T00:00:00" u="1"/>
        <d v="2025-08-01T00:00:00" u="1"/>
      </sharedItems>
    </cacheField>
    <cacheField name="Party Name" numFmtId="0">
      <sharedItems containsBlank="1" count="11">
        <s v="Malik Zaheer"/>
        <s v="Aqib"/>
        <s v="Rafaqat"/>
        <s v="Kaleem ullah"/>
        <s v="Ishaq"/>
        <s v="Aurangzeb"/>
        <s v="Irfan Punjabi"/>
        <s v="Amjad wood"/>
        <m u="1"/>
        <s v="Shamil" u="1"/>
        <s v="Aqib Freight" u="1"/>
      </sharedItems>
    </cacheField>
    <cacheField name="Vehicle Number" numFmtId="0">
      <sharedItems containsBlank="1" containsMixedTypes="1" containsNumber="1" containsInteger="1" minValue="31" maxValue="9940" count="74">
        <s v="Closing Balance CF"/>
        <m/>
        <s v="TKL 364"/>
        <n v="9662"/>
        <s v="APL"/>
        <s v="C 8947"/>
        <s v="E 3229"/>
        <s v="E 9399"/>
        <s v="TAD 290"/>
        <s v="NAD 668"/>
        <s v="CAR 6957"/>
        <s v="LES 8294"/>
        <s v="LEI 2223"/>
        <s v="C 1605"/>
        <s v="JU 4472"/>
        <s v="TKT 364"/>
        <s v="LEI 9662"/>
        <n v="8618"/>
        <s v="LEJ 9662"/>
        <s v="-"/>
        <s v="LES 3785"/>
        <n v="3414" u="1"/>
        <n v="112" u="1"/>
        <n v="1435" u="1"/>
        <n v="4646" u="1"/>
        <n v="1196" u="1"/>
        <n v="4366" u="1"/>
        <n v="442" u="1"/>
        <n v="6613" u="1"/>
        <n v="4095" u="1"/>
        <n v="3229" u="1"/>
        <n v="162" u="1"/>
        <n v="8141" u="1"/>
        <n v="5560" u="1"/>
        <n v="685" u="1"/>
        <n v="571" u="1"/>
        <n v="160" u="1"/>
        <n v="6691" u="1"/>
        <n v="1055" u="1"/>
        <n v="8395" u="1"/>
        <n v="4649" u="1"/>
        <n v="52" u="1"/>
        <n v="739" u="1"/>
        <n v="1288" u="1"/>
        <n v="5045" u="1"/>
        <n v="561" u="1"/>
        <n v="447" u="1"/>
        <n v="5946" u="1"/>
        <n v="1910" u="1"/>
        <n v="7286" u="1"/>
        <n v="1961" u="1"/>
        <n v="3220" u="1"/>
        <n v="5679" u="1"/>
        <n v="9373" u="1"/>
        <n v="1973" u="1"/>
        <n v="9940" u="1"/>
        <n v="31" u="1"/>
        <n v="3834" u="1"/>
        <n v="9755" u="1"/>
        <n v="1561" u="1"/>
        <n v="2980" u="1"/>
        <n v="7221" u="1"/>
        <n v="8901" u="1"/>
        <n v="8994" u="1"/>
        <n v="364" u="1"/>
        <n v="4068" u="1"/>
        <n v="6038" u="1"/>
        <n v="2727" u="1"/>
        <n v="2570" u="1"/>
        <n v="6851" u="1"/>
        <n v="303" u="1"/>
        <n v="5963" u="1"/>
        <n v="1671" u="1"/>
        <n v="1972" u="1"/>
      </sharedItems>
    </cacheField>
    <cacheField name="Weight" numFmtId="164">
      <sharedItems containsString="0" containsBlank="1" containsNumber="1" containsInteger="1" minValue="30" maxValue="496"/>
    </cacheField>
    <cacheField name="Rate" numFmtId="164">
      <sharedItems containsString="0" containsBlank="1" containsNumber="1" containsInteger="1" minValue="580" maxValue="830"/>
    </cacheField>
    <cacheField name="Rent" numFmtId="164">
      <sharedItems containsString="0" containsBlank="1" containsNumber="1" containsInteger="1" minValue="35000" maxValue="118000"/>
    </cacheField>
    <cacheField name="Total" numFmtId="164">
      <sharedItems containsSemiMixedTypes="0" containsString="0" containsNumber="1" containsInteger="1" minValue="0" maxValue="401760"/>
    </cacheField>
    <cacheField name="Paid" numFmtId="164">
      <sharedItems containsString="0" containsBlank="1" containsNumber="1" containsInteger="1" minValue="0" maxValue="418188"/>
    </cacheField>
    <cacheField name="balance" numFmtId="164">
      <sharedItems containsSemiMixedTypes="0" containsString="0" containsNumber="1" containsInteger="1" minValue="-408012" maxValue="256785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04.851532407411" createdVersion="8" refreshedVersion="8" minRefreshableVersion="3" recordCount="15" xr:uid="{376A650C-1F79-4049-BC45-E34989F046B2}">
  <cacheSource type="worksheet">
    <worksheetSource name="Table2"/>
  </cacheSource>
  <cacheFields count="8">
    <cacheField name="Date" numFmtId="14">
      <sharedItems containsNonDate="0" containsDate="1" containsString="0" containsBlank="1" minDate="2025-11-18T00:00:00" maxDate="2025-12-04T00:00:00"/>
    </cacheField>
    <cacheField name="Party Name" numFmtId="14">
      <sharedItems containsBlank="1" count="8">
        <s v="Finish"/>
        <s v="Faysal Akraam"/>
        <s v="AS Traders"/>
        <s v="Abid ghafoor"/>
        <s v="Madina Dyes"/>
        <m/>
        <s v="-" u="1"/>
        <s v="Faysal" u="1"/>
      </sharedItems>
    </cacheField>
    <cacheField name="Item" numFmtId="0">
      <sharedItems containsBlank="1"/>
    </cacheField>
    <cacheField name="Boxes" numFmtId="0">
      <sharedItems containsString="0" containsBlank="1" containsNumber="1" containsInteger="1" minValue="2" maxValue="8"/>
    </cacheField>
    <cacheField name="Quantity" numFmtId="0">
      <sharedItems containsString="0" containsBlank="1" containsNumber="1" containsInteger="1" minValue="125" maxValue="125"/>
    </cacheField>
    <cacheField name="Price" numFmtId="0">
      <sharedItems containsSemiMixedTypes="0" containsString="0" containsNumber="1" containsInteger="1" minValue="0" maxValue="200000"/>
    </cacheField>
    <cacheField name="Paid" numFmtId="0">
      <sharedItems containsSemiMixedTypes="0" containsString="0" containsNumber="1" containsInteger="1" minValue="0" maxValue="400000"/>
    </cacheField>
    <cacheField name="Balance" numFmtId="0">
      <sharedItems containsSemiMixedTypes="0" containsString="0" containsNumber="1" containsInteger="1" minValue="-400000" maxValue="62400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04.851532523149" createdVersion="8" refreshedVersion="8" minRefreshableVersion="3" recordCount="225" xr:uid="{46CBB50D-3613-4E5B-8212-DD0313DCD05A}">
  <cacheSource type="worksheet">
    <worksheetSource name="Table1"/>
  </cacheSource>
  <cacheFields count="14">
    <cacheField name="Date" numFmtId="0">
      <sharedItems containsSemiMixedTypes="0" containsNonDate="0" containsDate="1" containsString="0" minDate="2025-11-18T00:00:00" maxDate="2025-12-13T00:00:00"/>
    </cacheField>
    <cacheField name="Party Name" numFmtId="0">
      <sharedItems containsBlank="1" count="31">
        <s v="BSC"/>
        <s v="Ejaz Sahab"/>
        <s v="Arshad"/>
        <s v="Shehzad Kamoki"/>
        <s v="Sufi Nawaz Sahab"/>
        <s v="Sajad Khan"/>
        <s v="Raaz Fabrics"/>
        <s v="Azam"/>
        <s v="Ubaidullah"/>
        <s v="Ashraf Zia"/>
        <s v="Hafiz Qureshi"/>
        <s v="Badshah Fabrics"/>
        <s v="Reject"/>
        <s v="Amjad 7up"/>
        <s v="Hazrat Khan"/>
        <s v="Haseeb Shamsi"/>
        <s v="Faizan"/>
        <s v="Shafique Ansari"/>
        <s v="Amjad sohail"/>
        <s v="Salman Zaffar"/>
        <s v="Shahid Qasayi"/>
        <s v="Hameed corporation"/>
        <s v="ibraheem behraam"/>
        <s v="Zia-ullah karachi"/>
        <m u="1"/>
        <s v="YING" u="1"/>
        <s v="Meow" u="1"/>
        <s v="Umer Sb" u="1"/>
        <s v="-" u="1"/>
        <s v="Sajjad" u="1"/>
        <s v="Haji Ejaz" u="1"/>
      </sharedItems>
    </cacheField>
    <cacheField name="Bill Number" numFmtId="0">
      <sharedItems containsMixedTypes="1" containsNumber="1" containsInteger="1" minValue="1091" maxValue="1235"/>
    </cacheField>
    <cacheField name="Quality" numFmtId="0">
      <sharedItems/>
    </cacheField>
    <cacheField name="Shipment Number" numFmtId="164">
      <sharedItems containsBlank="1" containsMixedTypes="1" containsNumber="1" containsInteger="1" minValue="1558" maxValue="17000" count="322">
        <m/>
        <n v="1879"/>
        <n v="1867"/>
        <s v="1880+1885"/>
        <n v="1878"/>
        <n v="1897"/>
        <n v="1920"/>
        <n v="1898"/>
        <n v="1875"/>
        <n v="1918"/>
        <n v="1906"/>
        <n v="1873"/>
        <n v="1883"/>
        <n v="1917"/>
        <n v="1900"/>
        <n v="1930"/>
        <n v="1911"/>
        <n v="1887"/>
        <s v="1670+1671"/>
        <n v="1882"/>
        <n v="1890"/>
        <n v="1877"/>
        <n v="1853"/>
        <n v="1889"/>
        <s v="1822+1823"/>
        <n v="1884"/>
        <n v="1926"/>
        <n v="1905"/>
        <n v="1934"/>
        <n v="1843"/>
        <n v="1935"/>
        <n v="1888"/>
        <n v="1925"/>
        <n v="1893"/>
        <n v="1894"/>
        <n v="1936"/>
        <n v="1937"/>
        <n v="1939"/>
        <n v="1913"/>
        <n v="1912"/>
        <n v="1915"/>
        <n v="1899"/>
        <n v="1919"/>
        <n v="1886"/>
        <n v="1907"/>
        <n v="1938"/>
        <n v="1870"/>
        <n v="1921"/>
        <n v="1922"/>
        <n v="1933"/>
        <n v="1842"/>
        <n v="1958"/>
        <n v="1910"/>
        <n v="1923"/>
        <n v="1914"/>
        <n v="1904"/>
        <n v="1909"/>
        <n v="1940"/>
        <n v="1943"/>
        <n v="1961"/>
        <n v="1928"/>
        <n v="1927"/>
        <n v="1852"/>
        <n v="1931"/>
        <n v="1908"/>
        <n v="1929"/>
        <n v="1975"/>
        <n v="1903"/>
        <n v="1942"/>
        <n v="1946"/>
        <n v="1968"/>
        <s v="1953+1952"/>
        <n v="1945"/>
        <n v="1962"/>
        <n v="1970"/>
        <n v="1944"/>
        <n v="1955"/>
        <n v="1902"/>
        <n v="1818" u="1"/>
        <n v="1780" u="1"/>
        <n v="1800" u="1"/>
        <n v="1826" u="1"/>
        <n v="1803" u="1"/>
        <n v="1829" u="1"/>
        <n v="1813" u="1"/>
        <n v="1827" u="1"/>
        <n v="1761" u="1"/>
        <n v="1786" u="1"/>
        <n v="1834" u="1"/>
        <n v="1796" u="1"/>
        <n v="1836" u="1"/>
        <n v="1828" u="1"/>
        <n v="1837" u="1"/>
        <n v="1840" u="1"/>
        <n v="1825" u="1"/>
        <n v="1838" u="1"/>
        <n v="1845" u="1"/>
        <n v="1807" u="1"/>
        <n v="1791" u="1"/>
        <n v="1850" u="1"/>
        <n v="1801" u="1"/>
        <n v="1824" u="1"/>
        <n v="1814" u="1"/>
        <n v="1815" u="1"/>
        <n v="1833" u="1"/>
        <n v="1665" u="1"/>
        <n v="1860" u="1"/>
        <n v="1830" u="1"/>
        <n v="1839" u="1"/>
        <n v="1648" u="1"/>
        <n v="1863" u="1"/>
        <n v="1831" u="1"/>
        <n v="1832" u="1"/>
        <n v="1847" u="1"/>
        <n v="1841" u="1"/>
        <n v="1797" u="1"/>
        <n v="1816" u="1"/>
        <n v="1846" u="1"/>
        <n v="1876" u="1"/>
        <n v="1874" u="1"/>
        <n v="1865" u="1"/>
        <n v="1851" u="1"/>
        <n v="1868" u="1"/>
        <n v="1881" u="1"/>
        <n v="1869" u="1"/>
        <n v="1866" u="1"/>
        <n v="1896" u="1"/>
        <n v="1895" u="1"/>
        <n v="1916" u="1"/>
        <n v="1844" u="1"/>
        <n v="1862" u="1"/>
        <n v="1891" u="1"/>
        <n v="1901" u="1"/>
        <n v="1864" u="1"/>
        <n v="1708" u="1"/>
        <n v="1720" u="1"/>
        <n v="1723" u="1"/>
        <n v="1724" u="1"/>
        <n v="1714" u="1"/>
        <n v="1690" u="1"/>
        <n v="1716" u="1"/>
        <n v="1696" u="1"/>
        <n v="1694" u="1"/>
        <n v="1687" u="1"/>
        <n v="1719" u="1"/>
        <n v="1688" u="1"/>
        <n v="1710" u="1"/>
        <n v="1725" u="1"/>
        <n v="1736" u="1"/>
        <n v="1728" u="1"/>
        <n v="1726" u="1"/>
        <n v="1730" u="1"/>
        <n v="1729" u="1"/>
        <n v="1748" u="1"/>
        <n v="1756" u="1"/>
        <n v="1757" u="1"/>
        <n v="1697" u="1"/>
        <n v="1727" u="1"/>
        <n v="1755" u="1"/>
        <n v="1763" u="1"/>
        <n v="1701" u="1"/>
        <n v="1753" u="1"/>
        <n v="1751" u="1"/>
        <n v="1760" u="1"/>
        <n v="1762" u="1"/>
        <n v="1767" u="1"/>
        <n v="1764" u="1"/>
        <n v="1765" u="1"/>
        <n v="1770" u="1"/>
        <n v="1772" u="1"/>
        <n v="1721" u="1"/>
        <n v="1769" u="1"/>
        <n v="1771" u="1"/>
        <n v="1746" u="1"/>
        <n v="1759" u="1"/>
        <n v="1722" u="1"/>
        <n v="1773" u="1"/>
        <n v="1779" u="1"/>
        <n v="1749" u="1"/>
        <n v="1782" u="1"/>
        <n v="1713" u="1"/>
        <n v="1706" u="1"/>
        <n v="1711" u="1"/>
        <n v="1768" u="1"/>
        <n v="2000" u="1"/>
        <n v="1684" u="1"/>
        <n v="1691" u="1"/>
        <n v="1784" u="1"/>
        <n v="1781" u="1"/>
        <n v="1747" u="1"/>
        <n v="1777" u="1"/>
        <n v="1750" u="1"/>
        <n v="1788" u="1"/>
        <n v="1787" u="1"/>
        <n v="1734" u="1"/>
        <n v="1776" u="1"/>
        <n v="1766" u="1"/>
        <n v="1793" u="1"/>
        <n v="1804" u="1"/>
        <n v="1811" u="1"/>
        <n v="1812" u="1"/>
        <n v="1806" u="1"/>
        <n v="1785" u="1"/>
        <n v="1752" u="1"/>
        <n v="1783" u="1"/>
        <n v="1790" u="1"/>
        <n v="1794" u="1"/>
        <n v="1802" u="1"/>
        <n v="1789" u="1"/>
        <n v="1778" u="1"/>
        <n v="1808" u="1"/>
        <n v="1795" u="1"/>
        <n v="1799" u="1"/>
        <n v="1792" u="1"/>
        <n v="1817" u="1"/>
        <n v="1798" u="1"/>
        <n v="1605" u="1"/>
        <n v="1624" u="1"/>
        <n v="1646" u="1"/>
        <n v="1640" u="1"/>
        <n v="1649" u="1"/>
        <n v="1607" u="1"/>
        <n v="1647" u="1"/>
        <n v="1643" u="1"/>
        <n v="1644" u="1"/>
        <n v="1651" u="1"/>
        <n v="1641" u="1"/>
        <n v="1652" u="1"/>
        <n v="1655" u="1"/>
        <n v="1650" u="1"/>
        <n v="1653" u="1"/>
        <n v="1628" u="1"/>
        <n v="1662" u="1"/>
        <n v="1663" u="1"/>
        <n v="1598" u="1"/>
        <n v="1661" u="1"/>
        <n v="1658" u="1"/>
        <n v="1656" u="1"/>
        <n v="1654" u="1"/>
        <n v="1659" u="1"/>
        <n v="1669" u="1"/>
        <n v="1666" u="1"/>
        <n v="1657" u="1"/>
        <n v="1676" u="1"/>
        <n v="1683" u="1"/>
        <n v="1673" u="1"/>
        <n v="1679" u="1"/>
        <n v="1668" u="1"/>
        <n v="1664" u="1"/>
        <n v="1660" u="1"/>
        <n v="1678" u="1"/>
        <n v="1677" u="1"/>
        <n v="1667" u="1"/>
        <n v="1675" u="1"/>
        <n v="1681" u="1"/>
        <n v="1674" u="1"/>
        <n v="1680" u="1"/>
        <n v="1682" u="1"/>
        <n v="1633" u="1"/>
        <n v="1685" u="1"/>
        <n v="1686" u="1"/>
        <n v="1692" u="1"/>
        <n v="1693" u="1"/>
        <n v="1700" u="1"/>
        <n v="1672" u="1"/>
        <n v="1705" u="1"/>
        <n v="1704" u="1"/>
        <n v="1689" u="1"/>
        <n v="1699" u="1"/>
        <n v="1695" u="1"/>
        <n v="1595" u="1"/>
        <n v="1593" u="1"/>
        <n v="1599" u="1"/>
        <n v="1597" u="1"/>
        <n v="1600" u="1"/>
        <n v="1602" u="1"/>
        <n v="1558" u="1"/>
        <n v="1603" u="1"/>
        <n v="1619" u="1"/>
        <n v="1621" u="1"/>
        <n v="1601" u="1"/>
        <n v="1606" u="1"/>
        <n v="1609" u="1"/>
        <n v="1614" u="1"/>
        <n v="1623" u="1"/>
        <n v="1610" u="1"/>
        <n v="1620" u="1"/>
        <n v="1608" u="1"/>
        <n v="1625" u="1"/>
        <n v="1618" u="1"/>
        <n v="1611" u="1"/>
        <n v="1629" u="1"/>
        <n v="1631" u="1"/>
        <n v="1604" u="1"/>
        <n v="1627" u="1"/>
        <n v="1615" u="1"/>
        <n v="1630" u="1"/>
        <n v="1635" u="1"/>
        <n v="1617" u="1"/>
        <n v="1637" u="1"/>
        <n v="1642" u="1"/>
        <n v="1613" u="1"/>
        <n v="17000" u="1"/>
        <n v="1574" u="1"/>
        <n v="1573" u="1"/>
        <n v="1570" u="1"/>
        <n v="1571" u="1"/>
        <n v="1575" u="1"/>
        <n v="1579" u="1"/>
        <n v="1580" u="1"/>
        <n v="1577" u="1"/>
        <n v="1578" u="1"/>
        <n v="1583" u="1"/>
        <n v="1589" u="1"/>
        <n v="1572" u="1"/>
        <n v="1592" u="1"/>
        <n v="1590" u="1"/>
        <n v="1591" u="1"/>
        <n v="1576" u="1"/>
        <n v="1581" u="1"/>
        <n v="1596" u="1"/>
        <n v="1594" u="1"/>
      </sharedItems>
    </cacheField>
    <cacheField name="Kora/metre" numFmtId="164">
      <sharedItems containsString="0" containsBlank="1" containsNumber="1" containsInteger="1" minValue="3042" maxValue="79388"/>
    </cacheField>
    <cacheField name="Tiyaar/gaz" numFmtId="164">
      <sharedItems containsString="0" containsBlank="1" containsNumber="1" containsInteger="1" minValue="330" maxValue="49567"/>
    </cacheField>
    <cacheField name="shortage %" numFmtId="165">
      <sharedItems containsBlank="1" containsMixedTypes="1" containsNumber="1" minValue="-0.16588581615243925" maxValue="98.2144584337385"/>
    </cacheField>
    <cacheField name="tiyar/meters" numFmtId="165">
      <sharedItems containsString="0" containsBlank="1" containsNumber="1" minValue="0" maxValue="1895402.3408924653"/>
    </cacheField>
    <cacheField name="billing" numFmtId="165">
      <sharedItems containsBlank="1" containsMixedTypes="1" containsNumber="1" minValue="0" maxValue="18954023.408924658"/>
    </cacheField>
    <cacheField name="Total Billing" numFmtId="0">
      <sharedItems containsNonDate="0" containsString="0" containsBlank="1"/>
    </cacheField>
    <cacheField name="Shortage %2" numFmtId="0" formula=" ('Tiyaar/gaz'/ ('Kora/metre'/ 1.0936)) * 100" databaseField="0"/>
    <cacheField name="Shortage2" numFmtId="0" formula=" ('Tiyaar/gaz'/ ('Kora/metre'* 1.0936)) * 100" databaseField="0"/>
    <cacheField name="kora / gaz" numFmtId="0" formula="'Kora/metre'* 1.0936" databaseField="0"/>
  </cacheFields>
  <extLst>
    <ext xmlns:x14="http://schemas.microsoft.com/office/spreadsheetml/2009/9/main" uri="{725AE2AE-9491-48be-B2B4-4EB974FC3084}">
      <x14:pivotCacheDefinition pivotCacheId="1341418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1">
  <r>
    <d v="2025-10-17T00:00:00"/>
    <x v="0"/>
    <m/>
    <n v="-673115"/>
    <m/>
    <s v="Bank"/>
    <m/>
  </r>
  <r>
    <d v="2025-10-17T00:00:00"/>
    <x v="0"/>
    <m/>
    <n v="-584716"/>
    <m/>
    <s v="Cash"/>
    <m/>
  </r>
  <r>
    <d v="2025-11-19T00:00:00"/>
    <x v="1"/>
    <n v="800"/>
    <m/>
    <m/>
    <s v="Bank"/>
    <m/>
  </r>
  <r>
    <d v="2025-11-19T00:00:00"/>
    <x v="2"/>
    <n v="7200"/>
    <m/>
    <s v="Mazdoor"/>
    <s v="Cash"/>
    <m/>
  </r>
  <r>
    <d v="2025-11-19T00:00:00"/>
    <x v="3"/>
    <n v="2000"/>
    <m/>
    <s v="Unloading"/>
    <s v="Cash"/>
    <m/>
  </r>
  <r>
    <d v="2025-11-19T00:00:00"/>
    <x v="4"/>
    <n v="4000"/>
    <m/>
    <s v="Unloading"/>
    <s v="Cash"/>
    <m/>
  </r>
  <r>
    <d v="2025-11-19T00:00:00"/>
    <x v="5"/>
    <n v="8000"/>
    <m/>
    <s v="Unloading"/>
    <s v="Cash"/>
    <m/>
  </r>
  <r>
    <d v="2025-11-19T00:00:00"/>
    <x v="6"/>
    <n v="25000"/>
    <m/>
    <s v="Clips"/>
    <s v="Bank"/>
    <m/>
  </r>
  <r>
    <d v="2025-11-19T00:00:00"/>
    <x v="7"/>
    <m/>
    <n v="50000"/>
    <m/>
    <s v="Bank"/>
    <m/>
  </r>
  <r>
    <d v="2025-11-19T00:00:00"/>
    <x v="7"/>
    <m/>
    <n v="51000"/>
    <m/>
    <s v="Bank"/>
    <m/>
  </r>
  <r>
    <d v="2025-11-19T00:00:00"/>
    <x v="7"/>
    <m/>
    <n v="14000"/>
    <s v="Master Tanveer"/>
    <s v="Bank"/>
    <m/>
  </r>
  <r>
    <d v="2025-11-19T00:00:00"/>
    <x v="2"/>
    <n v="3000"/>
    <m/>
    <s v="ghar"/>
    <s v="Bank"/>
    <m/>
  </r>
  <r>
    <d v="2025-11-19T00:00:00"/>
    <x v="6"/>
    <n v="6000"/>
    <m/>
    <s v="Lights"/>
    <s v="Bank"/>
    <m/>
  </r>
  <r>
    <d v="2025-11-19T00:00:00"/>
    <x v="1"/>
    <n v="1000"/>
    <m/>
    <s v="electric"/>
    <s v="Bank"/>
    <m/>
  </r>
  <r>
    <d v="2025-11-19T00:00:00"/>
    <x v="8"/>
    <m/>
    <m/>
    <s v="Usama jet"/>
    <s v="Bank"/>
    <m/>
  </r>
  <r>
    <d v="2025-11-19T00:00:00"/>
    <x v="8"/>
    <m/>
    <m/>
    <s v="Umer boiler-waqas"/>
    <s v="Bank"/>
    <m/>
  </r>
  <r>
    <d v="2025-11-19T00:00:00"/>
    <x v="9"/>
    <m/>
    <n v="350000"/>
    <s v="against Cash"/>
    <s v="Bank"/>
    <m/>
  </r>
  <r>
    <d v="2025-11-19T00:00:00"/>
    <x v="5"/>
    <n v="400012"/>
    <m/>
    <s v="TID:578038"/>
    <s v="Bank"/>
    <m/>
  </r>
  <r>
    <d v="2025-11-19T00:00:00"/>
    <x v="10"/>
    <n v="2250"/>
    <m/>
    <d v="2025-11-19T00:00:00"/>
    <s v="Bank"/>
    <m/>
  </r>
  <r>
    <d v="2025-11-19T00:00:00"/>
    <x v="11"/>
    <n v="10000"/>
    <m/>
    <s v="workshop"/>
    <s v="Bank"/>
    <m/>
  </r>
  <r>
    <d v="2025-11-19T00:00:00"/>
    <x v="7"/>
    <m/>
    <n v="10000"/>
    <s v="workshop"/>
    <s v="Bank"/>
    <m/>
  </r>
  <r>
    <d v="2025-11-19T00:00:00"/>
    <x v="12"/>
    <n v="24000"/>
    <m/>
    <s v="SM"/>
    <s v="Bank"/>
    <m/>
  </r>
  <r>
    <d v="2025-11-19T00:00:00"/>
    <x v="7"/>
    <m/>
    <n v="24000"/>
    <s v="SM"/>
    <s v="Bank"/>
    <m/>
  </r>
  <r>
    <d v="2025-11-20T00:00:00"/>
    <x v="10"/>
    <n v="2260"/>
    <m/>
    <d v="2025-11-20T00:00:00"/>
    <s v="Bank"/>
    <m/>
  </r>
  <r>
    <d v="2025-11-20T00:00:00"/>
    <x v="13"/>
    <m/>
    <m/>
    <s v="Khalid sahab"/>
    <s v="Bank"/>
    <m/>
  </r>
  <r>
    <d v="2025-11-20T00:00:00"/>
    <x v="14"/>
    <n v="141950"/>
    <m/>
    <s v="F3BS, 4G, Navy, Black"/>
    <s v="Bank"/>
    <m/>
  </r>
  <r>
    <d v="2025-11-20T00:00:00"/>
    <x v="7"/>
    <m/>
    <n v="141950"/>
    <s v="Madina dyes"/>
    <s v="Bank"/>
    <m/>
  </r>
  <r>
    <d v="2025-11-20T00:00:00"/>
    <x v="5"/>
    <n v="80300"/>
    <m/>
    <s v="TKL 364"/>
    <s v="Bank"/>
    <m/>
  </r>
  <r>
    <d v="2025-11-20T00:00:00"/>
    <x v="7"/>
    <m/>
    <n v="100000"/>
    <m/>
    <s v="Bank"/>
    <m/>
  </r>
  <r>
    <d v="2025-11-20T00:00:00"/>
    <x v="2"/>
    <n v="7200"/>
    <m/>
    <s v="Mazdoor"/>
    <s v="Bank"/>
    <m/>
  </r>
  <r>
    <d v="2025-11-20T00:00:00"/>
    <x v="11"/>
    <n v="500"/>
    <m/>
    <s v="kora karaya"/>
    <s v="Bank"/>
    <m/>
  </r>
  <r>
    <d v="2025-11-20T00:00:00"/>
    <x v="6"/>
    <n v="4000"/>
    <m/>
    <s v="Boiler sheets"/>
    <s v="Bank"/>
    <m/>
  </r>
  <r>
    <d v="2025-11-20T00:00:00"/>
    <x v="8"/>
    <m/>
    <m/>
    <s v="Master Tanveer"/>
    <s v="Bank"/>
    <m/>
  </r>
  <r>
    <d v="2025-11-20T00:00:00"/>
    <x v="15"/>
    <m/>
    <n v="200000"/>
    <s v="advance"/>
    <s v="Bank"/>
    <m/>
  </r>
  <r>
    <d v="2025-11-20T00:00:00"/>
    <x v="10"/>
    <n v="9740"/>
    <m/>
    <s v="Daig"/>
    <s v="Bank"/>
    <m/>
  </r>
  <r>
    <d v="2025-11-21T00:00:00"/>
    <x v="10"/>
    <n v="2250"/>
    <m/>
    <d v="2025-11-21T00:00:00"/>
    <s v="Bank"/>
    <m/>
  </r>
  <r>
    <d v="2025-11-21T00:00:00"/>
    <x v="6"/>
    <n v="12500"/>
    <m/>
    <s v="Clips"/>
    <s v="Bank"/>
    <m/>
  </r>
  <r>
    <d v="2025-11-21T00:00:00"/>
    <x v="11"/>
    <n v="8008"/>
    <m/>
    <s v="petrol"/>
    <s v="Bank"/>
    <m/>
  </r>
  <r>
    <d v="2025-11-21T00:00:00"/>
    <x v="7"/>
    <m/>
    <n v="8008"/>
    <s v="petrol"/>
    <s v="Bank"/>
    <m/>
  </r>
  <r>
    <d v="2025-11-21T00:00:00"/>
    <x v="16"/>
    <n v="1803475"/>
    <m/>
    <s v="october"/>
    <s v="Bank"/>
    <m/>
  </r>
  <r>
    <d v="2025-11-21T00:00:00"/>
    <x v="5"/>
    <n v="300152"/>
    <m/>
    <s v="TID:267053"/>
    <s v="Bank"/>
    <m/>
  </r>
  <r>
    <d v="2025-11-19T00:00:00"/>
    <x v="17"/>
    <m/>
    <n v="300000"/>
    <m/>
    <s v="Bank"/>
    <m/>
  </r>
  <r>
    <d v="2025-11-21T00:00:00"/>
    <x v="18"/>
    <m/>
    <n v="700000"/>
    <m/>
    <s v="Bank"/>
    <m/>
  </r>
  <r>
    <d v="2025-11-21T00:00:00"/>
    <x v="19"/>
    <m/>
    <n v="500000"/>
    <m/>
    <s v="Bank"/>
    <m/>
  </r>
  <r>
    <d v="2025-11-21T00:00:00"/>
    <x v="17"/>
    <m/>
    <n v="175000"/>
    <m/>
    <s v="Bank"/>
    <m/>
  </r>
  <r>
    <d v="2025-11-21T00:00:00"/>
    <x v="20"/>
    <m/>
    <n v="120205"/>
    <m/>
    <s v="Bank"/>
    <m/>
  </r>
  <r>
    <d v="2025-11-21T00:00:00"/>
    <x v="18"/>
    <m/>
    <n v="175217"/>
    <m/>
    <s v="Bank"/>
    <m/>
  </r>
  <r>
    <d v="2025-11-21T00:00:00"/>
    <x v="21"/>
    <m/>
    <n v="130000"/>
    <m/>
    <s v="Bank"/>
    <m/>
  </r>
  <r>
    <d v="2025-11-21T00:00:00"/>
    <x v="22"/>
    <n v="175000"/>
    <m/>
    <s v="Azam Payment (175k)"/>
    <s v="Bank"/>
    <m/>
  </r>
  <r>
    <d v="2025-11-22T00:00:00"/>
    <x v="10"/>
    <n v="1960"/>
    <m/>
    <d v="2025-11-22T00:00:00"/>
    <s v="Bank"/>
    <m/>
  </r>
  <r>
    <d v="2025-11-22T00:00:00"/>
    <x v="13"/>
    <n v="25000"/>
    <m/>
    <s v="Master Tanveer"/>
    <s v="Bank"/>
    <m/>
  </r>
  <r>
    <d v="2025-11-22T00:00:00"/>
    <x v="11"/>
    <n v="10370"/>
    <m/>
    <s v="petrol"/>
    <s v="Bank"/>
    <m/>
  </r>
  <r>
    <d v="2025-11-22T00:00:00"/>
    <x v="7"/>
    <m/>
    <n v="25000"/>
    <s v="advance master tanveer"/>
    <s v="Bank"/>
    <m/>
  </r>
  <r>
    <d v="2025-11-22T00:00:00"/>
    <x v="7"/>
    <m/>
    <n v="10370"/>
    <s v="petrol"/>
    <s v="Bank"/>
    <m/>
  </r>
  <r>
    <d v="2025-11-22T00:00:00"/>
    <x v="11"/>
    <n v="3000"/>
    <m/>
    <s v="workshop"/>
    <s v="Bank"/>
    <m/>
  </r>
  <r>
    <d v="2025-11-22T00:00:00"/>
    <x v="7"/>
    <m/>
    <n v="3000"/>
    <s v="workshop"/>
    <s v="Bank"/>
    <m/>
  </r>
  <r>
    <d v="2025-11-22T00:00:00"/>
    <x v="6"/>
    <n v="3000"/>
    <m/>
    <s v="parts"/>
    <s v="Bank"/>
    <m/>
  </r>
  <r>
    <d v="2025-11-22T00:00:00"/>
    <x v="7"/>
    <m/>
    <n v="3000"/>
    <s v="parts"/>
    <s v="Bank"/>
    <m/>
  </r>
  <r>
    <d v="2025-11-22T00:00:00"/>
    <x v="11"/>
    <n v="2670"/>
    <m/>
    <s v="petrol"/>
    <s v="Bank"/>
    <m/>
  </r>
  <r>
    <d v="2025-11-22T00:00:00"/>
    <x v="2"/>
    <n v="5000"/>
    <m/>
    <s v="Mazdoor"/>
    <s v="Bank"/>
    <m/>
  </r>
  <r>
    <d v="2025-11-22T00:00:00"/>
    <x v="6"/>
    <n v="150"/>
    <m/>
    <s v="tape"/>
    <s v="Bank"/>
    <m/>
  </r>
  <r>
    <d v="2025-11-22T00:00:00"/>
    <x v="7"/>
    <m/>
    <n v="13000"/>
    <s v="general dyes"/>
    <s v="Bank"/>
    <m/>
  </r>
  <r>
    <d v="2025-11-22T00:00:00"/>
    <x v="23"/>
    <n v="13000"/>
    <m/>
    <s v="Rubine B"/>
    <s v="Bank"/>
    <m/>
  </r>
  <r>
    <d v="2025-11-23T00:00:00"/>
    <x v="24"/>
    <m/>
    <n v="1000000"/>
    <s v="advance"/>
    <s v="Bank"/>
    <m/>
  </r>
  <r>
    <d v="2025-11-23T00:00:00"/>
    <x v="5"/>
    <n v="200068"/>
    <m/>
    <s v="TID:446711"/>
    <s v="Bank"/>
    <m/>
  </r>
  <r>
    <d v="2025-11-23T00:00:00"/>
    <x v="6"/>
    <n v="20000"/>
    <m/>
    <s v="clips"/>
    <s v="Bank"/>
    <m/>
  </r>
  <r>
    <d v="2025-11-23T00:00:00"/>
    <x v="25"/>
    <n v="1100"/>
    <m/>
    <s v="stationary"/>
    <s v="Bank"/>
    <m/>
  </r>
  <r>
    <d v="2025-11-23T00:00:00"/>
    <x v="10"/>
    <n v="2635"/>
    <m/>
    <d v="2025-11-23T00:00:00"/>
    <s v="Bank"/>
    <m/>
  </r>
  <r>
    <d v="2025-11-23T00:00:00"/>
    <x v="6"/>
    <n v="10000"/>
    <m/>
    <s v="generator"/>
    <s v="Bank"/>
    <m/>
  </r>
  <r>
    <d v="2025-11-24T00:00:00"/>
    <x v="5"/>
    <n v="67500"/>
    <m/>
    <s v="TKL 364"/>
    <s v="Bank"/>
    <m/>
  </r>
  <r>
    <d v="2025-11-24T00:00:00"/>
    <x v="10"/>
    <n v="20000"/>
    <m/>
    <s v="atta"/>
    <s v="Bank"/>
    <m/>
  </r>
  <r>
    <d v="2025-11-24T00:00:00"/>
    <x v="6"/>
    <n v="6000"/>
    <m/>
    <s v="parts"/>
    <s v="Bank"/>
    <m/>
  </r>
  <r>
    <d v="2025-11-24T00:00:00"/>
    <x v="11"/>
    <n v="12700"/>
    <m/>
    <s v="kora karaya"/>
    <s v="Bank"/>
    <m/>
  </r>
  <r>
    <d v="2025-11-24T00:00:00"/>
    <x v="26"/>
    <n v="40000"/>
    <m/>
    <s v="UBL"/>
    <s v="Bank"/>
    <m/>
  </r>
  <r>
    <d v="2025-11-24T00:00:00"/>
    <x v="10"/>
    <n v="2220"/>
    <m/>
    <d v="2025-11-24T00:00:00"/>
    <s v="Bank"/>
    <m/>
  </r>
  <r>
    <d v="2025-11-24T00:00:00"/>
    <x v="2"/>
    <n v="9200"/>
    <m/>
    <s v="Mazdoor"/>
    <s v="Bank"/>
    <m/>
  </r>
  <r>
    <d v="2025-11-24T00:00:00"/>
    <x v="8"/>
    <m/>
    <m/>
    <s v="Ashraf Boiler"/>
    <s v="Bank"/>
    <m/>
  </r>
  <r>
    <d v="2025-11-24T00:00:00"/>
    <x v="8"/>
    <m/>
    <m/>
    <s v="Nauman Ali"/>
    <s v="Bank"/>
    <m/>
  </r>
  <r>
    <d v="2025-11-24T00:00:00"/>
    <x v="25"/>
    <n v="2600"/>
    <m/>
    <s v="channay//akbar sahab"/>
    <s v="Bank"/>
    <m/>
  </r>
  <r>
    <d v="2025-11-22T00:00:00"/>
    <x v="14"/>
    <n v="98000"/>
    <m/>
    <s v="BP26,Black"/>
    <s v="Bank"/>
    <m/>
  </r>
  <r>
    <d v="2025-11-22T00:00:00"/>
    <x v="23"/>
    <n v="47000"/>
    <m/>
    <s v="Rubine B"/>
    <s v="Bank"/>
    <m/>
  </r>
  <r>
    <d v="2025-11-22T00:00:00"/>
    <x v="7"/>
    <m/>
    <n v="145000"/>
    <s v="Dyes (Cash)"/>
    <s v="Bank"/>
    <m/>
  </r>
  <r>
    <d v="2025-11-25T00:00:00"/>
    <x v="22"/>
    <m/>
    <n v="121000"/>
    <m/>
    <s v="Bank"/>
    <m/>
  </r>
  <r>
    <d v="2025-11-25T00:00:00"/>
    <x v="27"/>
    <m/>
    <n v="1353061"/>
    <m/>
    <s v="Bank"/>
    <m/>
  </r>
  <r>
    <d v="2025-11-25T00:00:00"/>
    <x v="22"/>
    <n v="1353061"/>
    <m/>
    <s v="sajad khan"/>
    <s v="Bank"/>
    <m/>
  </r>
  <r>
    <d v="2025-11-25T00:00:00"/>
    <x v="5"/>
    <n v="35000"/>
    <m/>
    <s v="E 3229"/>
    <s v="Bank"/>
    <m/>
  </r>
  <r>
    <d v="2025-11-25T00:00:00"/>
    <x v="5"/>
    <n v="72800"/>
    <m/>
    <s v="C 8947"/>
    <s v="Bank"/>
    <m/>
  </r>
  <r>
    <d v="2025-11-25T00:00:00"/>
    <x v="6"/>
    <n v="440"/>
    <m/>
    <m/>
    <s v="Bank"/>
    <m/>
  </r>
  <r>
    <d v="2025-11-25T00:00:00"/>
    <x v="6"/>
    <n v="580"/>
    <m/>
    <m/>
    <s v="Bank"/>
    <m/>
  </r>
  <r>
    <d v="2025-11-25T00:00:00"/>
    <x v="25"/>
    <n v="1100"/>
    <m/>
    <m/>
    <s v="Bank"/>
    <m/>
  </r>
  <r>
    <d v="2025-11-25T00:00:00"/>
    <x v="28"/>
    <n v="400000"/>
    <m/>
    <s v="starch"/>
    <s v="Bank"/>
    <m/>
  </r>
  <r>
    <d v="2025-11-25T00:00:00"/>
    <x v="6"/>
    <n v="20000"/>
    <m/>
    <s v="clips"/>
    <s v="Bank"/>
    <m/>
  </r>
  <r>
    <d v="2025-11-25T00:00:00"/>
    <x v="14"/>
    <n v="231500"/>
    <m/>
    <s v="Dyes (Cash)"/>
    <s v="Bank"/>
    <m/>
  </r>
  <r>
    <d v="2025-11-25T00:00:00"/>
    <x v="22"/>
    <m/>
    <n v="99000"/>
    <s v="Madina dyes"/>
    <s v="Bank"/>
    <m/>
  </r>
  <r>
    <d v="2025-11-25T00:00:00"/>
    <x v="1"/>
    <m/>
    <n v="1100"/>
    <s v="registers"/>
    <s v="Bank"/>
    <m/>
  </r>
  <r>
    <d v="2025-11-25T00:00:00"/>
    <x v="1"/>
    <m/>
    <n v="580"/>
    <s v="parts"/>
    <s v="Bank"/>
    <m/>
  </r>
  <r>
    <d v="2025-11-25T00:00:00"/>
    <x v="1"/>
    <m/>
    <n v="60000"/>
    <s v="cash"/>
    <s v="Bank"/>
    <m/>
  </r>
  <r>
    <d v="2025-11-25T00:00:00"/>
    <x v="22"/>
    <m/>
    <n v="55000"/>
    <m/>
    <s v="Bank"/>
    <m/>
  </r>
  <r>
    <d v="2025-11-25T00:00:00"/>
    <x v="2"/>
    <n v="14800"/>
    <m/>
    <s v="cement"/>
    <s v="Bank"/>
    <m/>
  </r>
  <r>
    <d v="2025-11-25T00:00:00"/>
    <x v="2"/>
    <n v="10200"/>
    <m/>
    <s v="Mazdoor"/>
    <s v="Bank"/>
    <m/>
  </r>
  <r>
    <d v="2025-11-25T00:00:00"/>
    <x v="8"/>
    <n v="3000"/>
    <m/>
    <s v="waqas chakki"/>
    <s v="Bank"/>
    <m/>
  </r>
  <r>
    <d v="2025-11-25T00:00:00"/>
    <x v="8"/>
    <m/>
    <m/>
    <s v="ali ahmad fitter"/>
    <s v="Bank"/>
    <m/>
  </r>
  <r>
    <d v="2025-11-25T00:00:00"/>
    <x v="11"/>
    <n v="10200"/>
    <m/>
    <s v="petrol"/>
    <s v="Bank"/>
    <m/>
  </r>
  <r>
    <d v="2025-11-25T00:00:00"/>
    <x v="1"/>
    <m/>
    <n v="10200"/>
    <s v="petrol"/>
    <s v="Bank"/>
    <m/>
  </r>
  <r>
    <d v="2025-11-25T00:00:00"/>
    <x v="10"/>
    <n v="2365"/>
    <m/>
    <d v="2025-11-25T00:00:00"/>
    <s v="Bank"/>
    <m/>
  </r>
  <r>
    <d v="2025-11-25T00:00:00"/>
    <x v="9"/>
    <m/>
    <n v="300000"/>
    <s v="cash BSC"/>
    <s v="Bank"/>
    <m/>
  </r>
  <r>
    <d v="2025-11-25T00:00:00"/>
    <x v="9"/>
    <m/>
    <n v="150000"/>
    <s v="cash BSC"/>
    <s v="Bank"/>
    <m/>
  </r>
  <r>
    <d v="2025-11-25T00:00:00"/>
    <x v="22"/>
    <n v="450000"/>
    <m/>
    <s v="arshad silk"/>
    <s v="Bank"/>
    <m/>
  </r>
  <r>
    <d v="2025-11-25T00:00:00"/>
    <x v="1"/>
    <m/>
    <n v="20000"/>
    <s v="malik z"/>
    <s v="Bank"/>
    <m/>
  </r>
  <r>
    <d v="2025-11-24T00:00:00"/>
    <x v="9"/>
    <m/>
    <n v="300000"/>
    <s v="cash bsc"/>
    <s v="Bank"/>
    <m/>
  </r>
  <r>
    <d v="2025-11-24T00:00:00"/>
    <x v="22"/>
    <n v="300000"/>
    <m/>
    <s v="arshad silk cash"/>
    <s v="Bank"/>
    <m/>
  </r>
  <r>
    <d v="2025-11-25T00:00:00"/>
    <x v="1"/>
    <n v="1500"/>
    <m/>
    <m/>
    <s v="Bank"/>
    <m/>
  </r>
  <r>
    <d v="2025-11-26T00:00:00"/>
    <x v="22"/>
    <m/>
    <n v="430000"/>
    <s v="cash BSC"/>
    <s v="Bank"/>
    <m/>
  </r>
  <r>
    <d v="2025-11-26T00:00:00"/>
    <x v="29"/>
    <m/>
    <n v="205980"/>
    <m/>
    <s v="Bank"/>
    <m/>
  </r>
  <r>
    <d v="2025-11-26T00:00:00"/>
    <x v="30"/>
    <m/>
    <n v="100000"/>
    <s v="advance"/>
    <s v="Bank"/>
    <m/>
  </r>
  <r>
    <d v="2025-11-26T00:00:00"/>
    <x v="5"/>
    <n v="302123"/>
    <m/>
    <s v="TID:903176"/>
    <s v="Bank"/>
    <m/>
  </r>
  <r>
    <d v="2025-11-26T00:00:00"/>
    <x v="1"/>
    <m/>
    <n v="2000"/>
    <s v="mtag"/>
    <s v="Bank"/>
    <m/>
  </r>
  <r>
    <d v="2025-11-26T00:00:00"/>
    <x v="11"/>
    <n v="2000"/>
    <m/>
    <s v="mtag"/>
    <s v="Bank"/>
    <m/>
  </r>
  <r>
    <d v="2025-11-26T00:00:00"/>
    <x v="11"/>
    <n v="1500"/>
    <m/>
    <s v="toll"/>
    <s v="Bank"/>
    <m/>
  </r>
  <r>
    <d v="2025-11-26T00:00:00"/>
    <x v="7"/>
    <m/>
    <n v="1500"/>
    <s v="toll"/>
    <s v="Bank"/>
    <m/>
  </r>
  <r>
    <d v="2025-11-26T00:00:00"/>
    <x v="8"/>
    <m/>
    <m/>
    <s v="Akbar sahab"/>
    <s v="Bank"/>
    <m/>
  </r>
  <r>
    <d v="2025-11-26T00:00:00"/>
    <x v="2"/>
    <n v="5800"/>
    <m/>
    <s v="Mazdoor"/>
    <s v="Bank"/>
    <m/>
  </r>
  <r>
    <d v="2025-11-26T00:00:00"/>
    <x v="31"/>
    <n v="100000"/>
    <m/>
    <s v="TAD 290"/>
    <s v="Bank"/>
    <m/>
  </r>
  <r>
    <d v="2025-11-26T00:00:00"/>
    <x v="8"/>
    <m/>
    <m/>
    <s v="Master Tanveer"/>
    <s v="Bank"/>
    <m/>
  </r>
  <r>
    <d v="2025-11-26T00:00:00"/>
    <x v="6"/>
    <n v="1000"/>
    <m/>
    <m/>
    <s v="Bank"/>
    <m/>
  </r>
  <r>
    <d v="2025-11-26T00:00:00"/>
    <x v="8"/>
    <n v="7000"/>
    <m/>
    <s v="chakki"/>
    <s v="Bank"/>
    <m/>
  </r>
  <r>
    <d v="2025-11-26T00:00:00"/>
    <x v="6"/>
    <n v="1950"/>
    <m/>
    <s v="bearings"/>
    <s v="Bank"/>
    <m/>
  </r>
  <r>
    <d v="2025-11-26T00:00:00"/>
    <x v="25"/>
    <n v="420"/>
    <m/>
    <s v="stationary"/>
    <s v="Bank"/>
    <m/>
  </r>
  <r>
    <d v="2025-11-26T00:00:00"/>
    <x v="7"/>
    <m/>
    <n v="50000"/>
    <m/>
    <s v="Bank"/>
    <m/>
  </r>
  <r>
    <d v="2025-11-26T00:00:00"/>
    <x v="7"/>
    <m/>
    <n v="240130"/>
    <s v="Unicolour"/>
    <s v="Bank"/>
    <m/>
  </r>
  <r>
    <d v="2025-11-26T00:00:00"/>
    <x v="32"/>
    <n v="240125"/>
    <m/>
    <s v="Balance Nill"/>
    <s v="Bank"/>
    <m/>
  </r>
  <r>
    <d v="2025-11-26T00:00:00"/>
    <x v="5"/>
    <n v="45700"/>
    <m/>
    <s v="E 9399"/>
    <s v="Bank"/>
    <m/>
  </r>
  <r>
    <d v="2025-11-26T00:00:00"/>
    <x v="1"/>
    <n v="620"/>
    <m/>
    <m/>
    <s v="Bank"/>
    <m/>
  </r>
  <r>
    <d v="2025-11-27T00:00:00"/>
    <x v="33"/>
    <n v="15000"/>
    <m/>
    <s v="imran"/>
    <s v="Bank"/>
    <m/>
  </r>
  <r>
    <d v="2025-11-27T00:00:00"/>
    <x v="33"/>
    <n v="10000"/>
    <m/>
    <s v="adil hussain"/>
    <s v="Bank"/>
    <m/>
  </r>
  <r>
    <d v="2025-11-27T00:00:00"/>
    <x v="25"/>
    <n v="3600"/>
    <m/>
    <s v="lacking"/>
    <s v="Bank"/>
    <m/>
  </r>
  <r>
    <d v="2025-11-27T00:00:00"/>
    <x v="11"/>
    <n v="1500"/>
    <m/>
    <s v="kora karaya"/>
    <s v="Bank"/>
    <m/>
  </r>
  <r>
    <d v="2025-11-27T00:00:00"/>
    <x v="2"/>
    <n v="1300"/>
    <m/>
    <s v="Mazdoor"/>
    <s v="Bank"/>
    <m/>
  </r>
  <r>
    <d v="2025-11-27T00:00:00"/>
    <x v="13"/>
    <n v="5000"/>
    <m/>
    <s v="imran electric"/>
    <s v="Bank"/>
    <m/>
  </r>
  <r>
    <d v="2025-11-27T00:00:00"/>
    <x v="8"/>
    <m/>
    <m/>
    <s v="Naeem"/>
    <s v="Bank"/>
    <m/>
  </r>
  <r>
    <d v="2025-11-27T00:00:00"/>
    <x v="5"/>
    <n v="106000"/>
    <m/>
    <s v="NAD 668"/>
    <s v="Bank"/>
    <m/>
  </r>
  <r>
    <d v="2025-11-27T00:00:00"/>
    <x v="1"/>
    <m/>
    <n v="3600"/>
    <s v="lacking"/>
    <s v="Bank"/>
    <m/>
  </r>
  <r>
    <d v="2025-11-27T00:00:00"/>
    <x v="1"/>
    <m/>
    <n v="1600"/>
    <s v="pump"/>
    <s v="Bank"/>
    <m/>
  </r>
  <r>
    <d v="2025-11-27T00:00:00"/>
    <x v="3"/>
    <n v="175000"/>
    <m/>
    <m/>
    <s v="Bank"/>
    <m/>
  </r>
  <r>
    <d v="2025-11-27T00:00:00"/>
    <x v="6"/>
    <n v="15000"/>
    <m/>
    <s v="battery"/>
    <s v="Bank"/>
    <m/>
  </r>
  <r>
    <d v="2025-11-27T00:00:00"/>
    <x v="17"/>
    <m/>
    <n v="90000"/>
    <s v="credit"/>
    <s v="Bank"/>
    <m/>
  </r>
  <r>
    <d v="2025-11-27T00:00:00"/>
    <x v="34"/>
    <m/>
    <n v="100000"/>
    <s v="advance"/>
    <s v="Bank"/>
    <m/>
  </r>
  <r>
    <d v="2025-11-27T00:00:00"/>
    <x v="7"/>
    <m/>
    <n v="4500"/>
    <s v="oil"/>
    <s v="Bank"/>
    <m/>
  </r>
  <r>
    <d v="2025-11-27T00:00:00"/>
    <x v="11"/>
    <n v="4500"/>
    <m/>
    <s v="oil"/>
    <s v="Bank"/>
    <m/>
  </r>
  <r>
    <d v="2025-11-27T00:00:00"/>
    <x v="11"/>
    <n v="5352"/>
    <m/>
    <s v="petrol"/>
    <s v="Bank"/>
    <m/>
  </r>
  <r>
    <d v="2025-11-27T00:00:00"/>
    <x v="1"/>
    <m/>
    <n v="5352"/>
    <s v="petrol"/>
    <s v="Bank"/>
    <m/>
  </r>
  <r>
    <d v="2025-11-27T00:00:00"/>
    <x v="7"/>
    <m/>
    <n v="85000"/>
    <s v="shafi Dyes"/>
    <s v="Bank"/>
    <m/>
  </r>
  <r>
    <d v="2025-11-27T00:00:00"/>
    <x v="35"/>
    <n v="85000"/>
    <m/>
    <s v="rubine B, Navy"/>
    <s v="Bank"/>
    <m/>
  </r>
  <r>
    <d v="2025-11-28T00:00:00"/>
    <x v="1"/>
    <m/>
    <n v="5350"/>
    <s v="petrol"/>
    <s v="Bank"/>
    <m/>
  </r>
  <r>
    <d v="2025-11-28T00:00:00"/>
    <x v="11"/>
    <n v="5350"/>
    <m/>
    <s v="petrol"/>
    <s v="Bank"/>
    <m/>
  </r>
  <r>
    <d v="2025-11-28T00:00:00"/>
    <x v="8"/>
    <n v="9000"/>
    <m/>
    <s v="Baloch chakki"/>
    <s v="Bank"/>
    <m/>
  </r>
  <r>
    <d v="2025-11-28T00:00:00"/>
    <x v="1"/>
    <m/>
    <n v="5000"/>
    <s v="salary day exp"/>
    <s v="Bank"/>
    <m/>
  </r>
  <r>
    <d v="2025-11-28T00:00:00"/>
    <x v="7"/>
    <m/>
    <n v="50000"/>
    <s v="afzaal chakki baloch"/>
    <s v="Bank"/>
    <m/>
  </r>
  <r>
    <d v="2025-11-28T00:00:00"/>
    <x v="22"/>
    <m/>
    <n v="100000"/>
    <m/>
    <s v="Bank"/>
    <m/>
  </r>
  <r>
    <d v="2025-11-28T00:00:00"/>
    <x v="9"/>
    <m/>
    <n v="300000"/>
    <s v="advance"/>
    <s v="Bank"/>
    <m/>
  </r>
  <r>
    <d v="2025-11-28T00:00:00"/>
    <x v="9"/>
    <m/>
    <n v="200000"/>
    <s v="advance"/>
    <s v="Bank"/>
    <m/>
  </r>
  <r>
    <d v="2025-11-28T00:00:00"/>
    <x v="5"/>
    <n v="46100"/>
    <m/>
    <s v="CAR 6957"/>
    <s v="Bank"/>
    <m/>
  </r>
  <r>
    <d v="2025-11-28T00:00:00"/>
    <x v="22"/>
    <m/>
    <n v="100000"/>
    <m/>
    <s v="Bank"/>
    <m/>
  </r>
  <r>
    <d v="2025-11-28T00:00:00"/>
    <x v="22"/>
    <m/>
    <n v="47500"/>
    <m/>
    <s v="Bank"/>
    <m/>
  </r>
  <r>
    <d v="2025-11-28T00:00:00"/>
    <x v="7"/>
    <m/>
    <n v="25000"/>
    <m/>
    <s v="Bank"/>
    <m/>
  </r>
  <r>
    <d v="2025-11-28T00:00:00"/>
    <x v="6"/>
    <n v="25000"/>
    <m/>
    <s v="clips"/>
    <s v="Bank"/>
    <m/>
  </r>
  <r>
    <d v="2025-11-28T00:00:00"/>
    <x v="1"/>
    <n v="5000"/>
    <m/>
    <s v="account deposit"/>
    <s v="Bank"/>
    <m/>
  </r>
  <r>
    <d v="2025-11-27T00:00:00"/>
    <x v="1"/>
    <n v="1000"/>
    <m/>
    <m/>
    <s v="Bank"/>
    <m/>
  </r>
  <r>
    <d v="2025-11-28T00:00:00"/>
    <x v="25"/>
    <n v="500"/>
    <m/>
    <s v="310+155"/>
    <s v="Bank"/>
    <m/>
  </r>
  <r>
    <d v="2025-11-29T00:00:00"/>
    <x v="1"/>
    <m/>
    <n v="10310"/>
    <s v="Rashan"/>
    <s v="Bank"/>
    <m/>
  </r>
  <r>
    <d v="2025-11-29T00:00:00"/>
    <x v="10"/>
    <n v="10310"/>
    <m/>
    <s v="bill nill"/>
    <s v="Bank"/>
    <m/>
  </r>
  <r>
    <d v="2025-11-29T00:00:00"/>
    <x v="11"/>
    <n v="16100"/>
    <m/>
    <s v="petrol"/>
    <s v="Bank"/>
    <m/>
  </r>
  <r>
    <d v="2025-11-29T00:00:00"/>
    <x v="11"/>
    <n v="3000"/>
    <m/>
    <s v="petrol"/>
    <s v="Bank"/>
    <m/>
  </r>
  <r>
    <d v="2025-11-29T00:00:00"/>
    <x v="7"/>
    <m/>
    <n v="13500"/>
    <s v="petrol"/>
    <s v="Bank"/>
    <m/>
  </r>
  <r>
    <d v="2025-11-29T00:00:00"/>
    <x v="7"/>
    <m/>
    <n v="19000"/>
    <s v="imran electric"/>
    <s v="Bank"/>
    <m/>
  </r>
  <r>
    <d v="2025-11-29T00:00:00"/>
    <x v="13"/>
    <n v="20000"/>
    <m/>
    <s v="imran electric"/>
    <s v="Bank"/>
    <m/>
  </r>
  <r>
    <d v="2025-11-29T00:00:00"/>
    <x v="7"/>
    <m/>
    <n v="46000"/>
    <s v="Madina dyes"/>
    <s v="Bank"/>
    <m/>
  </r>
  <r>
    <d v="2025-11-29T00:00:00"/>
    <x v="14"/>
    <n v="46000"/>
    <m/>
    <s v="black x2"/>
    <s v="Bank"/>
    <m/>
  </r>
  <r>
    <d v="2025-11-29T00:00:00"/>
    <x v="22"/>
    <m/>
    <n v="260000"/>
    <m/>
    <s v="Bank"/>
    <m/>
  </r>
  <r>
    <d v="2025-11-29T00:00:00"/>
    <x v="5"/>
    <n v="200000"/>
    <m/>
    <s v="TID:080137"/>
    <s v="Bank"/>
    <m/>
  </r>
  <r>
    <d v="2025-11-29T00:00:00"/>
    <x v="22"/>
    <n v="50000"/>
    <m/>
    <s v="Badshah Fabrics"/>
    <s v="Bank"/>
    <m/>
  </r>
  <r>
    <d v="2025-11-29T00:00:00"/>
    <x v="18"/>
    <m/>
    <n v="50000"/>
    <m/>
    <s v="Bank"/>
    <m/>
  </r>
  <r>
    <d v="2025-11-29T00:00:00"/>
    <x v="34"/>
    <m/>
    <n v="200000"/>
    <m/>
    <s v="Bank"/>
    <m/>
  </r>
  <r>
    <d v="2025-11-29T00:00:00"/>
    <x v="5"/>
    <n v="200338"/>
    <m/>
    <s v="TID:944970"/>
    <s v="Bank"/>
    <m/>
  </r>
  <r>
    <d v="2025-11-29T00:00:00"/>
    <x v="7"/>
    <m/>
    <n v="10000"/>
    <s v="Advance Khalid Sahab"/>
    <s v="Bank"/>
    <m/>
  </r>
  <r>
    <d v="2025-11-29T00:00:00"/>
    <x v="13"/>
    <n v="10000"/>
    <m/>
    <s v="Khalid sahab"/>
    <s v="Bank"/>
    <m/>
  </r>
  <r>
    <d v="2025-11-29T00:00:00"/>
    <x v="8"/>
    <n v="1000"/>
    <m/>
    <s v="rajanpur chakki"/>
    <s v="Bank"/>
    <m/>
  </r>
  <r>
    <d v="2025-11-29T00:00:00"/>
    <x v="1"/>
    <m/>
    <n v="1000"/>
    <s v="petrol-16100"/>
    <s v="Bank"/>
    <m/>
  </r>
  <r>
    <d v="2025-11-29T00:00:00"/>
    <x v="1"/>
    <m/>
    <n v="1000"/>
    <s v="salary-imran"/>
    <s v="Bank"/>
    <m/>
  </r>
  <r>
    <d v="2025-11-29T00:00:00"/>
    <x v="7"/>
    <m/>
    <n v="11150"/>
    <s v="brush"/>
    <s v="Bank"/>
    <m/>
  </r>
  <r>
    <d v="2025-11-29T00:00:00"/>
    <x v="6"/>
    <n v="11150"/>
    <m/>
    <s v="brush"/>
    <s v="Bank"/>
    <m/>
  </r>
  <r>
    <d v="2025-11-29T00:00:00"/>
    <x v="7"/>
    <m/>
    <n v="52000"/>
    <s v="afzaal chakki"/>
    <s v="Bank"/>
    <m/>
  </r>
  <r>
    <d v="2025-11-29T00:00:00"/>
    <x v="36"/>
    <m/>
    <m/>
    <m/>
    <m/>
    <m/>
  </r>
  <r>
    <d v="2025-11-30T00:00:00"/>
    <x v="7"/>
    <m/>
    <n v="10000"/>
    <s v="Master Tanveer"/>
    <s v="Bank"/>
    <m/>
  </r>
  <r>
    <d v="2025-11-30T00:00:00"/>
    <x v="8"/>
    <m/>
    <m/>
    <s v="Master Tanveer"/>
    <s v="Bank"/>
    <m/>
  </r>
  <r>
    <d v="2025-11-30T00:00:00"/>
    <x v="2"/>
    <n v="3000"/>
    <m/>
    <s v="Qadeer sahab salary"/>
    <s v="Bank"/>
    <m/>
  </r>
  <r>
    <d v="2025-11-30T00:00:00"/>
    <x v="2"/>
    <n v="5000"/>
    <m/>
    <s v="shadi"/>
    <s v="Bank"/>
    <m/>
  </r>
  <r>
    <d v="2025-11-30T00:00:00"/>
    <x v="2"/>
    <n v="3520"/>
    <m/>
    <s v="food"/>
    <s v="Bank"/>
    <m/>
  </r>
  <r>
    <d v="2025-11-30T00:00:00"/>
    <x v="2"/>
    <n v="1000"/>
    <m/>
    <s v="Cash lekr gaye"/>
    <s v="Bank"/>
    <m/>
  </r>
  <r>
    <d v="2025-12-01T00:00:00"/>
    <x v="2"/>
    <n v="3000"/>
    <m/>
    <s v="ghar"/>
    <s v="Bank"/>
    <m/>
  </r>
  <r>
    <d v="2025-12-01T00:00:00"/>
    <x v="2"/>
    <n v="500"/>
    <m/>
    <s v="gari workshop"/>
    <s v="Bank"/>
    <m/>
  </r>
  <r>
    <d v="2025-12-01T00:00:00"/>
    <x v="10"/>
    <n v="20000"/>
    <m/>
    <s v="atta"/>
    <s v="Bank"/>
    <m/>
  </r>
  <r>
    <d v="2025-12-01T00:00:00"/>
    <x v="34"/>
    <m/>
    <n v="30000"/>
    <m/>
    <s v="Bank"/>
    <m/>
  </r>
  <r>
    <d v="2025-12-01T00:00:00"/>
    <x v="7"/>
    <m/>
    <n v="7750"/>
    <s v="parts"/>
    <s v="Bank"/>
    <m/>
  </r>
  <r>
    <d v="2025-12-01T00:00:00"/>
    <x v="14"/>
    <n v="52000"/>
    <m/>
    <s v="BP26 x4"/>
    <s v="Bank"/>
    <m/>
  </r>
  <r>
    <d v="2025-12-01T00:00:00"/>
    <x v="7"/>
    <m/>
    <n v="52000"/>
    <s v="Madina dyes"/>
    <s v="Bank"/>
    <m/>
  </r>
  <r>
    <d v="2025-12-01T00:00:00"/>
    <x v="6"/>
    <n v="7750"/>
    <m/>
    <s v="parts"/>
    <s v="Bank"/>
    <m/>
  </r>
  <r>
    <d v="2025-12-01T00:00:00"/>
    <x v="6"/>
    <n v="1900"/>
    <m/>
    <s v="parts"/>
    <s v="Bank"/>
    <m/>
  </r>
  <r>
    <d v="2025-12-01T00:00:00"/>
    <x v="7"/>
    <m/>
    <n v="1900"/>
    <s v="parts"/>
    <s v="Bank"/>
    <m/>
  </r>
  <r>
    <d v="2025-12-01T00:00:00"/>
    <x v="1"/>
    <n v="900"/>
    <m/>
    <s v="electric"/>
    <s v="Bank"/>
    <m/>
  </r>
  <r>
    <d v="2025-12-01T00:00:00"/>
    <x v="24"/>
    <m/>
    <n v="1000000"/>
    <s v="advance"/>
    <s v="Bank"/>
    <m/>
  </r>
  <r>
    <d v="2025-12-01T00:00:00"/>
    <x v="5"/>
    <n v="300204"/>
    <m/>
    <s v="TID:914464"/>
    <s v="Bank"/>
    <m/>
  </r>
  <r>
    <d v="2025-12-01T00:00:00"/>
    <x v="11"/>
    <n v="3000"/>
    <m/>
    <s v="petrol"/>
    <s v="Bank"/>
    <m/>
  </r>
  <r>
    <d v="2025-12-01T00:00:00"/>
    <x v="8"/>
    <m/>
    <m/>
    <s v="Master Tanveer"/>
    <s v="Bank"/>
    <m/>
  </r>
  <r>
    <d v="2025-12-01T00:00:00"/>
    <x v="34"/>
    <m/>
    <n v="7000"/>
    <s v="bill nill"/>
    <s v="Bank"/>
    <m/>
  </r>
  <r>
    <d v="2025-11-25T00:00:00"/>
    <x v="19"/>
    <m/>
    <n v="1000000"/>
    <s v="cheque meezan"/>
    <s v="Bank"/>
    <m/>
  </r>
  <r>
    <d v="2025-11-25T00:00:00"/>
    <x v="22"/>
    <n v="1000000"/>
    <m/>
    <s v="amjad sohail"/>
    <s v="Bank"/>
    <m/>
  </r>
  <r>
    <d v="2025-11-25T00:00:00"/>
    <x v="37"/>
    <m/>
    <n v="10040"/>
    <s v="bill nill"/>
    <s v="Bank"/>
    <m/>
  </r>
  <r>
    <d v="2025-11-25T00:00:00"/>
    <x v="22"/>
    <n v="10040"/>
    <m/>
    <s v="ubaidullah"/>
    <s v="Bank"/>
    <m/>
  </r>
  <r>
    <d v="2025-11-29T00:00:00"/>
    <x v="17"/>
    <m/>
    <n v="300000"/>
    <s v="cash"/>
    <s v="Bank"/>
    <m/>
  </r>
  <r>
    <d v="2025-11-29T00:00:00"/>
    <x v="17"/>
    <m/>
    <n v="90000"/>
    <s v="cheque meezan"/>
    <s v="Bank"/>
    <m/>
  </r>
  <r>
    <d v="2025-11-29T00:00:00"/>
    <x v="22"/>
    <n v="390000"/>
    <m/>
    <s v="Azam"/>
    <s v="Bank"/>
    <m/>
  </r>
  <r>
    <d v="2025-11-23T00:00:00"/>
    <x v="38"/>
    <m/>
    <n v="200000"/>
    <m/>
    <s v="Bank"/>
    <m/>
  </r>
  <r>
    <d v="2025-11-25T00:00:00"/>
    <x v="38"/>
    <m/>
    <n v="100000"/>
    <m/>
    <s v="Bank"/>
    <m/>
  </r>
  <r>
    <d v="2025-11-24T00:00:00"/>
    <x v="38"/>
    <m/>
    <n v="50000"/>
    <m/>
    <s v="Bank"/>
    <m/>
  </r>
  <r>
    <d v="2025-11-25T00:00:00"/>
    <x v="38"/>
    <m/>
    <n v="48325"/>
    <s v="bill nill"/>
    <s v="Bank"/>
    <m/>
  </r>
  <r>
    <d v="2025-11-25T00:00:00"/>
    <x v="22"/>
    <n v="398325"/>
    <m/>
    <s v="shahid Qasayi"/>
    <s v="Bank"/>
    <m/>
  </r>
  <r>
    <d v="2025-12-02T00:00:00"/>
    <x v="11"/>
    <n v="3000"/>
    <m/>
    <s v="petrol"/>
    <s v="Bank"/>
    <m/>
  </r>
  <r>
    <d v="2025-12-02T00:00:00"/>
    <x v="11"/>
    <n v="1000"/>
    <m/>
    <s v="toll"/>
    <s v="Bank"/>
    <m/>
  </r>
  <r>
    <d v="2025-12-02T00:00:00"/>
    <x v="14"/>
    <n v="242450"/>
    <m/>
    <s v="Dyes"/>
    <s v="Bank"/>
    <m/>
  </r>
  <r>
    <d v="2025-12-02T00:00:00"/>
    <x v="5"/>
    <n v="200200"/>
    <m/>
    <s v="TID:610976"/>
    <s v="Bank"/>
    <m/>
  </r>
  <r>
    <d v="2025-12-02T00:00:00"/>
    <x v="5"/>
    <n v="74400"/>
    <m/>
    <s v="TKL 364"/>
    <s v="Bank"/>
    <m/>
  </r>
  <r>
    <d v="2025-12-02T00:00:00"/>
    <x v="8"/>
    <m/>
    <m/>
    <s v="Ajmal chakki"/>
    <s v="Bank"/>
    <m/>
  </r>
  <r>
    <d v="2025-12-02T00:00:00"/>
    <x v="8"/>
    <m/>
    <m/>
    <s v="nasir"/>
    <s v="Bank"/>
    <m/>
  </r>
  <r>
    <d v="2025-12-02T00:00:00"/>
    <x v="8"/>
    <n v="6000"/>
    <m/>
    <s v="Baloch chakki"/>
    <s v="Bank"/>
    <m/>
  </r>
  <r>
    <d v="2025-12-02T00:00:00"/>
    <x v="8"/>
    <n v="45000"/>
    <m/>
    <s v="master arshad"/>
    <s v="Bank"/>
    <m/>
  </r>
  <r>
    <d v="2025-12-03T00:00:00"/>
    <x v="1"/>
    <n v="800"/>
    <m/>
    <m/>
    <s v="Bank"/>
    <m/>
  </r>
  <r>
    <d v="2025-12-03T00:00:00"/>
    <x v="11"/>
    <n v="2000"/>
    <m/>
    <s v="petrol"/>
    <s v="Bank"/>
    <m/>
  </r>
  <r>
    <d v="2025-12-03T00:00:00"/>
    <x v="11"/>
    <n v="11000"/>
    <m/>
    <s v="petrol"/>
    <s v="Bank"/>
    <m/>
  </r>
  <r>
    <d v="2025-12-03T00:00:00"/>
    <x v="13"/>
    <n v="50000"/>
    <m/>
    <s v="basharat"/>
    <s v="Bank"/>
    <m/>
  </r>
  <r>
    <d v="2025-12-03T00:00:00"/>
    <x v="13"/>
    <n v="45000"/>
    <m/>
    <s v="master arshad"/>
    <s v="Bank"/>
    <m/>
  </r>
  <r>
    <d v="2025-12-03T00:00:00"/>
    <x v="15"/>
    <m/>
    <n v="300000"/>
    <m/>
    <s v="Bank"/>
    <m/>
  </r>
  <r>
    <d v="2025-12-03T00:00:00"/>
    <x v="5"/>
    <n v="250768"/>
    <m/>
    <s v="TID:599001"/>
    <s v="Bank"/>
    <m/>
  </r>
  <r>
    <d v="2025-12-03T00:00:00"/>
    <x v="6"/>
    <n v="5000"/>
    <m/>
    <s v="clips"/>
    <s v="Bank"/>
    <m/>
  </r>
  <r>
    <d v="2025-12-03T00:00:00"/>
    <x v="39"/>
    <n v="50000"/>
    <m/>
    <s v="LES 8294"/>
    <s v="Bank"/>
    <m/>
  </r>
  <r>
    <d v="2025-12-03T00:00:00"/>
    <x v="2"/>
    <n v="1900"/>
    <m/>
    <s v="dhaga"/>
    <s v="Bank"/>
    <m/>
  </r>
  <r>
    <d v="2025-12-03T00:00:00"/>
    <x v="7"/>
    <m/>
    <n v="45000"/>
    <s v="master arshad advance"/>
    <s v="Bank"/>
    <m/>
  </r>
  <r>
    <d v="2025-12-04T00:00:00"/>
    <x v="2"/>
    <n v="2000"/>
    <m/>
    <s v="workshop"/>
    <s v="Bank"/>
    <m/>
  </r>
  <r>
    <d v="2025-12-04T00:00:00"/>
    <x v="11"/>
    <n v="3000"/>
    <m/>
    <s v="petrol"/>
    <s v="Bank"/>
    <m/>
  </r>
  <r>
    <d v="2025-12-04T00:00:00"/>
    <x v="6"/>
    <n v="14100"/>
    <m/>
    <s v="clips"/>
    <s v="Bank"/>
    <m/>
  </r>
  <r>
    <d v="2025-12-04T00:00:00"/>
    <x v="5"/>
    <n v="118000"/>
    <m/>
    <s v="freight"/>
    <s v="Bank"/>
    <m/>
  </r>
  <r>
    <d v="2025-12-04T00:00:00"/>
    <x v="5"/>
    <n v="300188"/>
    <m/>
    <s v="TID:860184"/>
    <s v="Bank"/>
    <m/>
  </r>
  <r>
    <d v="2025-12-04T00:00:00"/>
    <x v="22"/>
    <m/>
    <n v="300000"/>
    <s v="malik zaheer"/>
    <s v="Bank"/>
    <m/>
  </r>
  <r>
    <d v="2025-12-04T00:00:00"/>
    <x v="14"/>
    <n v="56000"/>
    <m/>
    <s v="rubine B, Navy"/>
    <s v="Bank"/>
    <m/>
  </r>
  <r>
    <d v="2025-12-04T00:00:00"/>
    <x v="22"/>
    <m/>
    <n v="110000"/>
    <s v="parts+dyes"/>
    <s v="Bank"/>
    <m/>
  </r>
  <r>
    <d v="2025-12-04T00:00:00"/>
    <x v="22"/>
    <m/>
    <n v="125000"/>
    <s v="malik zaheer freight"/>
    <s v="Bank"/>
    <m/>
  </r>
  <r>
    <d v="2025-12-04T00:00:00"/>
    <x v="13"/>
    <n v="5000"/>
    <m/>
    <s v="sajid operator"/>
    <s v="Bank"/>
    <m/>
  </r>
  <r>
    <d v="2025-12-04T00:00:00"/>
    <x v="13"/>
    <n v="1000"/>
    <m/>
    <s v="imtiaz"/>
    <s v="Bank"/>
    <m/>
  </r>
  <r>
    <d v="2025-12-04T00:00:00"/>
    <x v="6"/>
    <n v="57500"/>
    <m/>
    <s v="stenter"/>
    <s v="Bank"/>
    <m/>
  </r>
  <r>
    <d v="2025-12-04T00:00:00"/>
    <x v="6"/>
    <n v="3000"/>
    <m/>
    <s v="stenter"/>
    <s v="Bank"/>
    <m/>
  </r>
  <r>
    <d v="2025-12-04T00:00:00"/>
    <x v="40"/>
    <m/>
    <n v="424323"/>
    <s v="Balance Nill"/>
    <s v="Bank"/>
    <m/>
  </r>
  <r>
    <d v="2025-12-04T00:00:00"/>
    <x v="28"/>
    <n v="224000"/>
    <m/>
    <s v="Balance Nill"/>
    <s v="Bank"/>
    <m/>
  </r>
  <r>
    <d v="2025-12-04T00:00:00"/>
    <x v="39"/>
    <n v="170000"/>
    <m/>
    <m/>
    <s v="Bank"/>
    <m/>
  </r>
  <r>
    <d v="2025-12-04T00:00:00"/>
    <x v="8"/>
    <n v="2200"/>
    <m/>
    <s v="chakki"/>
    <s v="Bank"/>
    <m/>
  </r>
  <r>
    <d v="2025-12-04T00:00:00"/>
    <x v="1"/>
    <n v="550"/>
    <m/>
    <s v="wire"/>
    <s v="Bank"/>
    <m/>
  </r>
  <r>
    <d v="2025-12-04T00:00:00"/>
    <x v="1"/>
    <n v="800"/>
    <m/>
    <m/>
    <s v="Bank"/>
    <m/>
  </r>
  <r>
    <d v="2025-12-04T00:00:00"/>
    <x v="7"/>
    <m/>
    <n v="2400"/>
    <s v="bearings"/>
    <s v="Bank"/>
    <m/>
  </r>
  <r>
    <d v="2025-12-04T00:00:00"/>
    <x v="6"/>
    <n v="2400"/>
    <m/>
    <s v="bearings"/>
    <s v="Bank"/>
    <m/>
  </r>
  <r>
    <d v="2025-12-04T00:00:00"/>
    <x v="6"/>
    <n v="5500"/>
    <m/>
    <s v="stenter"/>
    <s v="Bank"/>
    <m/>
  </r>
  <r>
    <d v="2025-12-05T00:00:00"/>
    <x v="2"/>
    <n v="7000"/>
    <m/>
    <s v="ghar"/>
    <s v="Bank"/>
    <m/>
  </r>
  <r>
    <d v="2025-12-05T00:00:00"/>
    <x v="25"/>
    <n v="3000"/>
    <m/>
    <s v="jazz device "/>
    <s v="Bank"/>
    <m/>
  </r>
  <r>
    <d v="2025-12-05T00:00:00"/>
    <x v="8"/>
    <n v="2050"/>
    <m/>
    <s v="Baloch chakki"/>
    <s v="Bank"/>
    <m/>
  </r>
  <r>
    <d v="2025-12-05T00:00:00"/>
    <x v="13"/>
    <n v="20000"/>
    <m/>
    <s v="nasir stenter"/>
    <s v="Bank"/>
    <m/>
  </r>
  <r>
    <d v="2025-12-05T00:00:00"/>
    <x v="39"/>
    <n v="40450"/>
    <m/>
    <s v="freight"/>
    <s v="Bank"/>
    <m/>
  </r>
  <r>
    <d v="2025-12-05T00:00:00"/>
    <x v="10"/>
    <n v="9000"/>
    <m/>
    <s v="daig"/>
    <s v="Bank"/>
    <m/>
  </r>
  <r>
    <d v="2025-12-05T00:00:00"/>
    <x v="13"/>
    <n v="10000"/>
    <m/>
    <s v="naeem electric"/>
    <s v="Bank"/>
    <m/>
  </r>
  <r>
    <d v="2025-12-05T00:00:00"/>
    <x v="10"/>
    <n v="670"/>
    <m/>
    <m/>
    <s v="Bank"/>
    <m/>
  </r>
  <r>
    <d v="2025-12-05T00:00:00"/>
    <x v="8"/>
    <m/>
    <m/>
    <s v="bajwa"/>
    <s v="Bank"/>
    <m/>
  </r>
  <r>
    <d v="2025-12-05T00:00:00"/>
    <x v="38"/>
    <m/>
    <n v="155000"/>
    <m/>
    <s v="Bank"/>
    <m/>
  </r>
  <r>
    <d v="2025-12-05T00:00:00"/>
    <x v="7"/>
    <m/>
    <n v="7900"/>
    <s v="dhaga"/>
    <s v="Bank"/>
    <m/>
  </r>
  <r>
    <d v="2025-12-05T00:00:00"/>
    <x v="6"/>
    <n v="7900"/>
    <m/>
    <s v="dhaga"/>
    <s v="Bank"/>
    <m/>
  </r>
  <r>
    <d v="2025-12-06T00:00:00"/>
    <x v="1"/>
    <n v="1500"/>
    <m/>
    <m/>
    <s v="Bank"/>
    <m/>
  </r>
  <r>
    <d v="2025-12-06T00:00:00"/>
    <x v="1"/>
    <n v="200"/>
    <m/>
    <s v="mama package"/>
    <s v="Bank"/>
    <m/>
  </r>
  <r>
    <d v="2025-12-06T00:00:00"/>
    <x v="6"/>
    <n v="3400"/>
    <m/>
    <s v="bulbs"/>
    <s v="Bank"/>
    <m/>
  </r>
  <r>
    <d v="2025-12-06T00:00:00"/>
    <x v="6"/>
    <n v="1000"/>
    <m/>
    <m/>
    <s v="Bank"/>
    <m/>
  </r>
  <r>
    <d v="2025-12-06T00:00:00"/>
    <x v="39"/>
    <n v="128500"/>
    <m/>
    <m/>
    <s v="Bank"/>
    <m/>
  </r>
  <r>
    <d v="2025-12-06T00:00:00"/>
    <x v="5"/>
    <n v="200510"/>
    <m/>
    <s v="TID:314327"/>
    <s v="Bank"/>
    <m/>
  </r>
  <r>
    <d v="2025-12-06T00:00:00"/>
    <x v="8"/>
    <n v="9000"/>
    <m/>
    <s v="haseen old"/>
    <s v="Bank"/>
    <m/>
  </r>
  <r>
    <d v="2025-12-06T00:00:00"/>
    <x v="11"/>
    <n v="12500"/>
    <m/>
    <s v="petrol"/>
    <s v="Bank"/>
    <m/>
  </r>
  <r>
    <d v="2025-12-06T00:00:00"/>
    <x v="3"/>
    <n v="150000"/>
    <m/>
    <m/>
    <s v="Bank"/>
    <m/>
  </r>
  <r>
    <d v="2025-12-06T00:00:00"/>
    <x v="26"/>
    <n v="50000"/>
    <m/>
    <m/>
    <s v="Bank"/>
    <m/>
  </r>
  <r>
    <d v="2025-12-07T00:00:00"/>
    <x v="10"/>
    <n v="17110"/>
    <m/>
    <s v="Balance Nill"/>
    <s v="Bank"/>
    <m/>
  </r>
  <r>
    <d v="2025-12-07T00:00:00"/>
    <x v="13"/>
    <n v="80000"/>
    <m/>
    <s v="Master Tanveer"/>
    <s v="Bank"/>
    <m/>
  </r>
  <r>
    <d v="2025-12-06T00:00:00"/>
    <x v="13"/>
    <n v="20000"/>
    <m/>
    <s v="Master Tanveer"/>
    <s v="Bank"/>
    <m/>
  </r>
  <r>
    <d v="2025-12-07T00:00:00"/>
    <x v="13"/>
    <n v="20000"/>
    <m/>
    <s v="imran electric"/>
    <s v="Bank"/>
    <m/>
  </r>
  <r>
    <d v="2025-12-06T00:00:00"/>
    <x v="22"/>
    <m/>
    <n v="20000"/>
    <s v="Master Tanveer"/>
    <s v="Bank"/>
    <m/>
  </r>
  <r>
    <d v="2025-12-06T00:00:00"/>
    <x v="22"/>
    <m/>
    <n v="100000"/>
    <s v="Master Tanveer"/>
    <s v="Bank"/>
    <m/>
  </r>
  <r>
    <d v="2025-12-06T00:00:00"/>
    <x v="22"/>
    <m/>
    <n v="46000"/>
    <s v="Dyes"/>
    <s v="Bank"/>
    <m/>
  </r>
  <r>
    <d v="2025-12-06T00:00:00"/>
    <x v="14"/>
    <n v="46000"/>
    <m/>
    <s v="H3R, leac0"/>
    <s v="Bank"/>
    <m/>
  </r>
  <r>
    <d v="2025-12-06T00:00:00"/>
    <x v="30"/>
    <m/>
    <n v="24560"/>
    <m/>
    <s v="Bank"/>
    <m/>
  </r>
  <r>
    <d v="2025-12-06T00:00:00"/>
    <x v="29"/>
    <m/>
    <n v="150000"/>
    <m/>
    <s v="Bank"/>
    <m/>
  </r>
  <r>
    <d v="2025-12-06T00:00:00"/>
    <x v="29"/>
    <m/>
    <n v="150000"/>
    <s v="against cash"/>
    <s v="Bank"/>
    <m/>
  </r>
  <r>
    <d v="2025-12-06T00:00:00"/>
    <x v="17"/>
    <m/>
    <n v="200000"/>
    <m/>
    <s v="Bank"/>
    <m/>
  </r>
  <r>
    <d v="2025-12-06T00:00:00"/>
    <x v="22"/>
    <m/>
    <n v="9000"/>
    <m/>
    <s v="Bank"/>
    <m/>
  </r>
  <r>
    <d v="2025-12-06T00:00:00"/>
    <x v="22"/>
    <m/>
    <n v="100000"/>
    <m/>
    <s v="Bank"/>
    <m/>
  </r>
  <r>
    <d v="2025-12-06T00:00:00"/>
    <x v="22"/>
    <m/>
    <n v="30000"/>
    <s v="Parts"/>
    <s v="Bank"/>
    <m/>
  </r>
  <r>
    <d v="2025-12-06T00:00:00"/>
    <x v="6"/>
    <n v="30000"/>
    <m/>
    <s v="chain parts"/>
    <s v="Bank"/>
    <m/>
  </r>
  <r>
    <d v="2025-12-06T00:00:00"/>
    <x v="10"/>
    <n v="2000"/>
    <m/>
    <s v="daig"/>
    <s v="Bank"/>
    <m/>
  </r>
  <r>
    <d v="2025-12-06T00:00:00"/>
    <x v="25"/>
    <n v="500"/>
    <m/>
    <s v="markers"/>
    <s v="Bank"/>
    <m/>
  </r>
  <r>
    <d v="2025-12-06T00:00:00"/>
    <x v="41"/>
    <n v="100000"/>
    <m/>
    <s v="cash"/>
    <s v="Bank"/>
    <m/>
  </r>
  <r>
    <d v="2025-12-06T00:00:00"/>
    <x v="11"/>
    <n v="4000"/>
    <m/>
    <s v="petrol"/>
    <s v="Bank"/>
    <m/>
  </r>
  <r>
    <d v="2025-12-08T00:00:00"/>
    <x v="38"/>
    <m/>
    <n v="150000"/>
    <m/>
    <s v="Bank"/>
    <m/>
  </r>
  <r>
    <d v="2025-12-08T00:00:00"/>
    <x v="22"/>
    <m/>
    <n v="126500"/>
    <s v="cash"/>
    <s v="Bank"/>
    <m/>
  </r>
  <r>
    <d v="2025-12-08T00:00:00"/>
    <x v="41"/>
    <n v="120000"/>
    <m/>
    <s v="cash"/>
    <s v="Bank"/>
    <m/>
  </r>
  <r>
    <d v="2025-12-08T00:00:00"/>
    <x v="2"/>
    <n v="7200"/>
    <m/>
    <s v="mazdoor"/>
    <s v="Bank"/>
    <m/>
  </r>
  <r>
    <d v="2025-12-08T00:00:00"/>
    <x v="8"/>
    <n v="17600"/>
    <m/>
    <s v="dipalpur chakki"/>
    <s v="Bank"/>
    <m/>
  </r>
  <r>
    <d v="2025-12-08T00:00:00"/>
    <x v="13"/>
    <n v="120000"/>
    <m/>
    <s v="Master Akbar"/>
    <s v="Bank"/>
    <m/>
  </r>
  <r>
    <d v="2025-12-08T00:00:00"/>
    <x v="33"/>
    <n v="10000"/>
    <m/>
    <s v="master Abid"/>
    <s v="Bank"/>
    <m/>
  </r>
  <r>
    <d v="2025-12-08T00:00:00"/>
    <x v="8"/>
    <n v="50000"/>
    <m/>
    <s v="Khalid sahab"/>
    <s v="Bank"/>
    <m/>
  </r>
  <r>
    <d v="2025-12-08T00:00:00"/>
    <x v="11"/>
    <n v="5310"/>
    <m/>
    <s v="petrol"/>
    <s v="Bank"/>
    <m/>
  </r>
  <r>
    <d v="2025-12-08T00:00:00"/>
    <x v="11"/>
    <n v="500"/>
    <m/>
    <s v="toll"/>
    <s v="Bank"/>
    <m/>
  </r>
  <r>
    <d v="2025-12-08T00:00:00"/>
    <x v="22"/>
    <m/>
    <n v="50000"/>
    <s v="Khalid sahab"/>
    <s v="Bank"/>
    <m/>
  </r>
  <r>
    <d v="2025-12-08T00:00:00"/>
    <x v="10"/>
    <n v="400"/>
    <m/>
    <s v="daig pakkai"/>
    <s v="Bank"/>
    <m/>
  </r>
  <r>
    <d v="2025-12-08T00:00:00"/>
    <x v="42"/>
    <m/>
    <n v="100000"/>
    <s v="Cash"/>
    <s v="Bank"/>
    <m/>
  </r>
  <r>
    <d v="2025-12-09T00:00:00"/>
    <x v="41"/>
    <n v="70000"/>
    <m/>
    <s v="cash"/>
    <s v="Bank"/>
    <m/>
  </r>
  <r>
    <d v="2025-12-09T00:00:00"/>
    <x v="2"/>
    <n v="13600"/>
    <m/>
    <s v="mazdoor"/>
    <s v="Bank"/>
    <m/>
  </r>
  <r>
    <d v="2025-12-09T00:00:00"/>
    <x v="11"/>
    <n v="10500"/>
    <m/>
    <s v="petrol"/>
    <s v="Bank"/>
    <m/>
  </r>
  <r>
    <d v="2025-12-09T00:00:00"/>
    <x v="10"/>
    <n v="20000"/>
    <m/>
    <s v="atta"/>
    <s v="Bank"/>
    <m/>
  </r>
  <r>
    <d v="2025-12-09T00:00:00"/>
    <x v="38"/>
    <m/>
    <n v="250000"/>
    <m/>
    <s v="Bank"/>
    <m/>
  </r>
  <r>
    <d v="2025-12-09T00:00:00"/>
    <x v="5"/>
    <n v="200050"/>
    <m/>
    <s v="TID:457544"/>
    <s v="Bank"/>
    <m/>
  </r>
  <r>
    <d v="2025-12-09T00:00:00"/>
    <x v="17"/>
    <m/>
    <n v="200000"/>
    <s v="bank deposit"/>
    <s v="Bank"/>
    <m/>
  </r>
  <r>
    <d v="2025-12-09T00:00:00"/>
    <x v="17"/>
    <m/>
    <n v="100000"/>
    <s v="cash"/>
    <s v="Bank"/>
    <m/>
  </r>
  <r>
    <d v="2025-12-09T00:00:00"/>
    <x v="36"/>
    <m/>
    <m/>
    <m/>
    <s v="Bank"/>
    <m/>
  </r>
  <r>
    <d v="2025-12-09T00:00:00"/>
    <x v="17"/>
    <m/>
    <n v="100000"/>
    <s v="arshad atari"/>
    <s v="Bank"/>
    <m/>
  </r>
  <r>
    <d v="2025-12-09T00:00:00"/>
    <x v="6"/>
    <n v="1300"/>
    <m/>
    <s v="silai machine"/>
    <s v="Bank"/>
    <m/>
  </r>
  <r>
    <d v="2025-12-09T00:00:00"/>
    <x v="31"/>
    <n v="100000"/>
    <m/>
    <s v="UBL"/>
    <s v="Bank"/>
    <m/>
  </r>
  <r>
    <d v="2025-12-09T00:00:00"/>
    <x v="39"/>
    <n v="100000"/>
    <m/>
    <s v="meezan"/>
    <s v="Bank"/>
    <m/>
  </r>
  <r>
    <d v="2025-12-09T00:00:00"/>
    <x v="6"/>
    <n v="600"/>
    <m/>
    <s v="gloves etc"/>
    <s v="Bank"/>
    <m/>
  </r>
  <r>
    <d v="2025-12-09T00:00:00"/>
    <x v="13"/>
    <n v="45000"/>
    <m/>
    <s v="Khalid sahab"/>
    <s v="Bank"/>
    <m/>
  </r>
  <r>
    <d v="2025-12-09T00:00:00"/>
    <x v="13"/>
    <n v="5000"/>
    <m/>
    <s v="Khalid sahab"/>
    <s v="Cash"/>
    <m/>
  </r>
  <r>
    <d v="2025-12-09T00:00:00"/>
    <x v="25"/>
    <n v="1800"/>
    <m/>
    <s v="stamps"/>
    <s v="Bank"/>
    <m/>
  </r>
  <r>
    <d v="2025-12-09T00:00:00"/>
    <x v="13"/>
    <n v="5000"/>
    <m/>
    <s v="Ghulam Abbas"/>
    <s v="Bank"/>
    <m/>
  </r>
  <r>
    <d v="2025-12-09T00:00:00"/>
    <x v="43"/>
    <n v="2000"/>
    <m/>
    <s v="Ashraf Boiler"/>
    <s v="Bank"/>
    <m/>
  </r>
  <r>
    <d v="2025-12-09T00:00:00"/>
    <x v="14"/>
    <n v="32000"/>
    <m/>
    <s v="4G"/>
    <s v="Bank"/>
    <m/>
  </r>
  <r>
    <d v="2025-12-09T00:00:00"/>
    <x v="22"/>
    <m/>
    <n v="32000"/>
    <s v="Madina dyes"/>
    <s v="Bank"/>
    <m/>
  </r>
  <r>
    <d v="2025-12-09T00:00:00"/>
    <x v="7"/>
    <m/>
    <n v="6000"/>
    <s v="nasir opt salary"/>
    <s v="Bank"/>
    <m/>
  </r>
  <r>
    <d v="2025-12-09T00:00:00"/>
    <x v="13"/>
    <n v="6000"/>
    <m/>
    <s v="nasir opt salary"/>
    <s v="Bank"/>
    <m/>
  </r>
  <r>
    <d v="2025-12-09T00:00:00"/>
    <x v="33"/>
    <m/>
    <n v="16200"/>
    <s v="arshad atari"/>
    <s v="Bank"/>
    <m/>
  </r>
  <r>
    <d v="2025-12-10T00:00:00"/>
    <x v="41"/>
    <n v="102000"/>
    <m/>
    <m/>
    <s v="Bank"/>
    <m/>
  </r>
  <r>
    <d v="2025-12-10T00:00:00"/>
    <x v="2"/>
    <n v="13600"/>
    <m/>
    <s v="mazdoor"/>
    <s v="Bank"/>
    <m/>
  </r>
  <r>
    <d v="2025-12-10T00:00:00"/>
    <x v="2"/>
    <n v="5000"/>
    <m/>
    <s v="ahmad exp"/>
    <s v="Bank"/>
    <m/>
  </r>
  <r>
    <d v="2025-12-10T00:00:00"/>
    <x v="2"/>
    <n v="250"/>
    <m/>
    <m/>
    <m/>
    <m/>
  </r>
  <r>
    <d v="2025-12-10T00:00:00"/>
    <x v="38"/>
    <m/>
    <n v="150000"/>
    <s v="shahid Qasayi"/>
    <s v="Bank"/>
    <m/>
  </r>
  <r>
    <d v="2025-12-10T00:00:00"/>
    <x v="39"/>
    <n v="125000"/>
    <m/>
    <s v="wood"/>
    <s v="Bank"/>
    <m/>
  </r>
  <r>
    <d v="2025-12-10T00:00:00"/>
    <x v="22"/>
    <m/>
    <n v="24500"/>
    <s v="khubaib"/>
    <s v="Bank"/>
    <m/>
  </r>
  <r>
    <d v="2025-12-10T00:00:00"/>
    <x v="17"/>
    <m/>
    <n v="150000"/>
    <s v="cash"/>
    <s v="Bank"/>
    <m/>
  </r>
  <r>
    <d v="2025-12-10T00:00:00"/>
    <x v="13"/>
    <n v="5000"/>
    <m/>
    <s v="omer pankhaman"/>
    <s v="Bank"/>
    <m/>
  </r>
  <r>
    <d v="2025-12-11T00:00:00"/>
    <x v="13"/>
    <n v="5000"/>
    <m/>
    <s v="naeem electric"/>
    <s v="Bank"/>
    <m/>
  </r>
  <r>
    <d v="2025-12-11T00:00:00"/>
    <x v="13"/>
    <n v="2000"/>
    <m/>
    <s v="Qadeer driver"/>
    <s v="Bank"/>
    <m/>
  </r>
  <r>
    <d v="2025-12-11T00:00:00"/>
    <x v="2"/>
    <n v="12200"/>
    <m/>
    <s v="mazdoor"/>
    <s v="Bank"/>
    <m/>
  </r>
  <r>
    <d v="2025-12-11T00:00:00"/>
    <x v="22"/>
    <m/>
    <n v="20500"/>
    <m/>
    <s v="Bank"/>
    <m/>
  </r>
  <r>
    <d v="2025-12-11T00:00:00"/>
    <x v="22"/>
    <m/>
    <n v="134750"/>
    <s v="Madina dyes"/>
    <s v="Bank"/>
    <m/>
  </r>
  <r>
    <d v="2025-12-11T00:00:00"/>
    <x v="22"/>
    <m/>
    <n v="2560"/>
    <s v="Part"/>
    <s v="Bank"/>
    <m/>
  </r>
  <r>
    <d v="2025-12-11T00:00:00"/>
    <x v="22"/>
    <m/>
    <n v="9000"/>
    <s v="seal"/>
    <s v="Bank"/>
    <m/>
  </r>
  <r>
    <d v="2025-12-11T00:00:00"/>
    <x v="22"/>
    <m/>
    <n v="150000"/>
    <m/>
    <s v="Bank"/>
    <m/>
  </r>
  <r>
    <d v="2025-12-11T00:00:00"/>
    <x v="3"/>
    <n v="150500"/>
    <m/>
    <m/>
    <s v="Bank"/>
    <m/>
  </r>
  <r>
    <d v="2025-12-11T00:00:00"/>
    <x v="14"/>
    <n v="134750"/>
    <m/>
    <s v="DYES"/>
    <s v="Bank"/>
    <m/>
  </r>
  <r>
    <d v="2025-12-11T00:00:00"/>
    <x v="11"/>
    <n v="7180"/>
    <m/>
    <s v="petrol+oil"/>
    <s v="Bank"/>
    <m/>
  </r>
  <r>
    <d v="2025-12-11T00:00:00"/>
    <x v="2"/>
    <n v="4500"/>
    <m/>
    <s v="optix"/>
    <s v="Bank"/>
    <m/>
  </r>
  <r>
    <d v="2025-12-11T00:00:00"/>
    <x v="33"/>
    <n v="25000"/>
    <m/>
    <s v="master abid"/>
    <s v="Bank"/>
    <m/>
  </r>
  <r>
    <d v="2025-12-11T00:00:00"/>
    <x v="33"/>
    <n v="1000"/>
    <m/>
    <s v="master abid"/>
    <s v="Bank"/>
    <m/>
  </r>
  <r>
    <d v="2025-12-11T00:00:00"/>
    <x v="22"/>
    <n v="150000"/>
    <m/>
    <s v="azam (150)"/>
    <s v="Bank"/>
    <m/>
  </r>
  <r>
    <d v="2025-12-11T00:00:00"/>
    <x v="6"/>
    <n v="2560"/>
    <m/>
    <m/>
    <s v="Bank"/>
    <m/>
  </r>
  <r>
    <d v="2025-12-11T00:00:00"/>
    <x v="6"/>
    <n v="9000"/>
    <m/>
    <m/>
    <s v="Bank"/>
    <m/>
  </r>
  <r>
    <d v="2025-12-11T00:00:00"/>
    <x v="11"/>
    <n v="1000"/>
    <m/>
    <s v="petrol"/>
    <s v="Bank"/>
    <m/>
  </r>
  <r>
    <d v="2025-12-11T00:00:00"/>
    <x v="6"/>
    <n v="6594"/>
    <m/>
    <s v="copper"/>
    <s v="Bank"/>
    <m/>
  </r>
  <r>
    <d v="2025-12-11T00:00:00"/>
    <x v="6"/>
    <n v="4790"/>
    <m/>
    <s v="electric"/>
    <s v="Bank"/>
    <m/>
  </r>
  <r>
    <d v="2025-12-11T00:00:00"/>
    <x v="13"/>
    <n v="5000"/>
    <m/>
    <s v="imtiaz"/>
    <s v="Bank"/>
    <m/>
  </r>
  <r>
    <d v="2025-12-11T00:00:00"/>
    <x v="22"/>
    <m/>
    <n v="69000"/>
    <s v="irfan punjabi"/>
    <s v="Bank"/>
    <m/>
  </r>
  <r>
    <d v="2025-12-11T00:00:00"/>
    <x v="39"/>
    <n v="90000"/>
    <m/>
    <s v="wood"/>
    <s v="Bank"/>
    <m/>
  </r>
  <r>
    <m/>
    <x v="1"/>
    <n v="1400"/>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n v="232352.77980980251"/>
    <n v="10"/>
    <n v="2524052.6700804681"/>
  </r>
  <r>
    <x v="1"/>
    <n v="105662.94806144843"/>
    <n v="10"/>
    <n v="1267955.3767373813"/>
  </r>
  <r>
    <x v="2"/>
    <n v="193527.79809802488"/>
    <n v="10"/>
    <n v="2061914.7768836871"/>
  </r>
  <r>
    <x v="3"/>
    <n v="0"/>
    <n v="10.5"/>
    <n v="0"/>
  </r>
  <r>
    <x v="4"/>
    <n v="0"/>
    <n v="10"/>
    <n v="0"/>
  </r>
  <r>
    <x v="5"/>
    <n v="172007.13240673009"/>
    <n v="10"/>
    <n v="1720071.3240673009"/>
  </r>
  <r>
    <x v="6"/>
    <n v="47108.632040965625"/>
    <n v="10"/>
    <n v="471086.32040965627"/>
  </r>
  <r>
    <x v="7"/>
    <n v="139682.69934162401"/>
    <n v="10"/>
    <n v="1396826.9934162402"/>
  </r>
  <r>
    <x v="8"/>
    <n v="0"/>
    <n v="10"/>
    <n v="0"/>
  </r>
  <r>
    <x v="9"/>
    <n v="0"/>
    <n v="12"/>
    <n v="0"/>
  </r>
  <r>
    <x v="10"/>
    <n v="64305.047549378207"/>
    <m/>
    <n v="643050.47549378208"/>
  </r>
  <r>
    <x v="11"/>
    <n v="68178.493050475503"/>
    <m/>
    <n v="789903.07242136076"/>
  </r>
  <r>
    <x v="12"/>
    <n v="0"/>
    <m/>
    <n v="0"/>
  </r>
  <r>
    <x v="13"/>
    <n v="0"/>
    <m/>
    <n v="0"/>
  </r>
  <r>
    <x v="14"/>
    <n v="0"/>
    <m/>
    <n v="0"/>
  </r>
  <r>
    <x v="15"/>
    <n v="0"/>
    <m/>
    <n v="0"/>
  </r>
  <r>
    <x v="16"/>
    <n v="198235.18653986833"/>
    <m/>
    <n v="2378822.238478419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s v="Dyes"/>
    <m/>
    <m/>
    <m/>
    <x v="0"/>
    <n v="0"/>
    <n v="240125"/>
    <s v="closing CF"/>
  </r>
  <r>
    <x v="0"/>
    <s v="Dyes"/>
    <m/>
    <m/>
    <m/>
    <x v="1"/>
    <n v="0"/>
    <n v="0"/>
    <s v="closing CF"/>
  </r>
  <r>
    <x v="1"/>
    <s v="Dyes"/>
    <m/>
    <m/>
    <m/>
    <x v="2"/>
    <n v="0"/>
    <n v="0"/>
    <s v="closing CF"/>
  </r>
  <r>
    <x v="2"/>
    <s v="Dyes"/>
    <m/>
    <m/>
    <n v="141950"/>
    <x v="1"/>
    <n v="141950"/>
    <n v="0"/>
    <m/>
  </r>
  <r>
    <x v="3"/>
    <s v="Rubine B x2"/>
    <m/>
    <m/>
    <n v="60000"/>
    <x v="2"/>
    <n v="60000"/>
    <n v="0"/>
    <m/>
  </r>
  <r>
    <x v="3"/>
    <s v="BP26 x4+Black x2"/>
    <m/>
    <m/>
    <n v="98000"/>
    <x v="1"/>
    <n v="98000"/>
    <n v="0"/>
    <m/>
  </r>
  <r>
    <x v="4"/>
    <s v="Dyes"/>
    <m/>
    <m/>
    <n v="231500"/>
    <x v="1"/>
    <n v="231500"/>
    <n v="0"/>
    <m/>
  </r>
  <r>
    <x v="5"/>
    <s v="Payment"/>
    <m/>
    <m/>
    <m/>
    <x v="0"/>
    <n v="240125"/>
    <n v="-240125"/>
    <m/>
  </r>
  <r>
    <x v="6"/>
    <s v="Rubine B x2, Navy Blue"/>
    <m/>
    <m/>
    <n v="85000"/>
    <x v="3"/>
    <n v="85000"/>
    <n v="0"/>
    <m/>
  </r>
  <r>
    <x v="7"/>
    <s v="black x2"/>
    <m/>
    <m/>
    <n v="46000"/>
    <x v="1"/>
    <n v="46000"/>
    <n v="0"/>
    <m/>
  </r>
  <r>
    <x v="8"/>
    <m/>
    <m/>
    <m/>
    <n v="52000"/>
    <x v="1"/>
    <n v="52000"/>
    <n v="0"/>
    <m/>
  </r>
  <r>
    <x v="9"/>
    <s v="Dyes"/>
    <m/>
    <m/>
    <n v="242450"/>
    <x v="1"/>
    <n v="242450"/>
    <n v="0"/>
    <m/>
  </r>
  <r>
    <x v="10"/>
    <s v="Dyes"/>
    <m/>
    <m/>
    <n v="56000"/>
    <x v="1"/>
    <n v="56000"/>
    <n v="0"/>
    <m/>
  </r>
  <r>
    <x v="11"/>
    <s v="Dyes"/>
    <m/>
    <m/>
    <n v="134750"/>
    <x v="1"/>
    <n v="134750"/>
    <n v="0"/>
    <m/>
  </r>
  <r>
    <x v="12"/>
    <s v="Dyes"/>
    <m/>
    <m/>
    <n v="32000"/>
    <x v="1"/>
    <n v="32000"/>
    <n v="0"/>
    <m/>
  </r>
  <r>
    <x v="13"/>
    <s v="Dyes"/>
    <m/>
    <m/>
    <n v="46000"/>
    <x v="1"/>
    <n v="46000"/>
    <n v="0"/>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x v="0"/>
    <m/>
    <m/>
    <m/>
    <n v="0"/>
    <m/>
    <n v="2567858"/>
  </r>
  <r>
    <x v="0"/>
    <x v="1"/>
    <x v="0"/>
    <m/>
    <m/>
    <m/>
    <n v="0"/>
    <n v="0"/>
    <n v="0"/>
  </r>
  <r>
    <x v="0"/>
    <x v="2"/>
    <x v="0"/>
    <m/>
    <m/>
    <m/>
    <n v="0"/>
    <n v="0"/>
    <n v="76420"/>
  </r>
  <r>
    <x v="0"/>
    <x v="3"/>
    <x v="0"/>
    <m/>
    <m/>
    <m/>
    <n v="0"/>
    <m/>
    <n v="350775"/>
  </r>
  <r>
    <x v="0"/>
    <x v="4"/>
    <x v="0"/>
    <m/>
    <m/>
    <m/>
    <n v="0"/>
    <m/>
    <n v="-1000"/>
  </r>
  <r>
    <x v="1"/>
    <x v="5"/>
    <x v="0"/>
    <m/>
    <m/>
    <m/>
    <n v="0"/>
    <m/>
    <n v="330400"/>
  </r>
  <r>
    <x v="2"/>
    <x v="0"/>
    <x v="1"/>
    <m/>
    <m/>
    <m/>
    <n v="0"/>
    <n v="408012"/>
    <n v="-408012"/>
  </r>
  <r>
    <x v="2"/>
    <x v="3"/>
    <x v="1"/>
    <m/>
    <m/>
    <m/>
    <n v="0"/>
    <n v="2000"/>
    <n v="-2000"/>
  </r>
  <r>
    <x v="2"/>
    <x v="5"/>
    <x v="1"/>
    <m/>
    <m/>
    <m/>
    <n v="0"/>
    <n v="4000"/>
    <n v="-4000"/>
  </r>
  <r>
    <x v="3"/>
    <x v="0"/>
    <x v="2"/>
    <n v="456"/>
    <n v="810"/>
    <n v="80300"/>
    <n v="369360"/>
    <n v="80300"/>
    <n v="289060"/>
  </r>
  <r>
    <x v="4"/>
    <x v="0"/>
    <x v="1"/>
    <m/>
    <m/>
    <m/>
    <n v="0"/>
    <n v="300152"/>
    <n v="-300152"/>
  </r>
  <r>
    <x v="5"/>
    <x v="0"/>
    <x v="2"/>
    <n v="394"/>
    <n v="810"/>
    <n v="67500"/>
    <n v="319140"/>
    <n v="200068"/>
    <n v="119072"/>
  </r>
  <r>
    <x v="6"/>
    <x v="0"/>
    <x v="1"/>
    <m/>
    <m/>
    <m/>
    <n v="0"/>
    <n v="67500"/>
    <n v="-67500"/>
  </r>
  <r>
    <x v="5"/>
    <x v="3"/>
    <x v="3"/>
    <n v="152"/>
    <n v="775"/>
    <m/>
    <n v="117800"/>
    <n v="0"/>
    <n v="117800"/>
  </r>
  <r>
    <x v="5"/>
    <x v="2"/>
    <x v="4"/>
    <n v="30"/>
    <n v="580"/>
    <m/>
    <n v="17400"/>
    <n v="0"/>
    <n v="17400"/>
  </r>
  <r>
    <x v="6"/>
    <x v="2"/>
    <x v="4"/>
    <n v="152"/>
    <n v="580"/>
    <m/>
    <n v="88160"/>
    <n v="40000"/>
    <n v="48160"/>
  </r>
  <r>
    <x v="7"/>
    <x v="0"/>
    <x v="5"/>
    <n v="470"/>
    <n v="810"/>
    <n v="72800"/>
    <n v="380700"/>
    <n v="107800"/>
    <n v="272900"/>
  </r>
  <r>
    <x v="7"/>
    <x v="0"/>
    <x v="6"/>
    <n v="206"/>
    <n v="765"/>
    <n v="35000"/>
    <n v="157590"/>
    <m/>
    <n v="157590"/>
  </r>
  <r>
    <x v="8"/>
    <x v="0"/>
    <x v="7"/>
    <n v="281"/>
    <n v="810"/>
    <n v="45700"/>
    <n v="227610"/>
    <n v="347823"/>
    <n v="-120213"/>
  </r>
  <r>
    <x v="8"/>
    <x v="4"/>
    <x v="8"/>
    <n v="384"/>
    <n v="780"/>
    <n v="100000"/>
    <n v="299520"/>
    <n v="100000"/>
    <n v="199520"/>
  </r>
  <r>
    <x v="9"/>
    <x v="0"/>
    <x v="9"/>
    <n v="496"/>
    <n v="810"/>
    <n v="106000"/>
    <n v="401760"/>
    <n v="106000"/>
    <n v="295760"/>
  </r>
  <r>
    <x v="9"/>
    <x v="3"/>
    <x v="1"/>
    <m/>
    <m/>
    <m/>
    <n v="0"/>
    <n v="175000"/>
    <n v="-175000"/>
  </r>
  <r>
    <x v="10"/>
    <x v="0"/>
    <x v="10"/>
    <n v="287"/>
    <n v="810"/>
    <n v="46100"/>
    <n v="232470"/>
    <n v="46100"/>
    <n v="186370"/>
  </r>
  <r>
    <x v="11"/>
    <x v="0"/>
    <x v="1"/>
    <m/>
    <m/>
    <m/>
    <n v="0"/>
    <n v="400338"/>
    <n v="-400338"/>
  </r>
  <r>
    <x v="12"/>
    <x v="0"/>
    <x v="2"/>
    <n v="433"/>
    <n v="810"/>
    <n v="74400"/>
    <n v="350730"/>
    <n v="300204"/>
    <n v="50526"/>
  </r>
  <r>
    <x v="13"/>
    <x v="0"/>
    <x v="1"/>
    <m/>
    <m/>
    <m/>
    <n v="0"/>
    <n v="274600"/>
    <n v="-274600"/>
  </r>
  <r>
    <x v="14"/>
    <x v="0"/>
    <x v="1"/>
    <m/>
    <m/>
    <m/>
    <n v="0"/>
    <n v="250768"/>
    <n v="-250768"/>
  </r>
  <r>
    <x v="14"/>
    <x v="6"/>
    <x v="11"/>
    <n v="225"/>
    <n v="830"/>
    <n v="50000"/>
    <n v="186750"/>
    <n v="50000"/>
    <n v="136750"/>
  </r>
  <r>
    <x v="15"/>
    <x v="6"/>
    <x v="12"/>
    <n v="195"/>
    <n v="830"/>
    <m/>
    <n v="161850"/>
    <n v="170000"/>
    <n v="-8150"/>
  </r>
  <r>
    <x v="15"/>
    <x v="0"/>
    <x v="13"/>
    <n v="471"/>
    <n v="810"/>
    <n v="118000"/>
    <n v="381510"/>
    <n v="418188"/>
    <n v="-36678"/>
  </r>
  <r>
    <x v="16"/>
    <x v="6"/>
    <x v="14"/>
    <n v="215"/>
    <n v="810"/>
    <n v="40450"/>
    <n v="174150"/>
    <n v="40450"/>
    <n v="133700"/>
  </r>
  <r>
    <x v="17"/>
    <x v="0"/>
    <x v="15"/>
    <n v="61"/>
    <n v="810"/>
    <m/>
    <n v="49410"/>
    <n v="200510"/>
    <n v="-151100"/>
  </r>
  <r>
    <x v="17"/>
    <x v="6"/>
    <x v="12"/>
    <n v="188"/>
    <n v="810"/>
    <m/>
    <n v="152280"/>
    <n v="128500"/>
    <n v="23780"/>
  </r>
  <r>
    <x v="17"/>
    <x v="3"/>
    <x v="16"/>
    <n v="134"/>
    <n v="580"/>
    <m/>
    <n v="77720"/>
    <n v="150000"/>
    <n v="-72280"/>
  </r>
  <r>
    <x v="17"/>
    <x v="2"/>
    <x v="1"/>
    <m/>
    <m/>
    <m/>
    <n v="0"/>
    <n v="50000"/>
    <n v="-50000"/>
  </r>
  <r>
    <x v="17"/>
    <x v="7"/>
    <x v="17"/>
    <n v="182"/>
    <n v="720"/>
    <m/>
    <n v="131040"/>
    <n v="100000"/>
    <n v="31040"/>
  </r>
  <r>
    <x v="16"/>
    <x v="7"/>
    <x v="17"/>
    <n v="227"/>
    <n v="720"/>
    <m/>
    <n v="163440"/>
    <n v="0"/>
    <n v="163440"/>
  </r>
  <r>
    <x v="17"/>
    <x v="7"/>
    <x v="17"/>
    <n v="135"/>
    <n v="720"/>
    <m/>
    <n v="97200"/>
    <m/>
    <n v="97200"/>
  </r>
  <r>
    <x v="16"/>
    <x v="3"/>
    <x v="18"/>
    <n v="139"/>
    <n v="580"/>
    <m/>
    <n v="80620"/>
    <m/>
    <n v="80620"/>
  </r>
  <r>
    <x v="17"/>
    <x v="3"/>
    <x v="19"/>
    <n v="128"/>
    <n v="580"/>
    <m/>
    <n v="74240"/>
    <m/>
    <n v="74240"/>
  </r>
  <r>
    <x v="18"/>
    <x v="3"/>
    <x v="19"/>
    <n v="146"/>
    <n v="580"/>
    <m/>
    <n v="84680"/>
    <m/>
    <n v="84680"/>
  </r>
  <r>
    <x v="18"/>
    <x v="6"/>
    <x v="20"/>
    <n v="191"/>
    <n v="810"/>
    <m/>
    <n v="154710"/>
    <m/>
    <n v="154710"/>
  </r>
  <r>
    <x v="19"/>
    <x v="7"/>
    <x v="17"/>
    <n v="172"/>
    <n v="580"/>
    <m/>
    <n v="99760"/>
    <n v="120000"/>
    <n v="-20240"/>
  </r>
  <r>
    <x v="20"/>
    <x v="0"/>
    <x v="1"/>
    <m/>
    <m/>
    <m/>
    <n v="0"/>
    <n v="200050"/>
    <n v="-200050"/>
  </r>
  <r>
    <x v="20"/>
    <x v="7"/>
    <x v="1"/>
    <m/>
    <m/>
    <m/>
    <n v="0"/>
    <n v="70000"/>
    <n v="-70000"/>
  </r>
  <r>
    <x v="20"/>
    <x v="4"/>
    <x v="1"/>
    <m/>
    <m/>
    <m/>
    <n v="0"/>
    <n v="100000"/>
    <n v="-100000"/>
  </r>
  <r>
    <x v="20"/>
    <x v="6"/>
    <x v="12"/>
    <n v="170"/>
    <n v="810"/>
    <m/>
    <n v="137700"/>
    <n v="100000"/>
    <n v="37700"/>
  </r>
  <r>
    <x v="21"/>
    <x v="7"/>
    <x v="1"/>
    <m/>
    <m/>
    <m/>
    <n v="0"/>
    <n v="102000"/>
    <n v="-102000"/>
  </r>
  <r>
    <x v="21"/>
    <x v="6"/>
    <x v="1"/>
    <m/>
    <m/>
    <m/>
    <n v="0"/>
    <n v="125000"/>
    <n v="-125000"/>
  </r>
  <r>
    <x v="20"/>
    <x v="3"/>
    <x v="18"/>
    <n v="138"/>
    <n v="580"/>
    <m/>
    <n v="80040"/>
    <n v="0"/>
    <n v="80040"/>
  </r>
  <r>
    <x v="22"/>
    <x v="6"/>
    <x v="12"/>
    <n v="186"/>
    <n v="810"/>
    <m/>
    <n v="150660"/>
    <n v="90000"/>
    <n v="60660"/>
  </r>
  <r>
    <x v="22"/>
    <x v="3"/>
    <x v="1"/>
    <m/>
    <m/>
    <m/>
    <n v="0"/>
    <n v="150500"/>
    <n v="-1505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d v="2025-11-18T00:00:00"/>
    <x v="0"/>
    <s v="September Closing CF"/>
    <m/>
    <m/>
    <n v="0"/>
    <n v="0"/>
    <n v="0"/>
  </r>
  <r>
    <d v="2025-11-18T00:00:00"/>
    <x v="1"/>
    <s v="September Closing CF"/>
    <m/>
    <m/>
    <n v="0"/>
    <n v="0"/>
    <n v="-1000"/>
  </r>
  <r>
    <d v="2025-11-18T00:00:00"/>
    <x v="2"/>
    <s v="September Closing CF"/>
    <m/>
    <m/>
    <n v="0"/>
    <n v="0"/>
    <n v="0"/>
  </r>
  <r>
    <d v="2025-11-18T00:00:00"/>
    <x v="3"/>
    <s v="September Closing CF"/>
    <m/>
    <m/>
    <n v="0"/>
    <n v="0"/>
    <n v="624000"/>
  </r>
  <r>
    <d v="2025-11-19T00:00:00"/>
    <x v="0"/>
    <s v="SM"/>
    <m/>
    <m/>
    <n v="24000"/>
    <n v="24000"/>
    <n v="0"/>
  </r>
  <r>
    <d v="2025-11-20T00:00:00"/>
    <x v="1"/>
    <s v="SM"/>
    <m/>
    <m/>
    <n v="19000"/>
    <n v="0"/>
    <n v="19000"/>
  </r>
  <r>
    <d v="2025-11-22T00:00:00"/>
    <x v="1"/>
    <s v="PVA"/>
    <n v="2"/>
    <n v="125"/>
    <n v="50000"/>
    <n v="0"/>
    <n v="50000"/>
  </r>
  <r>
    <d v="2025-11-25T00:00:00"/>
    <x v="3"/>
    <s v="starch"/>
    <m/>
    <m/>
    <n v="0"/>
    <n v="400000"/>
    <n v="-400000"/>
  </r>
  <r>
    <d v="2025-12-01T00:00:00"/>
    <x v="4"/>
    <s v="BP26 x4"/>
    <m/>
    <m/>
    <n v="52000"/>
    <n v="52000"/>
    <n v="0"/>
  </r>
  <r>
    <d v="2025-12-03T00:00:00"/>
    <x v="1"/>
    <s v="PVA"/>
    <n v="8"/>
    <n v="125"/>
    <n v="200000"/>
    <n v="0"/>
    <n v="200000"/>
  </r>
  <r>
    <m/>
    <x v="5"/>
    <m/>
    <m/>
    <m/>
    <n v="0"/>
    <n v="0"/>
    <n v="0"/>
  </r>
  <r>
    <m/>
    <x v="5"/>
    <m/>
    <m/>
    <m/>
    <n v="0"/>
    <n v="0"/>
    <n v="0"/>
  </r>
  <r>
    <m/>
    <x v="5"/>
    <m/>
    <m/>
    <m/>
    <n v="0"/>
    <n v="0"/>
    <n v="0"/>
  </r>
  <r>
    <m/>
    <x v="5"/>
    <m/>
    <m/>
    <m/>
    <n v="0"/>
    <n v="0"/>
    <n v="0"/>
  </r>
  <r>
    <m/>
    <x v="5"/>
    <m/>
    <m/>
    <m/>
    <n v="0"/>
    <n v="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d v="2025-11-18T00:00:00"/>
    <x v="0"/>
    <s v="October Closing CF"/>
    <s v="Chamki"/>
    <x v="0"/>
    <m/>
    <m/>
    <e v="#DIV/0!"/>
    <n v="1895402.3408924653"/>
    <n v="18954023.408924658"/>
    <m/>
  </r>
  <r>
    <d v="2025-11-18T00:00:00"/>
    <x v="1"/>
    <s v="October Closing CF"/>
    <s v="Chamki"/>
    <x v="0"/>
    <m/>
    <m/>
    <e v="#DIV/0!"/>
    <n v="148145.57425018289"/>
    <n v="1481455.7425018288"/>
    <m/>
  </r>
  <r>
    <d v="2025-11-18T00:00:00"/>
    <x v="2"/>
    <s v="October Closing CF"/>
    <s v="Chamki"/>
    <x v="0"/>
    <m/>
    <m/>
    <e v="#DIV/0!"/>
    <n v="392581.38258961233"/>
    <n v="3925813.8258961234"/>
    <m/>
  </r>
  <r>
    <d v="2025-11-18T00:00:00"/>
    <x v="3"/>
    <s v="October Closing CF"/>
    <s v="Chamki"/>
    <x v="0"/>
    <m/>
    <m/>
    <e v="#DIV/0!"/>
    <n v="123086.13752743235"/>
    <n v="1269270.3440380397"/>
    <m/>
  </r>
  <r>
    <d v="2025-11-18T00:00:00"/>
    <x v="4"/>
    <s v="October Closing CF"/>
    <s v="Chamki"/>
    <x v="0"/>
    <m/>
    <m/>
    <e v="#DIV/0!"/>
    <n v="599330.65106071695"/>
    <n v="5408917.8595464528"/>
    <m/>
  </r>
  <r>
    <d v="2025-11-18T00:00:00"/>
    <x v="5"/>
    <s v="October Closing CF"/>
    <s v="Chamki"/>
    <x v="0"/>
    <m/>
    <m/>
    <e v="#DIV/0!"/>
    <n v="547436.90563277248"/>
    <n v="5474369.0563277248"/>
    <m/>
  </r>
  <r>
    <d v="2025-11-18T00:00:00"/>
    <x v="6"/>
    <s v="October Closing CF"/>
    <s v="Chamki"/>
    <x v="0"/>
    <m/>
    <m/>
    <e v="#DIV/0!"/>
    <n v="92278.712509144127"/>
    <n v="922787.12509144121"/>
    <m/>
  </r>
  <r>
    <d v="2025-11-18T00:00:00"/>
    <x v="7"/>
    <s v="October Closing CF"/>
    <s v="Chamki"/>
    <x v="0"/>
    <m/>
    <m/>
    <e v="#DIV/0!"/>
    <n v="161808.70519385519"/>
    <n v="1618087.0519385519"/>
    <m/>
  </r>
  <r>
    <d v="2025-11-18T00:00:00"/>
    <x v="8"/>
    <s v="October Closing CF"/>
    <s v="Chamki"/>
    <x v="0"/>
    <m/>
    <m/>
    <e v="#DIV/0!"/>
    <n v="46132.955376737387"/>
    <n v="461329.5537673739"/>
    <m/>
  </r>
  <r>
    <d v="2025-11-18T00:00:00"/>
    <x v="9"/>
    <s v="October Closing CF"/>
    <s v="Crinkle"/>
    <x v="0"/>
    <m/>
    <m/>
    <e v="#DIV/0!"/>
    <n v="21310.35113386979"/>
    <n v="255724.21360643749"/>
    <m/>
  </r>
  <r>
    <d v="2025-11-18T00:00:00"/>
    <x v="10"/>
    <s v="October Closing CF"/>
    <s v="Chamki"/>
    <x v="0"/>
    <m/>
    <m/>
    <e v="#DIV/0!"/>
    <n v="121151.24359912217"/>
    <n v="1211512.4359912218"/>
    <m/>
  </r>
  <r>
    <d v="2025-11-18T00:00:00"/>
    <x v="11"/>
    <s v="October Closing CF"/>
    <s v="Chamki"/>
    <x v="0"/>
    <m/>
    <m/>
    <e v="#DIV/0!"/>
    <n v="341790.4169714704"/>
    <n v="3417904.1697147042"/>
    <m/>
  </r>
  <r>
    <d v="2025-11-18T00:00:00"/>
    <x v="12"/>
    <s v="October Closing CF"/>
    <s v="Chamki"/>
    <x v="0"/>
    <m/>
    <m/>
    <e v="#DIV/0!"/>
    <n v="0"/>
    <n v="0"/>
    <m/>
  </r>
  <r>
    <d v="2025-11-18T00:00:00"/>
    <x v="13"/>
    <s v="October Closing CF"/>
    <s v="Chamki"/>
    <x v="0"/>
    <m/>
    <m/>
    <e v="#DIV/0!"/>
    <n v="48385.149963423559"/>
    <n v="483851.49963423557"/>
    <m/>
  </r>
  <r>
    <d v="2025-11-18T00:00:00"/>
    <x v="14"/>
    <s v="October Closing CF"/>
    <s v="Chamki"/>
    <x v="0"/>
    <m/>
    <m/>
    <e v="#DIV/0!"/>
    <n v="8915.5084125822978"/>
    <n v="89155.084125822978"/>
    <m/>
  </r>
  <r>
    <d v="2025-11-18T00:00:00"/>
    <x v="15"/>
    <s v="October Closing CF"/>
    <s v="Chamki"/>
    <x v="0"/>
    <m/>
    <m/>
    <e v="#DIV/0!"/>
    <n v="47437.820043891741"/>
    <n v="474378.20043891744"/>
    <m/>
  </r>
  <r>
    <d v="2025-11-18T00:00:00"/>
    <x v="16"/>
    <s v="October Closing CF"/>
    <s v="Chamki"/>
    <x v="0"/>
    <m/>
    <m/>
    <e v="#DIV/0!"/>
    <n v="0"/>
    <n v="0"/>
    <m/>
  </r>
  <r>
    <d v="2025-11-18T00:00:00"/>
    <x v="17"/>
    <s v="October Closing CF"/>
    <s v="Chamki"/>
    <x v="0"/>
    <m/>
    <m/>
    <e v="#DIV/0!"/>
    <n v="64300.475493782011"/>
    <n v="643004.75493782014"/>
    <m/>
  </r>
  <r>
    <d v="2025-11-18T00:00:00"/>
    <x v="18"/>
    <s v="October Closing CF"/>
    <s v="Chamki"/>
    <x v="0"/>
    <m/>
    <m/>
    <e v="#DIV/0!"/>
    <n v="43834.125822970011"/>
    <n v="552414.04535479157"/>
    <m/>
  </r>
  <r>
    <d v="2025-11-18T00:00:00"/>
    <x v="19"/>
    <s v="October Closing CF"/>
    <s v="Chamki"/>
    <x v="0"/>
    <m/>
    <m/>
    <e v="#DIV/0!"/>
    <n v="0"/>
    <n v="0"/>
    <m/>
  </r>
  <r>
    <d v="2025-11-18T00:00:00"/>
    <x v="0"/>
    <s v="October Closing CF"/>
    <s v="Silky"/>
    <x v="0"/>
    <m/>
    <m/>
    <e v="#DIV/0!"/>
    <n v="121247.2567666423"/>
    <n v="1487858.4491587421"/>
    <m/>
  </r>
  <r>
    <d v="2025-11-18T00:00:00"/>
    <x v="1"/>
    <s v="October Closing CF"/>
    <s v="Silky"/>
    <x v="0"/>
    <m/>
    <m/>
    <e v="#DIV/0!"/>
    <n v="105915.32553035846"/>
    <n v="1317755.1207022679"/>
    <m/>
  </r>
  <r>
    <d v="2025-11-18T00:00:00"/>
    <x v="2"/>
    <s v="October Closing CF"/>
    <s v="Silky"/>
    <x v="0"/>
    <m/>
    <m/>
    <e v="#DIV/0!"/>
    <n v="14794.257498171179"/>
    <n v="177531.08997805414"/>
    <m/>
  </r>
  <r>
    <d v="2025-11-18T00:00:00"/>
    <x v="3"/>
    <s v="October Closing CF"/>
    <s v="Silky"/>
    <x v="0"/>
    <m/>
    <m/>
    <e v="#DIV/0!"/>
    <n v="0"/>
    <n v="0"/>
    <m/>
  </r>
  <r>
    <d v="2025-11-18T00:00:00"/>
    <x v="4"/>
    <s v="October Closing CF"/>
    <s v="Silky"/>
    <x v="0"/>
    <m/>
    <m/>
    <e v="#DIV/0!"/>
    <n v="485823.88441843458"/>
    <n v="5829886.6130212145"/>
    <m/>
  </r>
  <r>
    <d v="2025-11-18T00:00:00"/>
    <x v="5"/>
    <s v="October Closing CF"/>
    <s v="Silky"/>
    <x v="0"/>
    <m/>
    <m/>
    <e v="#DIV/0!"/>
    <n v="0"/>
    <n v="0"/>
    <m/>
  </r>
  <r>
    <d v="2025-11-18T00:00:00"/>
    <x v="6"/>
    <s v="October Closing CF"/>
    <s v="Silky"/>
    <x v="0"/>
    <m/>
    <m/>
    <e v="#DIV/0!"/>
    <n v="0"/>
    <n v="0"/>
    <m/>
  </r>
  <r>
    <d v="2025-11-18T00:00:00"/>
    <x v="7"/>
    <s v="October Closing CF"/>
    <s v="Silky"/>
    <x v="0"/>
    <m/>
    <m/>
    <e v="#DIV/0!"/>
    <n v="25188.368690563279"/>
    <n v="327448.79297732259"/>
    <m/>
  </r>
  <r>
    <d v="2025-11-18T00:00:00"/>
    <x v="8"/>
    <s v="October Closing CF"/>
    <s v="Silky"/>
    <x v="0"/>
    <m/>
    <m/>
    <e v="#DIV/0!"/>
    <n v="14995.427944403806"/>
    <n v="179945.13533284568"/>
    <m/>
  </r>
  <r>
    <d v="2025-11-18T00:00:00"/>
    <x v="9"/>
    <s v="October Closing CF"/>
    <s v="Silky"/>
    <x v="0"/>
    <m/>
    <m/>
    <e v="#DIV/0!"/>
    <n v="0"/>
    <n v="0"/>
    <m/>
  </r>
  <r>
    <d v="2025-11-18T00:00:00"/>
    <x v="10"/>
    <s v="October Closing CF"/>
    <s v="Silky"/>
    <x v="0"/>
    <m/>
    <m/>
    <e v="#DIV/0!"/>
    <n v="0"/>
    <n v="0"/>
    <m/>
  </r>
  <r>
    <d v="2025-11-18T00:00:00"/>
    <x v="11"/>
    <s v="October Closing CF"/>
    <s v="Silky"/>
    <x v="0"/>
    <m/>
    <m/>
    <e v="#DIV/0!"/>
    <n v="63154.718361375279"/>
    <n v="757856.62033650337"/>
    <m/>
  </r>
  <r>
    <d v="2025-11-18T00:00:00"/>
    <x v="12"/>
    <s v="October Closing CF"/>
    <s v="Silky"/>
    <x v="0"/>
    <m/>
    <m/>
    <e v="#DIV/0!"/>
    <n v="0"/>
    <n v="0"/>
    <m/>
  </r>
  <r>
    <d v="2025-11-18T00:00:00"/>
    <x v="13"/>
    <s v="October Closing CF"/>
    <s v="Silky"/>
    <x v="0"/>
    <m/>
    <m/>
    <e v="#DIV/0!"/>
    <n v="0"/>
    <n v="0"/>
    <m/>
  </r>
  <r>
    <d v="2025-11-18T00:00:00"/>
    <x v="14"/>
    <s v="October Closing CF"/>
    <s v="Silky"/>
    <x v="0"/>
    <m/>
    <m/>
    <e v="#DIV/0!"/>
    <n v="0"/>
    <n v="0"/>
    <m/>
  </r>
  <r>
    <d v="2025-11-18T00:00:00"/>
    <x v="15"/>
    <s v="October Closing CF"/>
    <s v="Silky"/>
    <x v="0"/>
    <m/>
    <m/>
    <e v="#DIV/0!"/>
    <n v="9232.809070958303"/>
    <n v="120026.51792245793"/>
    <m/>
  </r>
  <r>
    <d v="2025-11-18T00:00:00"/>
    <x v="16"/>
    <s v="October Closing CF"/>
    <s v="Silky"/>
    <x v="0"/>
    <m/>
    <m/>
    <m/>
    <n v="200198.42721287493"/>
    <n v="2602579.5537673743"/>
    <m/>
  </r>
  <r>
    <d v="2025-11-18T00:00:00"/>
    <x v="17"/>
    <s v="October Closing CF"/>
    <s v="Silky"/>
    <x v="0"/>
    <m/>
    <m/>
    <m/>
    <n v="7565.8376005852242"/>
    <n v="98355.888807607917"/>
    <m/>
  </r>
  <r>
    <d v="2025-11-18T00:00:00"/>
    <x v="18"/>
    <s v="October Closing CF"/>
    <s v="Silky"/>
    <x v="0"/>
    <m/>
    <m/>
    <m/>
    <n v="43834.125822970011"/>
    <n v="569843.63569861022"/>
    <m/>
  </r>
  <r>
    <d v="2025-11-18T00:00:00"/>
    <x v="19"/>
    <s v="October Closing CF"/>
    <s v="Silky"/>
    <x v="0"/>
    <m/>
    <m/>
    <m/>
    <n v="0"/>
    <n v="0"/>
    <m/>
  </r>
  <r>
    <d v="2025-11-18T00:00:00"/>
    <x v="0"/>
    <s v="October Closing CF"/>
    <s v="Slub"/>
    <x v="0"/>
    <m/>
    <m/>
    <m/>
    <m/>
    <n v="0"/>
    <m/>
  </r>
  <r>
    <d v="2025-11-18T00:00:00"/>
    <x v="1"/>
    <s v="October Closing CF"/>
    <s v="Slub"/>
    <x v="0"/>
    <m/>
    <m/>
    <m/>
    <m/>
    <n v="0"/>
    <m/>
  </r>
  <r>
    <d v="2025-11-18T00:00:00"/>
    <x v="2"/>
    <s v="October Closing CF"/>
    <s v="Slub"/>
    <x v="0"/>
    <m/>
    <m/>
    <m/>
    <m/>
    <n v="0"/>
    <m/>
  </r>
  <r>
    <d v="2025-11-18T00:00:00"/>
    <x v="3"/>
    <s v="October Closing CF"/>
    <s v="Slub"/>
    <x v="0"/>
    <m/>
    <m/>
    <m/>
    <m/>
    <n v="0"/>
    <m/>
  </r>
  <r>
    <d v="2025-11-18T00:00:00"/>
    <x v="4"/>
    <s v="October Closing CF"/>
    <s v="Slub"/>
    <x v="0"/>
    <m/>
    <m/>
    <e v="#DIV/0!"/>
    <m/>
    <n v="0"/>
    <m/>
  </r>
  <r>
    <d v="2025-11-18T00:00:00"/>
    <x v="5"/>
    <s v="October Closing CF"/>
    <s v="Slub"/>
    <x v="0"/>
    <m/>
    <m/>
    <e v="#DIV/0!"/>
    <m/>
    <n v="71359.729334308722"/>
    <m/>
  </r>
  <r>
    <d v="2025-11-18T00:00:00"/>
    <x v="6"/>
    <s v="October Closing CF"/>
    <s v="Slub"/>
    <x v="0"/>
    <m/>
    <m/>
    <e v="#DIV/0!"/>
    <m/>
    <n v="0"/>
    <m/>
  </r>
  <r>
    <d v="2025-11-18T00:00:00"/>
    <x v="7"/>
    <s v="October Closing CF"/>
    <s v="Slub"/>
    <x v="0"/>
    <m/>
    <m/>
    <e v="#DIV/0!"/>
    <m/>
    <n v="0"/>
    <m/>
  </r>
  <r>
    <d v="2025-11-18T00:00:00"/>
    <x v="8"/>
    <s v="October Closing CF"/>
    <s v="Slub"/>
    <x v="0"/>
    <m/>
    <m/>
    <e v="#DIV/0!"/>
    <m/>
    <n v="0"/>
    <m/>
  </r>
  <r>
    <d v="2025-11-18T00:00:00"/>
    <x v="9"/>
    <s v="October Closing CF"/>
    <s v="Slub"/>
    <x v="0"/>
    <m/>
    <m/>
    <e v="#DIV/0!"/>
    <m/>
    <n v="0"/>
    <m/>
  </r>
  <r>
    <d v="2025-11-18T00:00:00"/>
    <x v="10"/>
    <s v="October Closing CF"/>
    <s v="Slub"/>
    <x v="0"/>
    <m/>
    <m/>
    <e v="#DIV/0!"/>
    <m/>
    <n v="0"/>
    <m/>
  </r>
  <r>
    <d v="2025-11-18T00:00:00"/>
    <x v="11"/>
    <s v="October Closing CF"/>
    <s v="Slub"/>
    <x v="0"/>
    <m/>
    <m/>
    <e v="#DIV/0!"/>
    <m/>
    <n v="0"/>
    <m/>
  </r>
  <r>
    <d v="2025-11-18T00:00:00"/>
    <x v="12"/>
    <s v="October Closing CF"/>
    <s v="Slub"/>
    <x v="0"/>
    <m/>
    <m/>
    <e v="#DIV/0!"/>
    <m/>
    <n v="0"/>
    <m/>
  </r>
  <r>
    <d v="2025-11-18T00:00:00"/>
    <x v="13"/>
    <s v="October Closing CF"/>
    <s v="Slub"/>
    <x v="0"/>
    <m/>
    <m/>
    <e v="#DIV/0!"/>
    <m/>
    <n v="0"/>
    <m/>
  </r>
  <r>
    <d v="2025-11-18T00:00:00"/>
    <x v="14"/>
    <s v="October Closing CF"/>
    <s v="Slub"/>
    <x v="0"/>
    <m/>
    <m/>
    <e v="#DIV/0!"/>
    <m/>
    <n v="0"/>
    <m/>
  </r>
  <r>
    <d v="2025-11-18T00:00:00"/>
    <x v="15"/>
    <s v="October Closing CF"/>
    <s v="Slub"/>
    <x v="0"/>
    <m/>
    <m/>
    <e v="#DIV/0!"/>
    <m/>
    <n v="0"/>
    <m/>
  </r>
  <r>
    <d v="2025-11-18T00:00:00"/>
    <x v="16"/>
    <s v="October Closing CF"/>
    <s v="Slub"/>
    <x v="0"/>
    <m/>
    <m/>
    <e v="#DIV/0!"/>
    <m/>
    <n v="44550.109729334312"/>
    <m/>
  </r>
  <r>
    <d v="2025-11-18T00:00:00"/>
    <x v="17"/>
    <s v="October Closing CF"/>
    <s v="Slub"/>
    <x v="0"/>
    <m/>
    <m/>
    <e v="#DIV/0!"/>
    <m/>
    <n v="0"/>
    <m/>
  </r>
  <r>
    <d v="2025-11-18T00:00:00"/>
    <x v="18"/>
    <s v="October Closing CF"/>
    <s v="Slub"/>
    <x v="0"/>
    <m/>
    <m/>
    <e v="#DIV/0!"/>
    <m/>
    <n v="0"/>
    <m/>
  </r>
  <r>
    <d v="2025-11-18T00:00:00"/>
    <x v="19"/>
    <s v="October Closing CF"/>
    <s v="Slub"/>
    <x v="0"/>
    <m/>
    <m/>
    <e v="#DIV/0!"/>
    <m/>
    <n v="0"/>
    <m/>
  </r>
  <r>
    <d v="2025-11-18T00:00:00"/>
    <x v="0"/>
    <s v="October Closing CF"/>
    <s v="Satin"/>
    <x v="0"/>
    <m/>
    <m/>
    <e v="#DIV/0!"/>
    <m/>
    <n v="0"/>
    <m/>
  </r>
  <r>
    <d v="2025-11-18T00:00:00"/>
    <x v="1"/>
    <s v="October Closing CF"/>
    <s v="Satin"/>
    <x v="0"/>
    <m/>
    <m/>
    <e v="#DIV/0!"/>
    <m/>
    <n v="0"/>
    <m/>
  </r>
  <r>
    <d v="2025-11-18T00:00:00"/>
    <x v="2"/>
    <s v="October Closing CF"/>
    <s v="Satin"/>
    <x v="0"/>
    <m/>
    <m/>
    <e v="#DIV/0!"/>
    <m/>
    <n v="0"/>
    <m/>
  </r>
  <r>
    <d v="2025-11-18T00:00:00"/>
    <x v="3"/>
    <s v="October Closing CF"/>
    <s v="Satin"/>
    <x v="0"/>
    <m/>
    <m/>
    <e v="#DIV/0!"/>
    <m/>
    <n v="0"/>
    <m/>
  </r>
  <r>
    <d v="2025-11-18T00:00:00"/>
    <x v="4"/>
    <s v="October Closing CF"/>
    <s v="Satin"/>
    <x v="0"/>
    <m/>
    <m/>
    <e v="#DIV/0!"/>
    <m/>
    <n v="0"/>
    <m/>
  </r>
  <r>
    <d v="2025-11-18T00:00:00"/>
    <x v="5"/>
    <s v="October Closing CF"/>
    <s v="Satin"/>
    <x v="0"/>
    <m/>
    <m/>
    <e v="#DIV/0!"/>
    <m/>
    <n v="0"/>
    <m/>
  </r>
  <r>
    <d v="2025-11-18T00:00:00"/>
    <x v="6"/>
    <s v="October Closing CF"/>
    <s v="Satin"/>
    <x v="0"/>
    <m/>
    <m/>
    <e v="#DIV/0!"/>
    <m/>
    <n v="0"/>
    <m/>
  </r>
  <r>
    <d v="2025-11-18T00:00:00"/>
    <x v="7"/>
    <s v="October Closing CF"/>
    <s v="Satin"/>
    <x v="0"/>
    <m/>
    <m/>
    <e v="#DIV/0!"/>
    <m/>
    <n v="0"/>
    <m/>
  </r>
  <r>
    <d v="2025-11-18T00:00:00"/>
    <x v="8"/>
    <s v="October Closing CF"/>
    <s v="Satin"/>
    <x v="0"/>
    <m/>
    <m/>
    <e v="#DIV/0!"/>
    <m/>
    <n v="0"/>
    <m/>
  </r>
  <r>
    <d v="2025-11-18T00:00:00"/>
    <x v="9"/>
    <s v="October Closing CF"/>
    <s v="Satin"/>
    <x v="0"/>
    <m/>
    <m/>
    <e v="#DIV/0!"/>
    <m/>
    <n v="0"/>
    <m/>
  </r>
  <r>
    <d v="2025-11-18T00:00:00"/>
    <x v="10"/>
    <s v="October Closing CF"/>
    <s v="Satin"/>
    <x v="0"/>
    <m/>
    <m/>
    <e v="#DIV/0!"/>
    <m/>
    <n v="0"/>
    <m/>
  </r>
  <r>
    <d v="2025-11-18T00:00:00"/>
    <x v="11"/>
    <s v="October Closing CF"/>
    <s v="Satin"/>
    <x v="0"/>
    <m/>
    <m/>
    <e v="#DIV/0!"/>
    <m/>
    <n v="0"/>
    <m/>
  </r>
  <r>
    <d v="2025-11-18T00:00:00"/>
    <x v="12"/>
    <s v="October Closing CF"/>
    <s v="Satin"/>
    <x v="0"/>
    <m/>
    <m/>
    <e v="#DIV/0!"/>
    <m/>
    <n v="0"/>
    <m/>
  </r>
  <r>
    <d v="2025-11-18T00:00:00"/>
    <x v="13"/>
    <s v="October Closing CF"/>
    <s v="Satin"/>
    <x v="0"/>
    <m/>
    <m/>
    <e v="#DIV/0!"/>
    <m/>
    <n v="0"/>
    <m/>
  </r>
  <r>
    <d v="2025-11-18T00:00:00"/>
    <x v="14"/>
    <s v="October Closing CF"/>
    <s v="Satin"/>
    <x v="0"/>
    <m/>
    <m/>
    <e v="#DIV/0!"/>
    <m/>
    <n v="0"/>
    <m/>
  </r>
  <r>
    <d v="2025-11-18T00:00:00"/>
    <x v="15"/>
    <s v="October Closing CF"/>
    <s v="Satin"/>
    <x v="0"/>
    <m/>
    <m/>
    <e v="#DIV/0!"/>
    <m/>
    <n v="0"/>
    <m/>
  </r>
  <r>
    <d v="2025-11-18T00:00:00"/>
    <x v="16"/>
    <s v="October Closing CF"/>
    <s v="Satin"/>
    <x v="0"/>
    <m/>
    <m/>
    <e v="#DIV/0!"/>
    <m/>
    <n v="0"/>
    <m/>
  </r>
  <r>
    <d v="2025-11-18T00:00:00"/>
    <x v="17"/>
    <s v="October Closing CF"/>
    <s v="Satin"/>
    <x v="0"/>
    <m/>
    <m/>
    <e v="#DIV/0!"/>
    <m/>
    <n v="94656.181419166067"/>
    <m/>
  </r>
  <r>
    <d v="2025-11-18T00:00:00"/>
    <x v="18"/>
    <s v="October Closing CF"/>
    <s v="Satin"/>
    <x v="0"/>
    <m/>
    <m/>
    <e v="#DIV/0!"/>
    <m/>
    <n v="0"/>
    <m/>
  </r>
  <r>
    <d v="2025-11-18T00:00:00"/>
    <x v="19"/>
    <s v="October Closing CF"/>
    <s v="Satin"/>
    <x v="0"/>
    <m/>
    <m/>
    <e v="#DIV/0!"/>
    <m/>
    <n v="0"/>
    <m/>
  </r>
  <r>
    <d v="2025-11-18T00:00:00"/>
    <x v="19"/>
    <n v="1091"/>
    <s v="Silky"/>
    <x v="1"/>
    <n v="15061"/>
    <n v="8370"/>
    <n v="1.5221542124693741"/>
    <n v="7653.6210680321883"/>
    <n v="99497.073884418453"/>
    <m/>
  </r>
  <r>
    <d v="2025-11-18T00:00:00"/>
    <x v="1"/>
    <n v="1092"/>
    <s v="Silky"/>
    <x v="2"/>
    <n v="15147"/>
    <n v="16288"/>
    <n v="1.6707710426602347"/>
    <n v="14893.928310168252"/>
    <n v="193621.06803218729"/>
    <m/>
  </r>
  <r>
    <d v="2025-11-18T00:00:00"/>
    <x v="19"/>
    <n v="1093"/>
    <s v="Silky"/>
    <x v="1"/>
    <n v="15061"/>
    <n v="7850"/>
    <n v="1.5221542124693741"/>
    <n v="7178.1272860277986"/>
    <n v="93315.654718361387"/>
    <m/>
  </r>
  <r>
    <d v="2025-11-18T00:00:00"/>
    <x v="19"/>
    <n v="1094"/>
    <s v="Silky"/>
    <x v="3"/>
    <n v="17020"/>
    <n v="3280"/>
    <n v="2.6007098667001287"/>
    <n v="2999.268471104609"/>
    <n v="38990.490124359916"/>
    <m/>
  </r>
  <r>
    <d v="2025-11-18T00:00:00"/>
    <x v="19"/>
    <n v="1095"/>
    <s v="Silky"/>
    <x v="3"/>
    <n v="17020"/>
    <n v="2238"/>
    <n v="2.6007098667001287"/>
    <n v="2046.452084857352"/>
    <n v="26603.877103145576"/>
    <m/>
  </r>
  <r>
    <d v="2025-11-18T00:00:00"/>
    <x v="19"/>
    <n v="1096"/>
    <s v="Silky"/>
    <x v="3"/>
    <n v="17020"/>
    <n v="7449"/>
    <n v="2.6007098667001287"/>
    <n v="6811.4484272128757"/>
    <n v="88548.829553767384"/>
    <m/>
  </r>
  <r>
    <d v="2025-11-18T00:00:00"/>
    <x v="19"/>
    <n v="1097"/>
    <s v="Silky"/>
    <x v="3"/>
    <n v="17020"/>
    <n v="5162"/>
    <n v="2.6007098667001287"/>
    <n v="4720.1901975128021"/>
    <n v="61362.472567666424"/>
    <m/>
  </r>
  <r>
    <d v="2025-11-19T00:00:00"/>
    <x v="2"/>
    <n v="1098"/>
    <s v="Silky"/>
    <x v="4"/>
    <n v="25021"/>
    <n v="26629"/>
    <n v="2.6823320641823756"/>
    <n v="24349.853694220925"/>
    <n v="316548.09802487202"/>
    <m/>
  </r>
  <r>
    <d v="2025-11-19T00:00:00"/>
    <x v="0"/>
    <n v="1099"/>
    <s v="Silky"/>
    <x v="5"/>
    <n v="11127"/>
    <n v="11819"/>
    <n v="2.8720677784827728"/>
    <n v="10807.425018288222"/>
    <n v="140496.52523774689"/>
    <m/>
  </r>
  <r>
    <d v="2025-11-19T00:00:00"/>
    <x v="0"/>
    <n v="1100"/>
    <s v="Silky"/>
    <x v="6"/>
    <n v="12000"/>
    <n v="6508"/>
    <n v="1.4645818093147938"/>
    <n v="5950.9875640087785"/>
    <n v="77362.838332114115"/>
    <m/>
  </r>
  <r>
    <d v="2025-11-19T00:00:00"/>
    <x v="0"/>
    <n v="1101"/>
    <s v="Silky"/>
    <x v="7"/>
    <n v="8003"/>
    <n v="5167"/>
    <n v="2.5031852996603874"/>
    <n v="4724.7622531089983"/>
    <n v="61421.909290416981"/>
    <m/>
  </r>
  <r>
    <d v="2025-11-19T00:00:00"/>
    <x v="0"/>
    <n v="1102"/>
    <s v="Silky"/>
    <x v="7"/>
    <n v="8003"/>
    <n v="3366"/>
    <n v="2.5031852996603874"/>
    <n v="3077.9078273591808"/>
    <n v="40012.801755669352"/>
    <m/>
  </r>
  <r>
    <d v="2025-11-19T00:00:00"/>
    <x v="0"/>
    <n v="1103"/>
    <s v="Silky"/>
    <x v="6"/>
    <n v="12000"/>
    <n v="6423"/>
    <n v="1.4645818093147938"/>
    <n v="5873.2626188734457"/>
    <n v="76352.414045354788"/>
    <m/>
  </r>
  <r>
    <d v="2025-11-19T00:00:00"/>
    <x v="0"/>
    <n v="1104"/>
    <s v="Silky"/>
    <x v="8"/>
    <n v="8051"/>
    <n v="8739"/>
    <n v="0.74476746948880646"/>
    <n v="7991.0387710314562"/>
    <n v="103883.50402340892"/>
    <m/>
  </r>
  <r>
    <d v="2025-11-19T00:00:00"/>
    <x v="0"/>
    <n v="1105"/>
    <s v="Silky"/>
    <x v="9"/>
    <n v="24516"/>
    <n v="6876"/>
    <n v="2.0092636455680974"/>
    <n v="6287.4908558888083"/>
    <n v="81737.381126554508"/>
    <m/>
  </r>
  <r>
    <d v="2025-11-20T00:00:00"/>
    <x v="16"/>
    <n v="1106"/>
    <s v="Silky"/>
    <x v="10"/>
    <n v="36489"/>
    <n v="27661"/>
    <n v="1.9756492637207401"/>
    <n v="25293.52596927579"/>
    <n v="328815.83760058525"/>
    <m/>
  </r>
  <r>
    <d v="2025-11-20T00:00:00"/>
    <x v="16"/>
    <n v="1107"/>
    <s v="Silky"/>
    <x v="11"/>
    <n v="42762"/>
    <n v="835"/>
    <n v="98.2144584337385"/>
    <n v="763.53328456474037"/>
    <n v="9925.9326993416253"/>
    <m/>
  </r>
  <r>
    <d v="2025-11-20T00:00:00"/>
    <x v="16"/>
    <n v="1108"/>
    <s v="Silky"/>
    <x v="12"/>
    <n v="8030"/>
    <n v="1819"/>
    <n v="2.5804841209035771"/>
    <n v="1663.313825896123"/>
    <n v="21623.079736649601"/>
    <m/>
  </r>
  <r>
    <d v="2025-11-20T00:00:00"/>
    <x v="0"/>
    <n v="1109"/>
    <s v="Silky"/>
    <x v="9"/>
    <n v="24116"/>
    <n v="6626"/>
    <n v="2.0092636455680974"/>
    <n v="6058.8880760790053"/>
    <n v="78765.544989027068"/>
    <m/>
  </r>
  <r>
    <d v="2025-11-20T00:00:00"/>
    <x v="0"/>
    <n v="1110"/>
    <s v="Silky"/>
    <x v="13"/>
    <n v="10009"/>
    <n v="1806"/>
    <n v="-0.16588581615243925"/>
    <n v="1651.4264813460134"/>
    <n v="21468.544257498175"/>
    <m/>
  </r>
  <r>
    <d v="2025-11-20T00:00:00"/>
    <x v="20"/>
    <n v="1111"/>
    <s v="Chamki"/>
    <x v="14"/>
    <n v="15833"/>
    <n v="16832"/>
    <n v="2.7893137179663796"/>
    <n v="15391.367959034384"/>
    <n v="153913.67959034385"/>
    <m/>
  </r>
  <r>
    <d v="2025-11-20T00:00:00"/>
    <x v="0"/>
    <n v="1112"/>
    <s v="Chamki"/>
    <x v="15"/>
    <n v="19698"/>
    <n v="21453"/>
    <n v="0.41191115321976213"/>
    <n v="19616.861741038774"/>
    <n v="196168.61741038773"/>
    <m/>
  </r>
  <r>
    <d v="2025-11-21T00:00:00"/>
    <x v="20"/>
    <n v="1113"/>
    <s v="Chamki"/>
    <x v="16"/>
    <n v="25728"/>
    <n v="26729"/>
    <n v="5.0011862323350158"/>
    <n v="24441.294806144844"/>
    <n v="244412.94806144843"/>
    <m/>
  </r>
  <r>
    <d v="2025-11-21T00:00:00"/>
    <x v="5"/>
    <n v="1114"/>
    <s v="Chamki"/>
    <x v="17"/>
    <n v="53910"/>
    <n v="19686"/>
    <n v="2.2914996776577681"/>
    <n v="18001.097293343089"/>
    <n v="180010.97293343089"/>
    <m/>
  </r>
  <r>
    <d v="2025-11-21T00:00:00"/>
    <x v="6"/>
    <n v="1115"/>
    <s v="Chamki"/>
    <x v="18"/>
    <n v="24227"/>
    <n v="25825"/>
    <n v="2.5274810981442357"/>
    <n v="23614.667154352599"/>
    <n v="236146.671543526"/>
    <m/>
  </r>
  <r>
    <d v="2025-11-21T00:00:00"/>
    <x v="7"/>
    <n v="1116"/>
    <s v="Chamki"/>
    <x v="19"/>
    <n v="26019"/>
    <n v="4064"/>
    <n v="3.0061398213499473"/>
    <n v="3716.1667885881498"/>
    <n v="37161.667885881499"/>
    <m/>
  </r>
  <r>
    <d v="2025-11-22T00:00:00"/>
    <x v="5"/>
    <n v="1117"/>
    <s v="Chamki"/>
    <x v="17"/>
    <n v="53910"/>
    <n v="33096"/>
    <n v="2.2914996776577681"/>
    <n v="30263.350402340897"/>
    <n v="302633.50402340898"/>
    <m/>
  </r>
  <r>
    <d v="2025-11-22T00:00:00"/>
    <x v="5"/>
    <n v="1118"/>
    <s v="Chamki"/>
    <x v="20"/>
    <n v="24030"/>
    <n v="8374"/>
    <n v="2.8052900224390385"/>
    <n v="7657.2787125091445"/>
    <n v="76572.787125091447"/>
    <m/>
  </r>
  <r>
    <d v="2025-11-22T00:00:00"/>
    <x v="5"/>
    <n v="1119"/>
    <s v="Chamki"/>
    <x v="20"/>
    <n v="24030"/>
    <n v="17168"/>
    <n v="2.8052900224390385"/>
    <n v="15698.610095098758"/>
    <n v="156986.10095098757"/>
    <m/>
  </r>
  <r>
    <d v="2025-11-22T00:00:00"/>
    <x v="5"/>
    <n v="1120"/>
    <s v="Chamki"/>
    <x v="21"/>
    <n v="25519"/>
    <n v="27328"/>
    <n v="2.0767778260545811"/>
    <n v="24989.027066569131"/>
    <n v="249890.27066569132"/>
    <m/>
  </r>
  <r>
    <d v="2025-11-22T00:00:00"/>
    <x v="5"/>
    <n v="1121"/>
    <s v="Chamki"/>
    <x v="17"/>
    <n v="53910"/>
    <n v="2234"/>
    <n v="2.2914996776577681"/>
    <n v="2042.7944403803951"/>
    <n v="20427.944403803951"/>
    <m/>
  </r>
  <r>
    <d v="2025-11-22T00:00:00"/>
    <x v="7"/>
    <n v="1122"/>
    <s v="Chamki"/>
    <x v="19"/>
    <n v="26019"/>
    <n v="23535"/>
    <n v="3.0061398213499473"/>
    <n v="21520.665691294809"/>
    <n v="215206.65691294809"/>
    <m/>
  </r>
  <r>
    <d v="2025-11-22T00:00:00"/>
    <x v="7"/>
    <n v="1123"/>
    <s v="Chamki"/>
    <x v="22"/>
    <n v="40243"/>
    <n v="25269"/>
    <n v="2.1693940838302552"/>
    <n v="23106.254572055597"/>
    <n v="231062.54572055597"/>
    <m/>
  </r>
  <r>
    <d v="2025-11-22T00:00:00"/>
    <x v="7"/>
    <n v="1124"/>
    <s v="Chamki"/>
    <x v="22"/>
    <n v="40243"/>
    <n v="17786"/>
    <n v="2.1693940838302552"/>
    <n v="16263.71616678859"/>
    <n v="162637.1616678859"/>
    <m/>
  </r>
  <r>
    <d v="2025-11-24T00:00:00"/>
    <x v="5"/>
    <n v="1125"/>
    <s v="Chamki"/>
    <x v="23"/>
    <n v="35271"/>
    <n v="32780"/>
    <n v="2.7905096906993947"/>
    <n v="29974.396488661303"/>
    <n v="299743.96488661302"/>
    <m/>
  </r>
  <r>
    <d v="2025-11-24T00:00:00"/>
    <x v="5"/>
    <n v="1126"/>
    <s v="Chamki"/>
    <x v="17"/>
    <n v="53910"/>
    <n v="2589"/>
    <n v="2.2914996776577681"/>
    <n v="2367.4103877103148"/>
    <n v="23674.103877103149"/>
    <m/>
  </r>
  <r>
    <d v="2025-11-24T00:00:00"/>
    <x v="11"/>
    <n v="1127"/>
    <s v="Chamki"/>
    <x v="24"/>
    <n v="69241"/>
    <n v="6844"/>
    <n v="79.608292641393618"/>
    <n v="6258.2297000731533"/>
    <n v="62582.297000731531"/>
    <m/>
  </r>
  <r>
    <d v="2025-11-24T00:00:00"/>
    <x v="18"/>
    <n v="1128"/>
    <s v="Chamki"/>
    <x v="25"/>
    <n v="34783"/>
    <n v="37340"/>
    <n v="1.8367846580453033"/>
    <n v="34144.111192392105"/>
    <n v="341441.11192392104"/>
    <m/>
  </r>
  <r>
    <d v="2025-11-24T00:00:00"/>
    <x v="18"/>
    <n v="1129"/>
    <s v="Chamki"/>
    <x v="26"/>
    <n v="79388"/>
    <n v="21877"/>
    <n v="2.8492897513085467"/>
    <n v="20004.572055596196"/>
    <n v="200045.72055596195"/>
    <m/>
  </r>
  <r>
    <d v="2025-11-24T00:00:00"/>
    <x v="5"/>
    <n v="1130"/>
    <s v="Chamki"/>
    <x v="23"/>
    <n v="35271"/>
    <n v="4716"/>
    <n v="2.7905096906993947"/>
    <n v="4312.3628383321147"/>
    <n v="43123.628383321149"/>
    <m/>
  </r>
  <r>
    <d v="2025-11-24T00:00:00"/>
    <x v="11"/>
    <n v="1131"/>
    <s v="Chamki"/>
    <x v="24"/>
    <n v="69241"/>
    <n v="8597"/>
    <n v="79.608292641393618"/>
    <n v="7861.1923920994886"/>
    <n v="78611.923920994886"/>
    <m/>
  </r>
  <r>
    <d v="2025-11-25T00:00:00"/>
    <x v="2"/>
    <n v="1132"/>
    <s v="Chamki"/>
    <x v="27"/>
    <n v="62248"/>
    <n v="38493"/>
    <n v="2.2231742261903094"/>
    <n v="35198.427212874914"/>
    <n v="351984.27212874917"/>
    <m/>
  </r>
  <r>
    <d v="2025-11-25T00:00:00"/>
    <x v="0"/>
    <n v="1133"/>
    <s v="Chamki"/>
    <x v="28"/>
    <n v="38741"/>
    <n v="9822"/>
    <n v="18.210231785764165"/>
    <n v="8981.3460131675201"/>
    <n v="89813.460131675209"/>
    <m/>
  </r>
  <r>
    <d v="2025-11-25T00:00:00"/>
    <x v="10"/>
    <n v="1134"/>
    <s v="Chamki"/>
    <x v="29"/>
    <n v="21089"/>
    <n v="22527"/>
    <n v="2.3237740855342395"/>
    <n v="20598.939283101685"/>
    <n v="205989.39283101686"/>
    <m/>
  </r>
  <r>
    <d v="2025-11-25T00:00:00"/>
    <x v="0"/>
    <n v="1135"/>
    <s v="Chamki"/>
    <x v="28"/>
    <n v="38741"/>
    <n v="8240"/>
    <n v="18.210231785764165"/>
    <n v="7534.7476225310902"/>
    <n v="75347.476225310907"/>
    <m/>
  </r>
  <r>
    <d v="2025-11-25T00:00:00"/>
    <x v="18"/>
    <n v="1136"/>
    <s v="Chamki"/>
    <x v="26"/>
    <n v="79388"/>
    <n v="8891"/>
    <n v="2.8492897513085467"/>
    <n v="8130.0292611558161"/>
    <n v="81300.292611558165"/>
    <m/>
  </r>
  <r>
    <d v="2025-11-26T00:00:00"/>
    <x v="18"/>
    <n v="1137"/>
    <s v="Chamki"/>
    <x v="26"/>
    <n v="79388"/>
    <n v="35579"/>
    <n v="2.8492897513085467"/>
    <n v="32533.833211411853"/>
    <n v="325338.3321141185"/>
    <m/>
  </r>
  <r>
    <d v="2025-11-26T00:00:00"/>
    <x v="2"/>
    <n v="1138"/>
    <s v="Chamki"/>
    <x v="27"/>
    <n v="62248"/>
    <n v="6313"/>
    <n v="2.2231742261903094"/>
    <n v="5772.6773957571331"/>
    <n v="57726.773957571335"/>
    <m/>
  </r>
  <r>
    <d v="2025-11-26T00:00:00"/>
    <x v="18"/>
    <n v="1139"/>
    <s v="Chamki"/>
    <x v="26"/>
    <n v="79388"/>
    <n v="11064"/>
    <n v="2.8492897513085467"/>
    <n v="10117.04462326262"/>
    <n v="101170.4462326262"/>
    <m/>
  </r>
  <r>
    <d v="2025-11-27T00:00:00"/>
    <x v="21"/>
    <n v="1140"/>
    <s v="Chamki"/>
    <x v="30"/>
    <n v="9377"/>
    <n v="10015"/>
    <n v="2.3373428689272799"/>
    <n v="9157.8273591806883"/>
    <n v="91578.273591806879"/>
    <m/>
  </r>
  <r>
    <d v="2025-11-27T00:00:00"/>
    <x v="2"/>
    <n v="1141"/>
    <s v="Chamki"/>
    <x v="27"/>
    <n v="62248"/>
    <n v="16439"/>
    <n v="2.2231742261903094"/>
    <n v="15032.004389173373"/>
    <n v="150320.04389173375"/>
    <m/>
  </r>
  <r>
    <d v="2025-11-27T00:00:00"/>
    <x v="11"/>
    <n v="1142"/>
    <s v="Silky"/>
    <x v="31"/>
    <n v="28436"/>
    <n v="5770"/>
    <n v="4.3752867744535422"/>
    <n v="5276.1521580102417"/>
    <n v="68589.978054133142"/>
    <m/>
  </r>
  <r>
    <d v="2025-11-27T00:00:00"/>
    <x v="11"/>
    <n v="1143"/>
    <s v="Silky"/>
    <x v="31"/>
    <n v="28436"/>
    <n v="20407"/>
    <n v="4.3752867744535422"/>
    <n v="18660.387710314561"/>
    <n v="242585.04023408928"/>
    <m/>
  </r>
  <r>
    <d v="2025-11-27T00:00:00"/>
    <x v="11"/>
    <n v="1144"/>
    <s v="Silky"/>
    <x v="32"/>
    <n v="10000"/>
    <n v="10647"/>
    <n v="2.642648134601302"/>
    <n v="9735.7351865398687"/>
    <n v="126564.5574250183"/>
    <m/>
  </r>
  <r>
    <d v="2025-11-27T00:00:00"/>
    <x v="11"/>
    <n v="1145"/>
    <s v="Silky"/>
    <x v="33"/>
    <n v="10212"/>
    <n v="10280"/>
    <n v="7.9499970056886156"/>
    <n v="9400.1463057790788"/>
    <n v="122201.90197512803"/>
    <m/>
  </r>
  <r>
    <d v="2025-11-28T00:00:00"/>
    <x v="11"/>
    <n v="1146"/>
    <s v="Silky"/>
    <x v="34"/>
    <n v="8049"/>
    <n v="4909"/>
    <n v="3.9465025075472653"/>
    <n v="4488.844184345282"/>
    <n v="58354.974396488666"/>
    <m/>
  </r>
  <r>
    <d v="2025-11-28T00:00:00"/>
    <x v="16"/>
    <n v="1147"/>
    <s v="Silky"/>
    <x v="10"/>
    <n v="36489"/>
    <n v="11455"/>
    <n v="1.9756492637207401"/>
    <n v="10474.579370885151"/>
    <n v="136169.53182150697"/>
    <m/>
  </r>
  <r>
    <d v="2025-11-28T00:00:00"/>
    <x v="16"/>
    <n v="1148"/>
    <s v="Silky"/>
    <x v="12"/>
    <n v="8030"/>
    <n v="6736"/>
    <n v="2.5804841209035771"/>
    <n v="6159.4732991953188"/>
    <n v="80073.152889539138"/>
    <m/>
  </r>
  <r>
    <d v="2025-11-29T00:00:00"/>
    <x v="16"/>
    <n v="1149"/>
    <s v="Silky"/>
    <x v="35"/>
    <n v="35101"/>
    <n v="33442"/>
    <n v="2.418701163891825"/>
    <n v="30579.73664959766"/>
    <n v="397536.57644476957"/>
    <m/>
  </r>
  <r>
    <d v="2025-11-29T00:00:00"/>
    <x v="16"/>
    <n v="1150"/>
    <s v="Silky"/>
    <x v="35"/>
    <n v="35101"/>
    <n v="4016"/>
    <n v="2.418701163891825"/>
    <n v="3672.2750548646673"/>
    <n v="47739.575713240672"/>
    <m/>
  </r>
  <r>
    <d v="2025-11-29T00:00:00"/>
    <x v="16"/>
    <n v="1151"/>
    <s v="Silky"/>
    <x v="36"/>
    <n v="11699"/>
    <n v="12441"/>
    <n v="2.7593064838446679"/>
    <n v="11376.188734455012"/>
    <n v="147890.45354791515"/>
    <m/>
  </r>
  <r>
    <d v="2025-11-29T00:00:00"/>
    <x v="16"/>
    <n v="1152"/>
    <s v="Silky"/>
    <x v="37"/>
    <n v="26689"/>
    <n v="25635"/>
    <n v="3.9061461227392442"/>
    <n v="23440.929041697149"/>
    <n v="304732.07754206297"/>
    <m/>
  </r>
  <r>
    <d v="2025-11-29T00:00:00"/>
    <x v="22"/>
    <n v="1153"/>
    <s v="Silky"/>
    <x v="38"/>
    <n v="10441"/>
    <n v="10780"/>
    <n v="5.5899639364171634"/>
    <n v="9857.3518653986848"/>
    <n v="128145.57425018291"/>
    <m/>
  </r>
  <r>
    <d v="2025-11-29T00:00:00"/>
    <x v="22"/>
    <n v="1154"/>
    <s v="Silky"/>
    <x v="39"/>
    <n v="16530"/>
    <n v="17770"/>
    <n v="1.6994217248592776"/>
    <n v="16249.085588880762"/>
    <n v="211238.11265544989"/>
    <m/>
  </r>
  <r>
    <d v="2025-11-29T00:00:00"/>
    <x v="1"/>
    <n v="1155"/>
    <s v="Silky"/>
    <x v="40"/>
    <n v="20458"/>
    <n v="4931"/>
    <n v="3.9550976135880944"/>
    <n v="4508.9612289685447"/>
    <n v="58616.495976591083"/>
    <m/>
  </r>
  <r>
    <d v="2025-11-29T00:00:00"/>
    <x v="1"/>
    <n v="1156"/>
    <s v="Silky"/>
    <x v="41"/>
    <n v="12051"/>
    <n v="6942"/>
    <n v="2.3823827980048407"/>
    <n v="6347.8419897585964"/>
    <n v="82521.945866861759"/>
    <m/>
  </r>
  <r>
    <d v="2025-11-29T00:00:00"/>
    <x v="0"/>
    <n v="1157"/>
    <s v="Chamki"/>
    <x v="28"/>
    <n v="38741"/>
    <n v="2751"/>
    <n v="18.210231785764165"/>
    <n v="2515.544989027067"/>
    <n v="25155.449890270669"/>
    <m/>
  </r>
  <r>
    <d v="2025-12-01T00:00:00"/>
    <x v="2"/>
    <n v="1158"/>
    <s v="Silky"/>
    <x v="42"/>
    <n v="20185"/>
    <n v="21517"/>
    <n v="2.5247260209557538"/>
    <n v="19675.384052670081"/>
    <n v="255779.99268471106"/>
    <m/>
  </r>
  <r>
    <d v="2025-12-01T00:00:00"/>
    <x v="2"/>
    <n v="1159"/>
    <s v="Silky"/>
    <x v="43"/>
    <n v="16886"/>
    <n v="18025"/>
    <n v="2.3909722593464409"/>
    <n v="16482.26042428676"/>
    <n v="214269.38551572789"/>
    <m/>
  </r>
  <r>
    <d v="2025-12-01T00:00:00"/>
    <x v="2"/>
    <n v="1160"/>
    <s v="Silky"/>
    <x v="44"/>
    <n v="3042"/>
    <n v="3074"/>
    <n v="7.5969828881876538"/>
    <n v="2810.8997805413314"/>
    <n v="36541.69714703731"/>
    <m/>
  </r>
  <r>
    <d v="2025-12-01T00:00:00"/>
    <x v="0"/>
    <n v="1161"/>
    <s v="Silky"/>
    <x v="9"/>
    <n v="24516"/>
    <n v="12770"/>
    <n v="2.0092636455680974"/>
    <n v="11677.029992684713"/>
    <n v="151801.38990490127"/>
    <m/>
  </r>
  <r>
    <d v="2025-12-01T00:00:00"/>
    <x v="1"/>
    <n v="1162"/>
    <s v="Silky"/>
    <x v="40"/>
    <n v="20458"/>
    <n v="10970"/>
    <n v="3.9550976135880944"/>
    <n v="10031.089978054133"/>
    <n v="130404.16971470373"/>
    <m/>
  </r>
  <r>
    <d v="2025-12-01T00:00:00"/>
    <x v="1"/>
    <n v="1163"/>
    <s v="Silky"/>
    <x v="41"/>
    <n v="12051"/>
    <n v="5923"/>
    <n v="2.3823827980048407"/>
    <n v="5416.0570592538406"/>
    <n v="70408.741770299923"/>
    <m/>
  </r>
  <r>
    <d v="2025-12-01T00:00:00"/>
    <x v="1"/>
    <n v="1164"/>
    <s v="Silky"/>
    <x v="45"/>
    <n v="12099"/>
    <n v="6492"/>
    <n v="3.0644101548714104"/>
    <n v="5936.3569861009519"/>
    <n v="77172.640819312379"/>
    <m/>
  </r>
  <r>
    <d v="2025-12-01T00:00:00"/>
    <x v="0"/>
    <n v="1165"/>
    <s v="Silky"/>
    <x v="46"/>
    <n v="12087"/>
    <n v="12007"/>
    <n v="0.69859889853668733"/>
    <n v="10979.334308705194"/>
    <n v="142731.34601316752"/>
    <m/>
  </r>
  <r>
    <d v="2025-12-01T00:00:00"/>
    <x v="0"/>
    <n v="1166"/>
    <s v="Silky"/>
    <x v="47"/>
    <n v="12000"/>
    <n v="12170"/>
    <n v="1.2207388441843392"/>
    <n v="11128.383321141186"/>
    <n v="144668.98317483542"/>
    <m/>
  </r>
  <r>
    <d v="2025-12-01T00:00:00"/>
    <x v="0"/>
    <n v="1167"/>
    <s v="Silky"/>
    <x v="48"/>
    <n v="4048"/>
    <n v="4300"/>
    <n v="2.8664077883250201"/>
    <n v="3931.9678127286029"/>
    <n v="51115.581565471839"/>
    <m/>
  </r>
  <r>
    <d v="2025-12-01T00:00:00"/>
    <x v="0"/>
    <n v="1168"/>
    <s v="Silky"/>
    <x v="13"/>
    <n v="10009"/>
    <n v="9158"/>
    <n v="-0.16588581615243925"/>
    <n v="8374.1770299926848"/>
    <n v="108864.3013899049"/>
    <m/>
  </r>
  <r>
    <d v="2025-12-02T00:00:00"/>
    <x v="16"/>
    <n v="1169"/>
    <s v="Silky"/>
    <x v="37"/>
    <n v="26689"/>
    <n v="2412"/>
    <n v="3.9061461227392442"/>
    <n v="2205.5596196049746"/>
    <n v="28672.275054864669"/>
    <m/>
  </r>
  <r>
    <d v="2025-12-02T00:00:00"/>
    <x v="1"/>
    <n v="1170"/>
    <s v="Silky"/>
    <x v="45"/>
    <n v="12099"/>
    <n v="6334"/>
    <n v="3.0644101548714104"/>
    <n v="5791.8800292611559"/>
    <n v="75294.440380395026"/>
    <m/>
  </r>
  <r>
    <d v="2025-12-02T00:00:00"/>
    <x v="21"/>
    <n v="1171"/>
    <s v="Chamki"/>
    <x v="49"/>
    <n v="34339"/>
    <n v="31700"/>
    <n v="3.0999556830553843"/>
    <n v="28986.832479882956"/>
    <n v="289868.32479882956"/>
    <m/>
  </r>
  <r>
    <d v="2025-12-02T00:00:00"/>
    <x v="1"/>
    <n v="1172"/>
    <s v="Silky"/>
    <x v="40"/>
    <n v="20458"/>
    <n v="3204"/>
    <n v="3.9550976135880944"/>
    <n v="2929.7732260424291"/>
    <n v="38087.05193855158"/>
    <m/>
  </r>
  <r>
    <d v="2025-12-02T00:00:00"/>
    <x v="11"/>
    <n v="1173"/>
    <s v="Silky"/>
    <x v="34"/>
    <n v="8049"/>
    <n v="3546"/>
    <n v="3.9465025075472653"/>
    <n v="3242.5018288222386"/>
    <n v="42152.5237746891"/>
    <m/>
  </r>
  <r>
    <d v="2025-12-02T00:00:00"/>
    <x v="18"/>
    <n v="1174"/>
    <s v="Chamki"/>
    <x v="50"/>
    <n v="6327"/>
    <n v="6375"/>
    <n v="3.0958344476228348"/>
    <n v="5829.3708851499641"/>
    <n v="58293.708851499643"/>
    <m/>
  </r>
  <r>
    <d v="2025-12-02T00:00:00"/>
    <x v="0"/>
    <n v="1175"/>
    <s v="Chamki"/>
    <x v="51"/>
    <n v="54197"/>
    <n v="6304"/>
    <n v="0.37091242859318641"/>
    <n v="5764.4476956839799"/>
    <n v="57644.476956839797"/>
    <m/>
  </r>
  <r>
    <d v="2025-12-02T00:00:00"/>
    <x v="20"/>
    <n v="1176"/>
    <s v="Chamki"/>
    <x v="52"/>
    <n v="28367"/>
    <n v="3396"/>
    <n v="2.9822277444124978"/>
    <n v="3105.3401609363573"/>
    <n v="31053.401609363573"/>
    <m/>
  </r>
  <r>
    <d v="2025-12-02T00:00:00"/>
    <x v="0"/>
    <n v="1177"/>
    <s v="Chamki"/>
    <x v="51"/>
    <n v="54197"/>
    <n v="2197"/>
    <n v="0.37091242859318641"/>
    <n v="2008.9612289685444"/>
    <n v="20089.612289685443"/>
    <m/>
  </r>
  <r>
    <d v="2025-12-03T00:00:00"/>
    <x v="0"/>
    <n v="1178"/>
    <s v="Chamki"/>
    <x v="51"/>
    <n v="54197"/>
    <n v="30179"/>
    <n v="0.37091242859318641"/>
    <n v="27596.013167520119"/>
    <n v="275960.13167520118"/>
    <m/>
  </r>
  <r>
    <d v="2025-12-03T00:00:00"/>
    <x v="21"/>
    <n v="1179"/>
    <s v="Chamki"/>
    <x v="49"/>
    <n v="34339"/>
    <n v="4689"/>
    <n v="3.0999556830553843"/>
    <n v="4287.6737381126559"/>
    <n v="42876.737381126557"/>
    <m/>
  </r>
  <r>
    <d v="2025-12-03T00:00:00"/>
    <x v="18"/>
    <n v="1180"/>
    <s v="Chamki"/>
    <x v="26"/>
    <n v="79338"/>
    <n v="6934"/>
    <n v="2.8492897513085467"/>
    <n v="6340.5267008046822"/>
    <n v="63405.267008046823"/>
    <m/>
  </r>
  <r>
    <d v="2025-12-03T00:00:00"/>
    <x v="18"/>
    <n v="1181"/>
    <s v="Chamki"/>
    <x v="50"/>
    <n v="6327"/>
    <n v="330"/>
    <n v="3.0958344476228348"/>
    <n v="301.75566934893931"/>
    <n v="3017.5566934893932"/>
    <m/>
  </r>
  <r>
    <d v="2025-12-03T00:00:00"/>
    <x v="0"/>
    <n v="1182"/>
    <s v="Chamki"/>
    <x v="53"/>
    <n v="15040"/>
    <n v="13217"/>
    <n v="2.8681380254945452"/>
    <n v="12085.771762984639"/>
    <n v="120857.71762984639"/>
    <m/>
  </r>
  <r>
    <d v="2025-12-03T00:00:00"/>
    <x v="20"/>
    <n v="1183"/>
    <s v="Chamki"/>
    <x v="54"/>
    <n v="26497"/>
    <n v="10929"/>
    <n v="2.7508573039931434"/>
    <n v="9993.5991221653258"/>
    <n v="99935.991221653254"/>
    <m/>
  </r>
  <r>
    <d v="2025-12-03T00:00:00"/>
    <x v="0"/>
    <n v="1184"/>
    <s v="Chamki"/>
    <x v="51"/>
    <n v="54197"/>
    <n v="8094"/>
    <n v="0.37091242859318641"/>
    <n v="7401.2435991221664"/>
    <n v="74012.435991221661"/>
    <m/>
  </r>
  <r>
    <d v="2025-12-03T00:00:00"/>
    <x v="0"/>
    <n v="1185"/>
    <s v="Chamki"/>
    <x v="28"/>
    <n v="38741"/>
    <n v="2146"/>
    <n v="18.210231785764165"/>
    <n v="1962.3262618873448"/>
    <n v="19623.262618873447"/>
    <m/>
  </r>
  <r>
    <d v="2025-12-03T00:00:00"/>
    <x v="20"/>
    <n v="1186"/>
    <s v="Chamki"/>
    <x v="52"/>
    <n v="28367"/>
    <n v="4854"/>
    <n v="2.9822277444124978"/>
    <n v="4438.5515727871252"/>
    <n v="44385.51572787125"/>
    <m/>
  </r>
  <r>
    <d v="2025-12-03T00:00:00"/>
    <x v="10"/>
    <n v="1187"/>
    <s v="Chamki"/>
    <x v="55"/>
    <n v="44990"/>
    <n v="30694"/>
    <n v="2.8537269031417623"/>
    <n v="28066.934893928312"/>
    <n v="280669.34893928311"/>
    <m/>
  </r>
  <r>
    <d v="2025-12-04T00:00:00"/>
    <x v="2"/>
    <n v="1188"/>
    <s v="Chamki"/>
    <x v="56"/>
    <n v="33679"/>
    <n v="9005"/>
    <n v="2.6128672585551129"/>
    <n v="8234.2721287490858"/>
    <n v="82342.721287490858"/>
    <m/>
  </r>
  <r>
    <d v="2025-12-04T00:00:00"/>
    <x v="2"/>
    <n v="1189"/>
    <s v="Chamki"/>
    <x v="27"/>
    <n v="62248"/>
    <n v="2108"/>
    <n v="2.2231742261903094"/>
    <n v="1927.5786393562548"/>
    <n v="19275.78639356255"/>
    <m/>
  </r>
  <r>
    <d v="2025-12-04T00:00:00"/>
    <x v="0"/>
    <n v="1190"/>
    <s v="Chamki"/>
    <x v="51"/>
    <n v="54197"/>
    <n v="2260"/>
    <n v="0.37091242859318641"/>
    <n v="2066.5691294806147"/>
    <n v="20665.691294806147"/>
    <m/>
  </r>
  <r>
    <d v="2025-12-05T00:00:00"/>
    <x v="2"/>
    <n v="1191"/>
    <s v="Chamki"/>
    <x v="56"/>
    <n v="33679"/>
    <n v="26864"/>
    <n v="2.6128672585551129"/>
    <n v="24564.740307242137"/>
    <n v="245647.40307242138"/>
    <m/>
  </r>
  <r>
    <d v="2025-12-05T00:00:00"/>
    <x v="23"/>
    <n v="1192"/>
    <s v="Chamki"/>
    <x v="57"/>
    <n v="12985"/>
    <n v="13622"/>
    <n v="4.073097679811184"/>
    <n v="12456.108266276518"/>
    <n v="124561.08266276518"/>
    <m/>
  </r>
  <r>
    <d v="2025-12-06T00:00:00"/>
    <x v="6"/>
    <n v="1193"/>
    <s v="Chamki"/>
    <x v="58"/>
    <n v="24195"/>
    <n v="17841"/>
    <n v="2.8974379557221539"/>
    <n v="16314.008778346746"/>
    <n v="163140.08778346746"/>
    <m/>
  </r>
  <r>
    <d v="2025-12-06T00:00:00"/>
    <x v="19"/>
    <n v="1194"/>
    <s v="Black-Chamki"/>
    <x v="59"/>
    <n v="13869"/>
    <n v="5493"/>
    <n v="63.783544033593046"/>
    <n v="5022.8602779809808"/>
    <n v="60274.323335771769"/>
    <m/>
  </r>
  <r>
    <d v="2025-12-06T00:00:00"/>
    <x v="7"/>
    <n v="1195"/>
    <s v="Chamki"/>
    <x v="60"/>
    <n v="20436"/>
    <n v="16752"/>
    <n v="1.9903055597198147"/>
    <n v="15318.215069495247"/>
    <n v="153182.15069495246"/>
    <m/>
  </r>
  <r>
    <d v="2025-12-06T00:00:00"/>
    <x v="10"/>
    <n v="1196"/>
    <s v="Chamki"/>
    <x v="55"/>
    <n v="44990"/>
    <n v="8911"/>
    <n v="2.8537269031417623"/>
    <n v="8148.3174835406007"/>
    <n v="81483.174835406011"/>
    <m/>
  </r>
  <r>
    <d v="2025-12-06T00:00:00"/>
    <x v="6"/>
    <n v="1197"/>
    <s v="Chamki"/>
    <x v="58"/>
    <n v="24195"/>
    <n v="7852"/>
    <n v="2.8974379557221539"/>
    <n v="7179.9561082662767"/>
    <n v="71799.561082662767"/>
    <m/>
  </r>
  <r>
    <d v="2025-12-06T00:00:00"/>
    <x v="7"/>
    <n v="1198"/>
    <s v="Chamki"/>
    <x v="60"/>
    <n v="20436"/>
    <n v="5152"/>
    <n v="1.9903055597198147"/>
    <n v="4711.0460863204098"/>
    <n v="47110.460863204098"/>
    <m/>
  </r>
  <r>
    <d v="2025-12-06T00:00:00"/>
    <x v="10"/>
    <n v="1199"/>
    <s v="Chamki"/>
    <x v="55"/>
    <n v="44990"/>
    <n v="8192"/>
    <n v="2.8537269031417623"/>
    <n v="7490.8558888076086"/>
    <n v="74908.558888076092"/>
    <m/>
  </r>
  <r>
    <d v="2025-12-06T00:00:00"/>
    <x v="2"/>
    <n v="1200"/>
    <s v="Chamki"/>
    <x v="27"/>
    <n v="62248"/>
    <n v="3208"/>
    <n v="2.2231742261903094"/>
    <n v="2933.4308705193857"/>
    <n v="29334.308705193856"/>
    <m/>
  </r>
  <r>
    <d v="2025-12-08T00:00:00"/>
    <x v="20"/>
    <n v="1201"/>
    <s v="Chamki"/>
    <x v="61"/>
    <n v="21117"/>
    <n v="8637"/>
    <n v="3.5185199234321232"/>
    <n v="7897.7688368690569"/>
    <n v="78977.688368690564"/>
    <m/>
  </r>
  <r>
    <d v="2025-12-08T00:00:00"/>
    <x v="0"/>
    <n v="1202"/>
    <s v="Chamki"/>
    <x v="28"/>
    <n v="38741"/>
    <n v="3196"/>
    <n v="18.210231785764165"/>
    <n v="2922.4579370885153"/>
    <n v="29224.579370885152"/>
    <m/>
  </r>
  <r>
    <d v="2025-12-08T00:00:00"/>
    <x v="20"/>
    <n v="1203"/>
    <s v="Chamki"/>
    <x v="61"/>
    <n v="21117"/>
    <n v="13644"/>
    <n v="3.5185199234321232"/>
    <n v="12476.225310899781"/>
    <n v="124762.25310899781"/>
    <m/>
  </r>
  <r>
    <d v="2025-12-08T00:00:00"/>
    <x v="20"/>
    <n v="1204"/>
    <s v="Chamki"/>
    <x v="52"/>
    <n v="28367"/>
    <n v="21847"/>
    <n v="2.9822277444124978"/>
    <n v="19977.139722019023"/>
    <n v="199771.39722019024"/>
    <m/>
  </r>
  <r>
    <d v="2025-12-08T00:00:00"/>
    <x v="20"/>
    <n v="1205"/>
    <s v="Chamki"/>
    <x v="54"/>
    <n v="26497"/>
    <n v="6293"/>
    <n v="2.7508573039931434"/>
    <n v="5754.3891733723485"/>
    <n v="57543.891733723489"/>
    <m/>
  </r>
  <r>
    <d v="2025-12-09T00:00:00"/>
    <x v="20"/>
    <n v="1206"/>
    <s v="Chamki"/>
    <x v="54"/>
    <n v="26492"/>
    <n v="10958"/>
    <n v="2.7508573039931434"/>
    <n v="10020.117044623263"/>
    <n v="100201.17044623263"/>
    <m/>
  </r>
  <r>
    <d v="2025-12-09T00:00:00"/>
    <x v="7"/>
    <n v="1207"/>
    <s v="Chamki"/>
    <x v="62"/>
    <n v="21887"/>
    <n v="23315"/>
    <n v="2.5928850684781821"/>
    <n v="21319.495245062182"/>
    <n v="213194.95245062181"/>
    <m/>
  </r>
  <r>
    <d v="2025-12-09T00:00:00"/>
    <x v="2"/>
    <n v="1208"/>
    <s v="Chamki"/>
    <x v="63"/>
    <n v="12032"/>
    <n v="12896"/>
    <n v="1.9926380177123235"/>
    <n v="11792.245793708853"/>
    <n v="117922.45793708853"/>
    <m/>
  </r>
  <r>
    <d v="2025-12-09T00:00:00"/>
    <x v="2"/>
    <n v="1209"/>
    <s v="Chamki"/>
    <x v="64"/>
    <n v="13850"/>
    <n v="14782"/>
    <n v="2.4055944794656909"/>
    <n v="13516.825164594002"/>
    <n v="135168.25164594001"/>
    <m/>
  </r>
  <r>
    <d v="2025-12-09T00:00:00"/>
    <x v="7"/>
    <n v="1210"/>
    <s v="Chamki"/>
    <x v="65"/>
    <n v="34122"/>
    <n v="18749"/>
    <n v="1.1572014476905821"/>
    <n v="17144.294074615947"/>
    <n v="171442.94074615947"/>
    <m/>
  </r>
  <r>
    <d v="2025-12-09T00:00:00"/>
    <x v="7"/>
    <n v="1211"/>
    <s v="Chamki"/>
    <x v="65"/>
    <n v="34122"/>
    <n v="18135"/>
    <n v="1.1572014476905821"/>
    <n v="16582.845647403075"/>
    <n v="165828.45647403074"/>
    <m/>
  </r>
  <r>
    <d v="2025-12-09T00:00:00"/>
    <x v="0"/>
    <n v="1212"/>
    <s v="Chamki"/>
    <x v="51"/>
    <n v="54197"/>
    <n v="10016"/>
    <n v="0.37091242859318641"/>
    <n v="9158.7417702999282"/>
    <n v="91587.417702999286"/>
    <m/>
  </r>
  <r>
    <d v="2025-12-09T00:00:00"/>
    <x v="0"/>
    <n v="1213"/>
    <s v="Chamki"/>
    <x v="53"/>
    <n v="15040"/>
    <n v="2759"/>
    <n v="2.8681380254945452"/>
    <n v="2522.8602779809803"/>
    <n v="25228.602779809804"/>
    <m/>
  </r>
  <r>
    <d v="2025-12-09T00:00:00"/>
    <x v="0"/>
    <n v="1214"/>
    <s v="Chamki"/>
    <x v="66"/>
    <n v="10040"/>
    <n v="5797"/>
    <n v="2.78461865777561"/>
    <n v="5300.8412582297005"/>
    <n v="53008.412582297009"/>
    <m/>
  </r>
  <r>
    <d v="2025-12-09T00:00:00"/>
    <x v="0"/>
    <n v="1215"/>
    <s v="Chamki"/>
    <x v="66"/>
    <n v="10040"/>
    <n v="4877"/>
    <n v="2.78461865777561"/>
    <n v="4459.583028529627"/>
    <n v="44595.830285296266"/>
    <m/>
  </r>
  <r>
    <d v="2025-12-09T00:00:00"/>
    <x v="0"/>
    <n v="1216"/>
    <s v="Chamki"/>
    <x v="28"/>
    <n v="38741"/>
    <n v="8497"/>
    <n v="18.210231785764165"/>
    <n v="7769.7512801755674"/>
    <n v="77697.512801755671"/>
    <m/>
  </r>
  <r>
    <d v="2025-12-09T00:00:00"/>
    <x v="2"/>
    <n v="1217"/>
    <s v="Chamki"/>
    <x v="67"/>
    <n v="11492"/>
    <n v="12289"/>
    <n v="2.2172098474534323"/>
    <n v="11237.198244330652"/>
    <n v="112371.98244330651"/>
    <m/>
  </r>
  <r>
    <d v="2025-12-10T00:00:00"/>
    <x v="16"/>
    <n v="1218"/>
    <s v="Silky"/>
    <x v="68"/>
    <n v="46746"/>
    <n v="49567"/>
    <n v="3.0406538584479392"/>
    <n v="45324.615947329927"/>
    <n v="589220.007315289"/>
    <m/>
  </r>
  <r>
    <d v="2025-12-11T00:00:00"/>
    <x v="16"/>
    <n v="1219"/>
    <s v="Silky"/>
    <x v="69"/>
    <n v="38879"/>
    <n v="40771"/>
    <n v="4.1090158118731779"/>
    <n v="37281.455742501836"/>
    <n v="484658.92465252389"/>
    <m/>
  </r>
  <r>
    <d v="2025-12-11T00:00:00"/>
    <x v="1"/>
    <n v="1220"/>
    <s v="Silky"/>
    <x v="70"/>
    <n v="17879"/>
    <n v="18944"/>
    <n v="3.1120071431981984"/>
    <n v="17322.604242867594"/>
    <n v="225193.85515727871"/>
    <m/>
  </r>
  <r>
    <d v="2025-12-11T00:00:00"/>
    <x v="1"/>
    <n v="1221"/>
    <s v="Silky"/>
    <x v="71"/>
    <n v="12958"/>
    <n v="13748"/>
    <n v="2.9840710966147554"/>
    <n v="12571.32406730066"/>
    <n v="163427.21287490858"/>
    <m/>
  </r>
  <r>
    <d v="2025-12-11T00:00:00"/>
    <x v="1"/>
    <n v="1222"/>
    <s v="Silky"/>
    <x v="72"/>
    <n v="18112"/>
    <n v="19394"/>
    <n v="2.0865213862343239"/>
    <n v="17734.08924652524"/>
    <n v="230543.16020482813"/>
    <m/>
  </r>
  <r>
    <d v="2025-12-11T00:00:00"/>
    <x v="11"/>
    <n v="1223"/>
    <s v="Silky"/>
    <x v="31"/>
    <n v="12000"/>
    <n v="3560"/>
    <n v="4.3752867744535422"/>
    <n v="3255.3035844915876"/>
    <n v="42318.946598390641"/>
    <m/>
  </r>
  <r>
    <d v="2025-12-11T00:00:00"/>
    <x v="1"/>
    <n v="1224"/>
    <s v="Silky"/>
    <x v="40"/>
    <n v="20458"/>
    <n v="2383"/>
    <n v="3.9550976135880944"/>
    <n v="2179.0416971470377"/>
    <n v="28327.542062911489"/>
    <m/>
  </r>
  <r>
    <d v="2025-12-11T00:00:00"/>
    <x v="0"/>
    <n v="1225"/>
    <s v="Silky"/>
    <x v="47"/>
    <n v="12000"/>
    <n v="793"/>
    <n v="1.2207388441843392"/>
    <n v="725.12801755669352"/>
    <n v="9426.6642282370158"/>
    <m/>
  </r>
  <r>
    <d v="2025-12-11T00:00:00"/>
    <x v="0"/>
    <n v="1226"/>
    <s v="Silky"/>
    <x v="46"/>
    <n v="12087"/>
    <n v="1119"/>
    <n v="0.69859889853668733"/>
    <n v="1023.226042428676"/>
    <n v="13301.938551572788"/>
    <m/>
  </r>
  <r>
    <d v="2025-12-12T00:00:00"/>
    <x v="22"/>
    <n v="1227"/>
    <s v="Silky"/>
    <x v="73"/>
    <n v="36110"/>
    <n v="7398"/>
    <n v="81.266093990219673"/>
    <n v="6764.813460131676"/>
    <n v="87942.57498171179"/>
    <m/>
  </r>
  <r>
    <d v="2025-12-12T00:00:00"/>
    <x v="18"/>
    <n v="1228"/>
    <s v="Chamki"/>
    <x v="74"/>
    <n v="42406"/>
    <n v="5062"/>
    <n v="2.598806168855532"/>
    <n v="4628.7490855888809"/>
    <n v="46287.490855888813"/>
    <m/>
  </r>
  <r>
    <d v="2025-12-12T00:00:00"/>
    <x v="18"/>
    <n v="1229"/>
    <s v="Chamki"/>
    <x v="74"/>
    <n v="42406"/>
    <n v="40108"/>
    <n v="2.598806168855532"/>
    <n v="36675.201170446235"/>
    <n v="366752.01170446235"/>
    <m/>
  </r>
  <r>
    <d v="2025-12-12T00:00:00"/>
    <x v="19"/>
    <n v="1230"/>
    <s v="Chamki"/>
    <x v="75"/>
    <n v="14691"/>
    <n v="15699"/>
    <n v="2.2847991223445661"/>
    <n v="14355.340160936359"/>
    <n v="143553.40160936359"/>
    <m/>
  </r>
  <r>
    <d v="2025-12-12T00:00:00"/>
    <x v="5"/>
    <n v="1231"/>
    <s v="Chamki"/>
    <x v="76"/>
    <n v="50443"/>
    <n v="11875"/>
    <n v="78.473461053137953"/>
    <n v="10858.632040965618"/>
    <n v="108586.32040965618"/>
    <m/>
  </r>
  <r>
    <d v="2025-12-12T00:00:00"/>
    <x v="20"/>
    <n v="1232"/>
    <s v="katan"/>
    <x v="77"/>
    <n v="49995"/>
    <n v="21629"/>
    <n v="60.440447848735126"/>
    <n v="19777.798098024872"/>
    <e v="#N/A"/>
    <m/>
  </r>
  <r>
    <d v="2025-12-12T00:00:00"/>
    <x v="20"/>
    <n v="1233"/>
    <s v="katan"/>
    <x v="77"/>
    <n v="49995"/>
    <n v="19595"/>
    <n v="60.440447848735126"/>
    <m/>
    <m/>
    <m/>
  </r>
  <r>
    <d v="2025-12-12T00:00:00"/>
    <x v="5"/>
    <n v="1234"/>
    <s v="Chamki"/>
    <x v="76"/>
    <n v="50443"/>
    <n v="28261"/>
    <n v="78.473461053137953"/>
    <m/>
    <m/>
    <m/>
  </r>
  <r>
    <d v="2025-12-12T00:00:00"/>
    <x v="0"/>
    <n v="1235"/>
    <s v="Chamki"/>
    <x v="28"/>
    <m/>
    <n v="2649"/>
    <n v="18.21023178576416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4D32CB-E765-4B1C-8CB9-BD089352B637}"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7:W75" firstHeaderRow="0" firstDataRow="1" firstDataCol="1"/>
  <pivotFields count="4">
    <pivotField axis="axisRow" showAll="0" includeNewItemsInFilter="1">
      <items count="19">
        <item x="0"/>
        <item x="1"/>
        <item x="2"/>
        <item x="3"/>
        <item x="4"/>
        <item x="5"/>
        <item x="6"/>
        <item x="7"/>
        <item x="8"/>
        <item x="9"/>
        <item x="10"/>
        <item x="11"/>
        <item x="12"/>
        <item x="13"/>
        <item x="14"/>
        <item x="15"/>
        <item m="1" x="17"/>
        <item x="16"/>
        <item t="default"/>
      </items>
    </pivotField>
    <pivotField dataField="1" showAll="0"/>
    <pivotField showAll="0"/>
    <pivotField dataField="1" showAll="0"/>
  </pivotFields>
  <rowFields count="1">
    <field x="0"/>
  </rowFields>
  <rowItems count="18">
    <i>
      <x/>
    </i>
    <i>
      <x v="1"/>
    </i>
    <i>
      <x v="2"/>
    </i>
    <i>
      <x v="3"/>
    </i>
    <i>
      <x v="4"/>
    </i>
    <i>
      <x v="5"/>
    </i>
    <i>
      <x v="6"/>
    </i>
    <i>
      <x v="7"/>
    </i>
    <i>
      <x v="8"/>
    </i>
    <i>
      <x v="9"/>
    </i>
    <i>
      <x v="10"/>
    </i>
    <i>
      <x v="11"/>
    </i>
    <i>
      <x v="12"/>
    </i>
    <i>
      <x v="13"/>
    </i>
    <i>
      <x v="14"/>
    </i>
    <i>
      <x v="15"/>
    </i>
    <i>
      <x v="17"/>
    </i>
    <i t="grand">
      <x/>
    </i>
  </rowItems>
  <colFields count="1">
    <field x="-2"/>
  </colFields>
  <colItems count="2">
    <i>
      <x/>
    </i>
    <i i="1">
      <x v="1"/>
    </i>
  </colItems>
  <dataFields count="2">
    <dataField name="Sum of Tiyaar" fld="1" baseField="0" baseItem="0"/>
    <dataField name="Sum of Total" fld="3" baseField="0" baseItem="0"/>
  </dataFields>
  <formats count="4">
    <format dxfId="131">
      <pivotArea field="0" grandRow="1" outline="0" collapsedLevelsAreSubtotals="1" axis="axisRow" fieldPosition="0">
        <references count="1">
          <reference field="4294967294" count="1" selected="0">
            <x v="1"/>
          </reference>
        </references>
      </pivotArea>
    </format>
    <format dxfId="130">
      <pivotArea field="0" grandRow="1" outline="0" collapsedLevelsAreSubtotals="1" axis="axisRow" fieldPosition="0">
        <references count="1">
          <reference field="4294967294" count="1" selected="0">
            <x v="0"/>
          </reference>
        </references>
      </pivotArea>
    </format>
    <format dxfId="129">
      <pivotArea collapsedLevelsAreSubtotals="1" fieldPosition="0">
        <references count="2">
          <reference field="4294967294" count="1" selected="0">
            <x v="1"/>
          </reference>
          <reference field="0" count="0"/>
        </references>
      </pivotArea>
    </format>
    <format dxfId="128">
      <pivotArea collapsedLevelsAreSubtotals="1" fieldPosition="0">
        <references count="2">
          <reference field="4294967294" count="1" selected="0">
            <x v="0"/>
          </reference>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766807-2FAF-42B6-B070-4BF70FC56CD7}"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ari #">
  <location ref="L8:P74" firstHeaderRow="0" firstDataRow="1" firstDataCol="1" rowPageCount="1" colPageCount="1"/>
  <pivotFields count="9">
    <pivotField axis="axisRow" numFmtId="14" showAll="0">
      <items count="130">
        <item m="1" x="113"/>
        <item m="1" x="114"/>
        <item m="1" x="115"/>
        <item m="1" x="116"/>
        <item m="1" x="117"/>
        <item m="1" x="118"/>
        <item m="1" x="119"/>
        <item m="1" x="128"/>
        <item m="1" x="109"/>
        <item m="1" x="120"/>
        <item m="1" x="121"/>
        <item m="1" x="122"/>
        <item m="1" x="123"/>
        <item m="1" x="124"/>
        <item m="1" x="125"/>
        <item m="1" x="126"/>
        <item m="1" x="80"/>
        <item m="1" x="81"/>
        <item m="1" x="127"/>
        <item m="1" x="82"/>
        <item m="1" x="79"/>
        <item m="1" x="83"/>
        <item m="1" x="85"/>
        <item m="1" x="86"/>
        <item m="1" x="87"/>
        <item m="1" x="89"/>
        <item m="1" x="90"/>
        <item m="1" x="91"/>
        <item m="1" x="84"/>
        <item m="1" x="88"/>
        <item m="1" x="92"/>
        <item m="1" x="93"/>
        <item m="1" x="94"/>
        <item m="1" x="95"/>
        <item m="1" x="78"/>
        <item m="1" x="96"/>
        <item m="1" x="110"/>
        <item m="1" x="111"/>
        <item m="1" x="112"/>
        <item m="1" x="97"/>
        <item m="1" x="98"/>
        <item m="1" x="99"/>
        <item m="1" x="100"/>
        <item m="1" x="101"/>
        <item m="1" x="102"/>
        <item m="1" x="103"/>
        <item m="1" x="104"/>
        <item m="1" x="105"/>
        <item m="1" x="106"/>
        <item m="1" x="107"/>
        <item m="1" x="108"/>
        <item m="1" x="49"/>
        <item m="1" x="50"/>
        <item m="1" x="51"/>
        <item m="1" x="52"/>
        <item m="1" x="53"/>
        <item m="1" x="54"/>
        <item m="1" x="55"/>
        <item m="1" x="56"/>
        <item m="1" x="58"/>
        <item m="1" x="59"/>
        <item m="1" x="60"/>
        <item m="1" x="57"/>
        <item m="1" x="61"/>
        <item m="1" x="62"/>
        <item m="1" x="63"/>
        <item m="1" x="64"/>
        <item m="1" x="65"/>
        <item m="1" x="66"/>
        <item m="1" x="67"/>
        <item m="1" x="68"/>
        <item m="1" x="69"/>
        <item m="1" x="70"/>
        <item m="1" x="71"/>
        <item m="1" x="72"/>
        <item m="1" x="73"/>
        <item m="1" x="74"/>
        <item m="1" x="75"/>
        <item m="1" x="76"/>
        <item m="1" x="77"/>
        <item x="0"/>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x="1"/>
        <item x="4"/>
        <item x="2"/>
        <item x="3"/>
        <item x="5"/>
        <item x="6"/>
        <item x="7"/>
        <item x="8"/>
        <item x="9"/>
        <item x="10"/>
        <item x="11"/>
        <item x="12"/>
        <item x="13"/>
        <item x="14"/>
        <item x="15"/>
        <item x="16"/>
        <item x="17"/>
        <item x="18"/>
        <item x="19"/>
        <item x="20"/>
        <item x="21"/>
        <item x="22"/>
        <item t="default"/>
      </items>
    </pivotField>
    <pivotField axis="axisPage" showAll="0">
      <items count="12">
        <item x="1"/>
        <item x="0"/>
        <item m="1" x="8"/>
        <item m="1" x="10"/>
        <item x="2"/>
        <item x="3"/>
        <item x="4"/>
        <item m="1" x="9"/>
        <item x="5"/>
        <item x="6"/>
        <item x="7"/>
        <item t="default"/>
      </items>
    </pivotField>
    <pivotField axis="axisRow" showAll="0">
      <items count="75">
        <item m="1" x="64"/>
        <item m="1" x="48"/>
        <item m="1" x="60"/>
        <item m="1" x="30"/>
        <item m="1" x="65"/>
        <item m="1" x="66"/>
        <item m="1" x="61"/>
        <item m="1" x="62"/>
        <item m="1" x="63"/>
        <item m="1" x="41"/>
        <item m="1" x="67"/>
        <item m="1" x="68"/>
        <item m="1" x="69"/>
        <item m="1" x="70"/>
        <item m="1" x="71"/>
        <item m="1" x="72"/>
        <item m="1" x="37"/>
        <item m="1" x="38"/>
        <item m="1" x="73"/>
        <item m="1" x="39"/>
        <item x="0"/>
        <item m="1" x="40"/>
        <item m="1" x="42"/>
        <item m="1" x="43"/>
        <item m="1" x="44"/>
        <item m="1" x="45"/>
        <item m="1" x="46"/>
        <item m="1" x="47"/>
        <item m="1" x="49"/>
        <item m="1" x="50"/>
        <item m="1" x="32"/>
        <item m="1" x="51"/>
        <item m="1" x="52"/>
        <item m="1" x="53"/>
        <item m="1" x="36"/>
        <item m="1" x="54"/>
        <item m="1" x="55"/>
        <item m="1" x="34"/>
        <item m="1" x="56"/>
        <item m="1" x="57"/>
        <item m="1" x="58"/>
        <item m="1" x="59"/>
        <item m="1" x="22"/>
        <item m="1" x="23"/>
        <item m="1" x="24"/>
        <item m="1" x="25"/>
        <item m="1" x="26"/>
        <item m="1" x="27"/>
        <item m="1" x="28"/>
        <item m="1" x="29"/>
        <item m="1" x="31"/>
        <item m="1" x="33"/>
        <item m="1" x="35"/>
        <item m="1" x="21"/>
        <item x="1"/>
        <item x="2"/>
        <item x="3"/>
        <item x="4"/>
        <item x="5"/>
        <item x="6"/>
        <item x="7"/>
        <item x="8"/>
        <item x="9"/>
        <item x="10"/>
        <item x="11"/>
        <item x="13"/>
        <item x="12"/>
        <item x="14"/>
        <item x="15"/>
        <item x="16"/>
        <item x="17"/>
        <item x="18"/>
        <item x="19"/>
        <item x="20"/>
        <item t="default"/>
      </items>
    </pivotField>
    <pivotField dataField="1" numFmtId="164" showAll="0"/>
    <pivotField numFmtId="164" showAll="0"/>
    <pivotField numFmtId="164" showAll="0"/>
    <pivotField dataField="1" numFmtId="164" showAll="0"/>
    <pivotField dataField="1" numFmtId="164" showAll="0"/>
    <pivotField dataField="1" numFmtId="164" showAll="0"/>
  </pivotFields>
  <rowFields count="2">
    <field x="0"/>
    <field x="2"/>
  </rowFields>
  <rowItems count="66">
    <i>
      <x v="80"/>
    </i>
    <i r="1">
      <x v="20"/>
    </i>
    <i>
      <x v="107"/>
    </i>
    <i r="1">
      <x v="20"/>
    </i>
    <i>
      <x v="108"/>
    </i>
    <i r="1">
      <x v="54"/>
    </i>
    <i>
      <x v="109"/>
    </i>
    <i r="1">
      <x v="54"/>
    </i>
    <i>
      <x v="110"/>
    </i>
    <i r="1">
      <x v="55"/>
    </i>
    <i>
      <x v="111"/>
    </i>
    <i r="1">
      <x v="55"/>
    </i>
    <i r="1">
      <x v="56"/>
    </i>
    <i r="1">
      <x v="57"/>
    </i>
    <i>
      <x v="112"/>
    </i>
    <i r="1">
      <x v="54"/>
    </i>
    <i r="1">
      <x v="57"/>
    </i>
    <i>
      <x v="113"/>
    </i>
    <i r="1">
      <x v="58"/>
    </i>
    <i r="1">
      <x v="59"/>
    </i>
    <i>
      <x v="114"/>
    </i>
    <i r="1">
      <x v="60"/>
    </i>
    <i r="1">
      <x v="61"/>
    </i>
    <i>
      <x v="115"/>
    </i>
    <i r="1">
      <x v="54"/>
    </i>
    <i r="1">
      <x v="62"/>
    </i>
    <i>
      <x v="116"/>
    </i>
    <i r="1">
      <x v="63"/>
    </i>
    <i>
      <x v="117"/>
    </i>
    <i r="1">
      <x v="54"/>
    </i>
    <i>
      <x v="118"/>
    </i>
    <i r="1">
      <x v="55"/>
    </i>
    <i>
      <x v="119"/>
    </i>
    <i r="1">
      <x v="54"/>
    </i>
    <i>
      <x v="120"/>
    </i>
    <i r="1">
      <x v="54"/>
    </i>
    <i r="1">
      <x v="64"/>
    </i>
    <i>
      <x v="121"/>
    </i>
    <i r="1">
      <x v="65"/>
    </i>
    <i r="1">
      <x v="66"/>
    </i>
    <i>
      <x v="122"/>
    </i>
    <i r="1">
      <x v="67"/>
    </i>
    <i r="1">
      <x v="70"/>
    </i>
    <i r="1">
      <x v="71"/>
    </i>
    <i>
      <x v="123"/>
    </i>
    <i r="1">
      <x v="54"/>
    </i>
    <i r="1">
      <x v="66"/>
    </i>
    <i r="1">
      <x v="68"/>
    </i>
    <i r="1">
      <x v="69"/>
    </i>
    <i r="1">
      <x v="70"/>
    </i>
    <i r="1">
      <x v="72"/>
    </i>
    <i>
      <x v="124"/>
    </i>
    <i r="1">
      <x v="72"/>
    </i>
    <i r="1">
      <x v="73"/>
    </i>
    <i>
      <x v="125"/>
    </i>
    <i r="1">
      <x v="70"/>
    </i>
    <i>
      <x v="126"/>
    </i>
    <i r="1">
      <x v="54"/>
    </i>
    <i r="1">
      <x v="66"/>
    </i>
    <i r="1">
      <x v="71"/>
    </i>
    <i>
      <x v="127"/>
    </i>
    <i r="1">
      <x v="54"/>
    </i>
    <i>
      <x v="128"/>
    </i>
    <i r="1">
      <x v="54"/>
    </i>
    <i r="1">
      <x v="66"/>
    </i>
    <i t="grand">
      <x/>
    </i>
  </rowItems>
  <colFields count="1">
    <field x="-2"/>
  </colFields>
  <colItems count="4">
    <i>
      <x/>
    </i>
    <i i="1">
      <x v="1"/>
    </i>
    <i i="2">
      <x v="2"/>
    </i>
    <i i="3">
      <x v="3"/>
    </i>
  </colItems>
  <pageFields count="1">
    <pageField fld="1" hier="-1"/>
  </pageFields>
  <dataFields count="4">
    <dataField name="Sum of Weight" fld="3" baseField="0" baseItem="0" numFmtId="164"/>
    <dataField name="Sum of total" fld="6" baseField="0" baseItem="0" numFmtId="164"/>
    <dataField name="Sum of Paid" fld="7" baseField="0" baseItem="0" numFmtId="164"/>
    <dataField name="Sum of balance" fld="8" baseField="0" baseItem="0" numFmtId="164"/>
  </dataFields>
  <formats count="2">
    <format dxfId="105">
      <pivotArea dataOnly="0" labelOnly="1" outline="0" fieldPosition="0">
        <references count="1">
          <reference field="1" count="1">
            <x v="1"/>
          </reference>
        </references>
      </pivotArea>
    </format>
    <format dxfId="104">
      <pivotArea dataOnly="0" labelOnly="1" outline="0" fieldPosition="0">
        <references count="1">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047DD-2C16-4A8B-96A1-89F799ED19DB}"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63:L208" firstHeaderRow="0" firstDataRow="1" firstDataCol="1"/>
  <pivotFields count="7">
    <pivotField numFmtId="14" showAll="0"/>
    <pivotField axis="axisRow" showAll="0">
      <items count="74">
        <item x="13"/>
        <item x="9"/>
        <item x="7"/>
        <item m="1" x="59"/>
        <item m="1" x="63"/>
        <item x="12"/>
        <item x="5"/>
        <item x="25"/>
        <item x="6"/>
        <item x="10"/>
        <item x="8"/>
        <item m="1" x="71"/>
        <item m="1" x="58"/>
        <item x="11"/>
        <item m="1" x="55"/>
        <item m="1" x="69"/>
        <item x="2"/>
        <item x="43"/>
        <item x="1"/>
        <item x="15"/>
        <item x="36"/>
        <item x="27"/>
        <item m="1" x="72"/>
        <item m="1" x="54"/>
        <item x="29"/>
        <item m="1" x="70"/>
        <item m="1" x="62"/>
        <item x="32"/>
        <item m="1" x="64"/>
        <item m="1" x="65"/>
        <item m="1" x="66"/>
        <item m="1" x="67"/>
        <item x="37"/>
        <item m="1" x="68"/>
        <item x="42"/>
        <item x="26"/>
        <item m="1" x="48"/>
        <item x="17"/>
        <item m="1" x="57"/>
        <item m="1" x="51"/>
        <item x="18"/>
        <item x="3"/>
        <item x="31"/>
        <item m="1" x="60"/>
        <item x="22"/>
        <item m="1" x="61"/>
        <item m="1" x="45"/>
        <item x="24"/>
        <item x="14"/>
        <item m="1" x="46"/>
        <item m="1" x="47"/>
        <item m="1" x="49"/>
        <item m="1" x="50"/>
        <item m="1" x="52"/>
        <item x="19"/>
        <item x="20"/>
        <item m="1" x="53"/>
        <item m="1" x="56"/>
        <item x="4"/>
        <item x="23"/>
        <item x="0"/>
        <item x="16"/>
        <item x="21"/>
        <item x="28"/>
        <item m="1" x="44"/>
        <item x="33"/>
        <item x="34"/>
        <item x="35"/>
        <item x="38"/>
        <item x="30"/>
        <item x="39"/>
        <item x="40"/>
        <item x="41"/>
        <item t="default"/>
      </items>
    </pivotField>
    <pivotField dataField="1" showAll="0"/>
    <pivotField dataField="1" showAll="0"/>
    <pivotField showAll="0"/>
    <pivotField showAll="0"/>
    <pivotField showAll="0"/>
  </pivotFields>
  <rowFields count="1">
    <field x="1"/>
  </rowFields>
  <rowItems count="45">
    <i>
      <x/>
    </i>
    <i>
      <x v="1"/>
    </i>
    <i>
      <x v="2"/>
    </i>
    <i>
      <x v="5"/>
    </i>
    <i>
      <x v="6"/>
    </i>
    <i>
      <x v="7"/>
    </i>
    <i>
      <x v="8"/>
    </i>
    <i>
      <x v="9"/>
    </i>
    <i>
      <x v="10"/>
    </i>
    <i>
      <x v="13"/>
    </i>
    <i>
      <x v="16"/>
    </i>
    <i>
      <x v="17"/>
    </i>
    <i>
      <x v="18"/>
    </i>
    <i>
      <x v="19"/>
    </i>
    <i>
      <x v="20"/>
    </i>
    <i>
      <x v="21"/>
    </i>
    <i>
      <x v="24"/>
    </i>
    <i>
      <x v="27"/>
    </i>
    <i>
      <x v="32"/>
    </i>
    <i>
      <x v="34"/>
    </i>
    <i>
      <x v="35"/>
    </i>
    <i>
      <x v="37"/>
    </i>
    <i>
      <x v="40"/>
    </i>
    <i>
      <x v="41"/>
    </i>
    <i>
      <x v="42"/>
    </i>
    <i>
      <x v="44"/>
    </i>
    <i>
      <x v="47"/>
    </i>
    <i>
      <x v="48"/>
    </i>
    <i>
      <x v="54"/>
    </i>
    <i>
      <x v="55"/>
    </i>
    <i>
      <x v="58"/>
    </i>
    <i>
      <x v="59"/>
    </i>
    <i>
      <x v="60"/>
    </i>
    <i>
      <x v="61"/>
    </i>
    <i>
      <x v="62"/>
    </i>
    <i>
      <x v="63"/>
    </i>
    <i>
      <x v="65"/>
    </i>
    <i>
      <x v="66"/>
    </i>
    <i>
      <x v="67"/>
    </i>
    <i>
      <x v="68"/>
    </i>
    <i>
      <x v="69"/>
    </i>
    <i>
      <x v="70"/>
    </i>
    <i>
      <x v="71"/>
    </i>
    <i>
      <x v="72"/>
    </i>
    <i t="grand">
      <x/>
    </i>
  </rowItems>
  <colFields count="1">
    <field x="-2"/>
  </colFields>
  <colItems count="2">
    <i>
      <x/>
    </i>
    <i i="1">
      <x v="1"/>
    </i>
  </colItems>
  <dataFields count="2">
    <dataField name="Sum of Credit" fld="3" baseField="0" baseItem="0"/>
    <dataField name="Sum of Debit" fld="2" baseField="0" baseItem="0"/>
  </dataFields>
  <formats count="1">
    <format dxfId="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01352D-875A-40F5-872B-61931E55FFF0}"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M24" firstHeaderRow="0" firstDataRow="1" firstDataCol="1" rowPageCount="1" colPageCount="1"/>
  <pivotFields count="9">
    <pivotField axis="axisRow" showAll="0">
      <items count="49">
        <item m="1" x="43"/>
        <item m="1" x="44"/>
        <item m="1" x="45"/>
        <item m="1" x="46"/>
        <item m="1" x="47"/>
        <item m="1" x="42"/>
        <item m="1" x="30"/>
        <item m="1" x="31"/>
        <item m="1" x="35"/>
        <item m="1" x="36"/>
        <item m="1" x="32"/>
        <item m="1" x="37"/>
        <item m="1" x="38"/>
        <item m="1" x="39"/>
        <item m="1" x="40"/>
        <item m="1" x="41"/>
        <item m="1" x="29"/>
        <item m="1" x="33"/>
        <item m="1" x="34"/>
        <item m="1" x="22"/>
        <item m="1" x="23"/>
        <item m="1" x="24"/>
        <item m="1" x="25"/>
        <item m="1" x="26"/>
        <item m="1" x="27"/>
        <item m="1" x="28"/>
        <item x="0"/>
        <item m="1" x="14"/>
        <item m="1" x="15"/>
        <item m="1" x="16"/>
        <item m="1" x="17"/>
        <item m="1" x="18"/>
        <item m="1" x="19"/>
        <item m="1" x="20"/>
        <item m="1" x="21"/>
        <item x="1"/>
        <item x="2"/>
        <item x="3"/>
        <item x="4"/>
        <item x="5"/>
        <item x="6"/>
        <item x="7"/>
        <item x="9"/>
        <item x="10"/>
        <item x="8"/>
        <item x="11"/>
        <item x="12"/>
        <item x="13"/>
        <item t="default"/>
      </items>
    </pivotField>
    <pivotField showAll="0"/>
    <pivotField showAll="0"/>
    <pivotField showAll="0"/>
    <pivotField dataField="1" showAll="0"/>
    <pivotField axis="axisPage" showAll="0">
      <items count="8">
        <item x="0"/>
        <item m="1" x="4"/>
        <item m="1" x="6"/>
        <item m="1" x="5"/>
        <item x="1"/>
        <item x="2"/>
        <item x="3"/>
        <item t="default"/>
      </items>
    </pivotField>
    <pivotField showAll="0"/>
    <pivotField dataField="1" showAll="0"/>
    <pivotField showAll="0"/>
  </pivotFields>
  <rowFields count="1">
    <field x="0"/>
  </rowFields>
  <rowItems count="15">
    <i>
      <x v="26"/>
    </i>
    <i>
      <x v="35"/>
    </i>
    <i>
      <x v="36"/>
    </i>
    <i>
      <x v="37"/>
    </i>
    <i>
      <x v="38"/>
    </i>
    <i>
      <x v="39"/>
    </i>
    <i>
      <x v="40"/>
    </i>
    <i>
      <x v="41"/>
    </i>
    <i>
      <x v="42"/>
    </i>
    <i>
      <x v="43"/>
    </i>
    <i>
      <x v="44"/>
    </i>
    <i>
      <x v="45"/>
    </i>
    <i>
      <x v="46"/>
    </i>
    <i>
      <x v="47"/>
    </i>
    <i t="grand">
      <x/>
    </i>
  </rowItems>
  <colFields count="1">
    <field x="-2"/>
  </colFields>
  <colItems count="2">
    <i>
      <x/>
    </i>
    <i i="1">
      <x v="1"/>
    </i>
  </colItems>
  <pageFields count="1">
    <pageField fld="5" hier="-1"/>
  </pageFields>
  <dataFields count="2">
    <dataField name="Sum of Price" fld="4" baseField="0" baseItem="0"/>
    <dataField name="Sum of Bala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2051E1-B88F-4951-8A35-C5B5AE69E8EC}"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M11" firstHeaderRow="0" firstDataRow="1" firstDataCol="1"/>
  <pivotFields count="8">
    <pivotField numFmtId="14" showAll="0"/>
    <pivotField axis="axisRow" showAll="0">
      <items count="9">
        <item m="1" x="7"/>
        <item x="5"/>
        <item x="1"/>
        <item m="1" x="6"/>
        <item x="0"/>
        <item x="2"/>
        <item x="3"/>
        <item x="4"/>
        <item t="default"/>
      </items>
    </pivotField>
    <pivotField showAll="0"/>
    <pivotField showAll="0"/>
    <pivotField showAll="0"/>
    <pivotField dataField="1" showAll="0"/>
    <pivotField dataField="1" showAll="0"/>
    <pivotField dataField="1" showAll="0"/>
  </pivotFields>
  <rowFields count="1">
    <field x="1"/>
  </rowFields>
  <rowItems count="7">
    <i>
      <x v="1"/>
    </i>
    <i>
      <x v="2"/>
    </i>
    <i>
      <x v="4"/>
    </i>
    <i>
      <x v="5"/>
    </i>
    <i>
      <x v="6"/>
    </i>
    <i>
      <x v="7"/>
    </i>
    <i t="grand">
      <x/>
    </i>
  </rowItems>
  <colFields count="1">
    <field x="-2"/>
  </colFields>
  <colItems count="3">
    <i>
      <x/>
    </i>
    <i i="1">
      <x v="1"/>
    </i>
    <i i="2">
      <x v="2"/>
    </i>
  </colItems>
  <dataFields count="3">
    <dataField name="Sum of Price" fld="5" baseField="0" baseItem="0"/>
    <dataField name="Sum of Paid" fld="6" baseField="0" baseItem="0"/>
    <dataField name="Sum of Bala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1D3480-4DC4-4678-B47A-3C0EAA1BC14F}"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ment number">
  <location ref="A3:C82" firstHeaderRow="0" firstDataRow="1" firstDataCol="1" rowPageCount="1" colPageCount="1"/>
  <pivotFields count="14">
    <pivotField showAll="0"/>
    <pivotField axis="axisPage" multipleItemSelectionAllowed="1" showAll="0">
      <items count="32">
        <item m="1" x="28"/>
        <item x="2"/>
        <item x="0"/>
        <item x="1"/>
        <item m="1" x="30"/>
        <item m="1" x="26"/>
        <item x="6"/>
        <item m="1" x="29"/>
        <item x="3"/>
        <item x="4"/>
        <item m="1" x="27"/>
        <item m="1" x="25"/>
        <item m="1" x="24"/>
        <item x="5"/>
        <item x="10"/>
        <item x="8"/>
        <item x="9"/>
        <item x="7"/>
        <item x="11"/>
        <item x="12"/>
        <item x="13"/>
        <item x="14"/>
        <item x="15"/>
        <item x="16"/>
        <item x="17"/>
        <item x="18"/>
        <item x="19"/>
        <item x="20"/>
        <item x="21"/>
        <item x="22"/>
        <item x="23"/>
        <item t="default"/>
      </items>
    </pivotField>
    <pivotField showAll="0"/>
    <pivotField showAll="0"/>
    <pivotField axis="axisRow" showAll="0">
      <items count="323">
        <item m="1" x="305"/>
        <item m="1" x="306"/>
        <item m="1" x="304"/>
        <item m="1" x="303"/>
        <item m="1" x="307"/>
        <item m="1" x="309"/>
        <item m="1" x="308"/>
        <item m="1" x="310"/>
        <item m="1" x="311"/>
        <item m="1" x="312"/>
        <item m="1" x="313"/>
        <item m="1" x="314"/>
        <item m="1" x="315"/>
        <item m="1" x="316"/>
        <item m="1" x="241"/>
        <item m="1" x="263"/>
        <item m="1" x="317"/>
        <item m="1" x="318"/>
        <item m="1" x="319"/>
        <item m="1" x="271"/>
        <item m="1" x="270"/>
        <item m="1" x="320"/>
        <item m="1" x="321"/>
        <item m="1" x="280"/>
        <item m="1" x="272"/>
        <item m="1" x="273"/>
        <item m="1" x="274"/>
        <item m="1" x="275"/>
        <item m="1" x="276"/>
        <item m="1" x="277"/>
        <item m="1" x="278"/>
        <item m="1" x="279"/>
        <item m="1" x="281"/>
        <item m="1" x="301"/>
        <item m="1" x="282"/>
        <item m="1" x="302"/>
        <item m="1" x="283"/>
        <item m="1" x="284"/>
        <item m="1" x="285"/>
        <item m="1" x="286"/>
        <item m="1" x="287"/>
        <item m="1" x="217"/>
        <item m="1" x="288"/>
        <item m="1" x="289"/>
        <item m="1" x="290"/>
        <item m="1" x="291"/>
        <item m="1" x="292"/>
        <item m="1" x="293"/>
        <item m="1" x="294"/>
        <item m="1" x="295"/>
        <item m="1" x="296"/>
        <item m="1" x="297"/>
        <item m="1" x="298"/>
        <item m="1" x="299"/>
        <item m="1" x="300"/>
        <item x="0"/>
        <item m="1" x="216"/>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4"/>
        <item m="1" x="265"/>
        <item m="1" x="266"/>
        <item m="1" x="267"/>
        <item m="1" x="268"/>
        <item m="1" x="269"/>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215"/>
        <item m="1" x="196"/>
        <item m="1" x="197"/>
        <item m="1" x="198"/>
        <item m="1" x="199"/>
        <item m="1" x="200"/>
        <item m="1" x="201"/>
        <item m="1" x="202"/>
        <item m="1" x="203"/>
        <item m="1" x="204"/>
        <item m="1" x="205"/>
        <item m="1" x="206"/>
        <item m="1" x="207"/>
        <item m="1" x="208"/>
        <item m="1" x="209"/>
        <item m="1" x="210"/>
        <item m="1" x="211"/>
        <item m="1" x="212"/>
        <item m="1" x="213"/>
        <item m="1" x="214"/>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x="11"/>
        <item m="1" x="133"/>
        <item x="1"/>
        <item x="2"/>
        <item x="3"/>
        <item x="4"/>
        <item x="5"/>
        <item x="6"/>
        <item x="7"/>
        <item x="8"/>
        <item x="9"/>
        <item x="10"/>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dataField="1" showAll="0"/>
    <pivotField dataField="1" showAll="0"/>
    <pivotField numFmtId="2" showAll="0"/>
    <pivotField numFmtId="43"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79">
    <i>
      <x v="55"/>
    </i>
    <i>
      <x v="244"/>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t="grand">
      <x/>
    </i>
  </rowItems>
  <colFields count="1">
    <field x="-2"/>
  </colFields>
  <colItems count="2">
    <i>
      <x/>
    </i>
    <i i="1">
      <x v="1"/>
    </i>
  </colItems>
  <pageFields count="1">
    <pageField fld="1" hier="-1"/>
  </pageFields>
  <dataFields count="2">
    <dataField name="Max of Kora/metre" fld="5" subtotal="max" baseField="4" baseItem="0"/>
    <dataField name="Sum of Tiyaar/gaz" fld="6" baseField="0" baseItem="0"/>
  </dataFields>
  <formats count="9">
    <format dxfId="49">
      <pivotArea type="all" dataOnly="0" outline="0" fieldPosition="0"/>
    </format>
    <format dxfId="48">
      <pivotArea outline="0" collapsedLevelsAreSubtotals="1" fieldPosition="0"/>
    </format>
    <format dxfId="47">
      <pivotArea field="4" type="button" dataOnly="0" labelOnly="1" outline="0" axis="axisRow" fieldPosition="0"/>
    </format>
    <format dxfId="46">
      <pivotArea dataOnly="0" labelOnly="1" fieldPosition="0">
        <references count="1">
          <reference field="4" count="0"/>
        </references>
      </pivotArea>
    </format>
    <format dxfId="45">
      <pivotArea dataOnly="0" labelOnly="1" grandRow="1" outline="0" fieldPosition="0"/>
    </format>
    <format dxfId="44">
      <pivotArea dataOnly="0" labelOnly="1" outline="0" fieldPosition="0">
        <references count="1">
          <reference field="4294967294" count="2">
            <x v="0"/>
            <x v="1"/>
          </reference>
        </references>
      </pivotArea>
    </format>
    <format dxfId="43">
      <pivotArea grandRow="1" outline="0" collapsedLevelsAreSubtotals="1" fieldPosition="0"/>
    </format>
    <format dxfId="42">
      <pivotArea field="4" type="button" dataOnly="0" labelOnly="1" outline="0" axis="axisRow" fieldPosition="0"/>
    </format>
    <format dxfId="4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Number" xr10:uid="{C8A0327E-E9EF-480B-A686-7D81EA729A7A}" sourceName="Shipment Number">
  <pivotTables>
    <pivotTable tabId="2" name="PivotTable1"/>
  </pivotTables>
  <data>
    <tabular pivotCacheId="1341418871">
      <items count="322">
        <i x="50" s="1"/>
        <i x="29" s="1"/>
        <i x="62" s="1"/>
        <i x="22" s="1"/>
        <i x="2" s="1"/>
        <i x="46" s="1"/>
        <i x="11" s="1"/>
        <i x="8" s="1"/>
        <i x="21" s="1"/>
        <i x="4" s="1"/>
        <i x="1" s="1"/>
        <i x="19" s="1"/>
        <i x="12" s="1"/>
        <i x="25" s="1"/>
        <i x="43" s="1"/>
        <i x="17" s="1"/>
        <i x="31" s="1"/>
        <i x="23" s="1"/>
        <i x="20" s="1"/>
        <i x="33" s="1"/>
        <i x="34" s="1"/>
        <i x="5" s="1"/>
        <i x="7" s="1"/>
        <i x="41" s="1"/>
        <i x="14" s="1"/>
        <i x="77" s="1"/>
        <i x="67" s="1"/>
        <i x="55" s="1"/>
        <i x="27" s="1"/>
        <i x="10" s="1"/>
        <i x="44" s="1"/>
        <i x="64" s="1"/>
        <i x="56" s="1"/>
        <i x="52" s="1"/>
        <i x="16" s="1"/>
        <i x="39" s="1"/>
        <i x="38" s="1"/>
        <i x="54" s="1"/>
        <i x="40" s="1"/>
        <i x="13" s="1"/>
        <i x="9" s="1"/>
        <i x="42" s="1"/>
        <i x="6" s="1"/>
        <i x="47" s="1"/>
        <i x="48" s="1"/>
        <i x="53" s="1"/>
        <i x="32" s="1"/>
        <i x="26" s="1"/>
        <i x="61" s="1"/>
        <i x="60" s="1"/>
        <i x="65" s="1"/>
        <i x="15" s="1"/>
        <i x="63" s="1"/>
        <i x="49" s="1"/>
        <i x="28" s="1"/>
        <i x="30" s="1"/>
        <i x="35" s="1"/>
        <i x="36" s="1"/>
        <i x="45" s="1"/>
        <i x="37" s="1"/>
        <i x="57" s="1"/>
        <i x="68" s="1"/>
        <i x="58" s="1"/>
        <i x="75" s="1"/>
        <i x="72" s="1"/>
        <i x="69" s="1"/>
        <i x="76" s="1"/>
        <i x="51" s="1"/>
        <i x="59" s="1"/>
        <i x="73" s="1"/>
        <i x="70" s="1"/>
        <i x="74" s="1"/>
        <i x="66" s="1"/>
        <i x="18" s="1"/>
        <i x="24" s="1"/>
        <i x="3" s="1"/>
        <i x="71" s="1"/>
        <i x="276" s="1" nd="1"/>
        <i x="305" s="1" nd="1"/>
        <i x="306" s="1" nd="1"/>
        <i x="314" s="1" nd="1"/>
        <i x="304" s="1" nd="1"/>
        <i x="303" s="1" nd="1"/>
        <i x="307" s="1" nd="1"/>
        <i x="318" s="1" nd="1"/>
        <i x="310" s="1" nd="1"/>
        <i x="311" s="1" nd="1"/>
        <i x="308" s="1" nd="1"/>
        <i x="309" s="1" nd="1"/>
        <i x="319" s="1" nd="1"/>
        <i x="312" s="1" nd="1"/>
        <i x="313" s="1" nd="1"/>
        <i x="316" s="1" nd="1"/>
        <i x="317" s="1" nd="1"/>
        <i x="315" s="1" nd="1"/>
        <i x="271" s="1" nd="1"/>
        <i x="321" s="1" nd="1"/>
        <i x="270" s="1" nd="1"/>
        <i x="320" s="1" nd="1"/>
        <i x="273" s="1" nd="1"/>
        <i x="234" s="1" nd="1"/>
        <i x="272" s="1" nd="1"/>
        <i x="274" s="1" nd="1"/>
        <i x="280" s="1" nd="1"/>
        <i x="275" s="1" nd="1"/>
        <i x="277" s="1" nd="1"/>
        <i x="293" s="1" nd="1"/>
        <i x="216" s="1" nd="1"/>
        <i x="281" s="1" nd="1"/>
        <i x="221" s="1" nd="1"/>
        <i x="287" s="1" nd="1"/>
        <i x="282" s="1" nd="1"/>
        <i x="285" s="1" nd="1"/>
        <i x="290" s="1" nd="1"/>
        <i x="301" s="1" nd="1"/>
        <i x="283" s="1" nd="1"/>
        <i x="295" s="1" nd="1"/>
        <i x="298" s="1" nd="1"/>
        <i x="289" s="1" nd="1"/>
        <i x="278" s="1" nd="1"/>
        <i x="286" s="1" nd="1"/>
        <i x="279" s="1" nd="1"/>
        <i x="284" s="1" nd="1"/>
        <i x="217" s="1" nd="1"/>
        <i x="288" s="1" nd="1"/>
        <i x="294" s="1" nd="1"/>
        <i x="231" s="1" nd="1"/>
        <i x="291" s="1" nd="1"/>
        <i x="296" s="1" nd="1"/>
        <i x="292" s="1" nd="1"/>
        <i x="258" s="1" nd="1"/>
        <i x="297" s="1" nd="1"/>
        <i x="299" s="1" nd="1"/>
        <i x="219" s="1" nd="1"/>
        <i x="226" s="1" nd="1"/>
        <i x="300" s="1" nd="1"/>
        <i x="223" s="1" nd="1"/>
        <i x="224" s="1" nd="1"/>
        <i x="218" s="1" nd="1"/>
        <i x="222" s="1" nd="1"/>
        <i x="109" s="1" nd="1"/>
        <i x="220" s="1" nd="1"/>
        <i x="229" s="1" nd="1"/>
        <i x="225" s="1" nd="1"/>
        <i x="227" s="1" nd="1"/>
        <i x="230" s="1" nd="1"/>
        <i x="238" s="1" nd="1"/>
        <i x="228" s="1" nd="1"/>
        <i x="237" s="1" nd="1"/>
        <i x="242" s="1" nd="1"/>
        <i x="236" s="1" nd="1"/>
        <i x="239" s="1" nd="1"/>
        <i x="249" s="1" nd="1"/>
        <i x="235" s="1" nd="1"/>
        <i x="232" s="1" nd="1"/>
        <i x="233" s="1" nd="1"/>
        <i x="248" s="1" nd="1"/>
        <i x="105" s="1" nd="1"/>
        <i x="241" s="1" nd="1"/>
        <i x="252" s="1" nd="1"/>
        <i x="247" s="1" nd="1"/>
        <i x="240" s="1" nd="1"/>
        <i x="264" s="1" nd="1"/>
        <i x="245" s="1" nd="1"/>
        <i x="255" s="1" nd="1"/>
        <i x="253" s="1" nd="1"/>
        <i x="243" s="1" nd="1"/>
        <i x="251" s="1" nd="1"/>
        <i x="250" s="1" nd="1"/>
        <i x="246" s="1" nd="1"/>
        <i x="256" s="1" nd="1"/>
        <i x="254" s="1" nd="1"/>
        <i x="257" s="1" nd="1"/>
        <i x="244" s="1" nd="1"/>
        <i x="185" s="1" nd="1"/>
        <i x="259" s="1" nd="1"/>
        <i x="260" s="1" nd="1"/>
        <i x="143" s="1" nd="1"/>
        <i x="145" s="1" nd="1"/>
        <i x="267" s="1" nd="1"/>
        <i x="139" s="1" nd="1"/>
        <i x="186" s="1" nd="1"/>
        <i x="261" s="1" nd="1"/>
        <i x="262" s="1" nd="1"/>
        <i x="142" s="1" nd="1"/>
        <i x="269" s="1" nd="1"/>
        <i x="141" s="1" nd="1"/>
        <i x="156" s="1" nd="1"/>
        <i x="268" s="1" nd="1"/>
        <i x="263" s="1" nd="1"/>
        <i x="160" s="1" nd="1"/>
        <i x="266" s="1" nd="1"/>
        <i x="265" s="1" nd="1"/>
        <i x="181" s="1" nd="1"/>
        <i x="134" s="1" nd="1"/>
        <i x="146" s="1" nd="1"/>
        <i x="182" s="1" nd="1"/>
        <i x="180" s="1" nd="1"/>
        <i x="138" s="1" nd="1"/>
        <i x="140" s="1" nd="1"/>
        <i x="144" s="1" nd="1"/>
        <i x="135" s="1" nd="1"/>
        <i x="170" s="1" nd="1"/>
        <i x="175" s="1" nd="1"/>
        <i x="136" s="1" nd="1"/>
        <i x="137" s="1" nd="1"/>
        <i x="147" s="1" nd="1"/>
        <i x="150" s="1" nd="1"/>
        <i x="157" s="1" nd="1"/>
        <i x="149" s="1" nd="1"/>
        <i x="152" s="1" nd="1"/>
        <i x="151" s="1" nd="1"/>
        <i x="194" s="1" nd="1"/>
        <i x="148" s="1" nd="1"/>
        <i x="173" s="1" nd="1"/>
        <i x="189" s="1" nd="1"/>
        <i x="153" s="1" nd="1"/>
        <i x="178" s="1" nd="1"/>
        <i x="191" s="1" nd="1"/>
        <i x="162" s="1" nd="1"/>
        <i x="203" s="1" nd="1"/>
        <i x="161" s="1" nd="1"/>
        <i x="158" s="1" nd="1"/>
        <i x="154" s="1" nd="1"/>
        <i x="155" s="1" nd="1"/>
        <i x="174" s="1" nd="1"/>
        <i x="163" s="1" nd="1"/>
        <i x="86" s="1" nd="1"/>
        <i x="164" s="1" nd="1"/>
        <i x="159" s="1" nd="1"/>
        <i x="166" s="1" nd="1"/>
        <i x="167" s="1" nd="1"/>
        <i x="196" s="1" nd="1"/>
        <i x="165" s="1" nd="1"/>
        <i x="183" s="1" nd="1"/>
        <i x="171" s="1" nd="1"/>
        <i x="168" s="1" nd="1"/>
        <i x="172" s="1" nd="1"/>
        <i x="169" s="1" nd="1"/>
        <i x="176" s="1" nd="1"/>
        <i x="195" s="1" nd="1"/>
        <i x="190" s="1" nd="1"/>
        <i x="209" s="1" nd="1"/>
        <i x="177" s="1" nd="1"/>
        <i x="79" s="1" nd="1"/>
        <i x="188" s="1" nd="1"/>
        <i x="179" s="1" nd="1"/>
        <i x="204" s="1" nd="1"/>
        <i x="187" s="1" nd="1"/>
        <i x="202" s="1" nd="1"/>
        <i x="87" s="1" nd="1"/>
        <i x="193" s="1" nd="1"/>
        <i x="192" s="1" nd="1"/>
        <i x="208" s="1" nd="1"/>
        <i x="205" s="1" nd="1"/>
        <i x="98" s="1" nd="1"/>
        <i x="213" s="1" nd="1"/>
        <i x="197" s="1" nd="1"/>
        <i x="206" s="1" nd="1"/>
        <i x="211" s="1" nd="1"/>
        <i x="89" s="1" nd="1"/>
        <i x="115" s="1" nd="1"/>
        <i x="215" s="1" nd="1"/>
        <i x="212" s="1" nd="1"/>
        <i x="80" s="1" nd="1"/>
        <i x="100" s="1" nd="1"/>
        <i x="207" s="1" nd="1"/>
        <i x="82" s="1" nd="1"/>
        <i x="198" s="1" nd="1"/>
        <i x="201" s="1" nd="1"/>
        <i x="97" s="1" nd="1"/>
        <i x="210" s="1" nd="1"/>
        <i x="199" s="1" nd="1"/>
        <i x="200" s="1" nd="1"/>
        <i x="84" s="1" nd="1"/>
        <i x="102" s="1" nd="1"/>
        <i x="103" s="1" nd="1"/>
        <i x="116" s="1" nd="1"/>
        <i x="214" s="1" nd="1"/>
        <i x="78" s="1" nd="1"/>
        <i x="101" s="1" nd="1"/>
        <i x="94" s="1" nd="1"/>
        <i x="81" s="1" nd="1"/>
        <i x="85" s="1" nd="1"/>
        <i x="91" s="1" nd="1"/>
        <i x="83" s="1" nd="1"/>
        <i x="107" s="1" nd="1"/>
        <i x="111" s="1" nd="1"/>
        <i x="112" s="1" nd="1"/>
        <i x="104" s="1" nd="1"/>
        <i x="88" s="1" nd="1"/>
        <i x="90" s="1" nd="1"/>
        <i x="92" s="1" nd="1"/>
        <i x="95" s="1" nd="1"/>
        <i x="108" s="1" nd="1"/>
        <i x="93" s="1" nd="1"/>
        <i x="114" s="1" nd="1"/>
        <i x="129" s="1" nd="1"/>
        <i x="96" s="1" nd="1"/>
        <i x="117" s="1" nd="1"/>
        <i x="113" s="1" nd="1"/>
        <i x="99" s="1" nd="1"/>
        <i x="121" s="1" nd="1"/>
        <i x="106" s="1" nd="1"/>
        <i x="130" s="1" nd="1"/>
        <i x="110" s="1" nd="1"/>
        <i x="133" s="1" nd="1"/>
        <i x="120" s="1" nd="1"/>
        <i x="125" s="1" nd="1"/>
        <i x="122" s="1" nd="1"/>
        <i x="124" s="1" nd="1"/>
        <i x="119" s="1" nd="1"/>
        <i x="118" s="1" nd="1"/>
        <i x="123" s="1" nd="1"/>
        <i x="131" s="1" nd="1"/>
        <i x="127" s="1" nd="1"/>
        <i x="126" s="1" nd="1"/>
        <i x="132" s="1" nd="1"/>
        <i x="128" s="1" nd="1"/>
        <i x="184" s="1" nd="1"/>
        <i x="302"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 xr10:uid="{795E221B-CA14-4E3C-BCC3-ADCBC1244CE9}" sourceName="Party Name">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D6DCB082-70B9-49F4-92EE-90FF7705BF83}" sourceName="Party">
  <extLst>
    <x:ext xmlns:x15="http://schemas.microsoft.com/office/spreadsheetml/2010/11/main" uri="{2F2917AC-EB37-4324-AD4E-5DD8C200BD13}">
      <x15:tableSlicerCache tableId="14"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1" xr10:uid="{E12585E0-B136-443F-AD68-C9C80CA7EB19}" sourceName="Party Name">
  <extLst>
    <x:ext xmlns:x15="http://schemas.microsoft.com/office/spreadsheetml/2010/11/main" uri="{2F2917AC-EB37-4324-AD4E-5DD8C200BD13}">
      <x15:tableSlicerCache tableId="3"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84AC669-07E6-46D1-B04B-5B9A432D9A10}" sourceName="Date">
  <extLst>
    <x:ext xmlns:x15="http://schemas.microsoft.com/office/spreadsheetml/2010/11/main" uri="{2F2917AC-EB37-4324-AD4E-5DD8C200BD13}">
      <x15:tableSlicerCache tableId="1"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2" xr10:uid="{B1CE111B-C03D-455C-802F-5A6E1DBFE0F5}" sourceName="Party Name">
  <extLst>
    <x:ext xmlns:x15="http://schemas.microsoft.com/office/spreadsheetml/2010/11/main" uri="{2F2917AC-EB37-4324-AD4E-5DD8C200BD13}">
      <x15:tableSlicerCache tableId="2" column="8"/>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59685556-BE76-4A00-81B3-5814BB498FE4}" sourceName="Date">
  <extLst>
    <x:ext xmlns:x15="http://schemas.microsoft.com/office/spreadsheetml/2010/11/main" uri="{2F2917AC-EB37-4324-AD4E-5DD8C200BD13}">
      <x15:tableSlicerCache tableId="14"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ADFDF2CD-C831-4FB8-BF02-B2DA1D1400C0}" sourceName="Person">
  <extLst>
    <x:ext xmlns:x15="http://schemas.microsoft.com/office/spreadsheetml/2010/11/main" uri="{2F2917AC-EB37-4324-AD4E-5DD8C200BD13}">
      <x15:tableSlicerCache tableId="16"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xr10:uid="{F2AC5779-5A53-4BA7-BEEF-73B7946A3948}" cache="Slicer_Party_Name" caption="Party Name" columnCount="4" rowHeight="247650"/>
  <slicer name="Date" xr10:uid="{A1A3D396-C797-4750-957E-CF701F9D3C93}" cache="Slicer_Date" caption="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1" xr10:uid="{663D6C72-DC00-4848-8A46-2F05DE4A2577}" cache="Slicer_Party_Name1" caption="Party Nam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xr10:uid="{8CB7DD44-BF59-47B2-AB64-03EC8FC8FD4A}" cache="Slicer_Party" caption="Party" startItem="12" columnCount="3" rowHeight="180000"/>
  <slicer name="Date 1" xr10:uid="{8E7BDD3C-DB8C-4BD4-9ACC-14DA5E7A745C}" cache="Slicer_Date1" caption="Dat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2" xr10:uid="{684571A0-AFE3-49B8-B794-50BABDA24345}" cache="Slicer_Party_Name2" caption="Column1" startItem="3"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F4756620-6DF0-4AD4-88A3-886E9C792FF1}" cache="Slicer_Person" caption="Person"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ment Number" xr10:uid="{07A5CFB3-DECF-470C-B6C0-B5255850F5AA}" cache="Slicer_Shipment_Number" caption="Shipment Number" startItem="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6F66F6-6434-425A-A910-C3CBF3339B20}" name="Table4" displayName="Table4" ref="B1:E18" totalsRowShown="0">
  <autoFilter ref="B1:E18" xr:uid="{726F66F6-6434-425A-A910-C3CBF3339B20}"/>
  <tableColumns count="4">
    <tableColumn id="1" xr3:uid="{7A2445A9-BF1B-49FB-84BB-52F6CB270F38}" name="Party Name" dataDxfId="127">
      <calculatedColumnFormula>B49</calculatedColumnFormula>
    </tableColumn>
    <tableColumn id="2" xr3:uid="{7EDCC2ED-0339-42B3-9633-FFEA7A3DD9F3}" name="Tiyaar" dataDxfId="126">
      <calculatedColumnFormula>SUMIFS(ledger!G:G, ledger!B:B, B2, ledger!E:E, "&lt;&gt;*RD*") / 1.0936</calculatedColumnFormula>
    </tableColumn>
    <tableColumn id="3" xr3:uid="{CC1535DD-3FE7-4F55-8040-E7643388A78E}" name="Rate"/>
    <tableColumn id="4" xr3:uid="{059CB70B-ADAD-4985-84AA-0D530BAC5567}" name="Total" dataDxfId="125">
      <calculatedColumnFormula>(SUMIFS(ledger!G:G, ledger!B:B, B2, ledger!E:E, "&lt;&gt;*RD*",ledger!D:D, "Silky") / 1.0936)*12 + (SUMIFS(ledger!G:G, ledger!B:B, B2, ledger!E:E, "&lt;&gt;*RD*",ledger!D:D, "Chamki") / 1.0936)*10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49E5D32-DF9C-4018-96AB-CA98E118D910}" name="Table21" displayName="Table21" ref="B7:E20" totalsRowShown="0" headerRowDxfId="124" dataDxfId="123">
  <autoFilter ref="B7:E20" xr:uid="{449E5D32-DF9C-4018-96AB-CA98E118D910}"/>
  <tableColumns count="4">
    <tableColumn id="1" xr3:uid="{F663704C-91DD-4BB9-B7EB-EEB0C5EDED6C}" name="Description" dataDxfId="122"/>
    <tableColumn id="2" xr3:uid="{6D94D495-CD0B-4FD3-9771-81D731982A97}" name="Rate" dataDxfId="121" dataCellStyle="Comma"/>
    <tableColumn id="3" xr3:uid="{2D14CEAD-3602-40E7-A488-3584EBC9141E}" name="gazana" dataDxfId="120" dataCellStyle="Comma"/>
    <tableColumn id="4" xr3:uid="{06FEE63C-6480-4079-8426-51BC26B38B34}" name="sum" dataDxfId="119" dataCellStyle="Comma">
      <calculatedColumnFormula>Table21[[#This Row],[gazana]]*Table21[[#This Row],[Rate]]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0D0749A-70DE-4EC8-A4EE-00E713C72289}" name="Table12" displayName="Table12" ref="B3:D14" totalsRowCount="1">
  <autoFilter ref="B3:D13" xr:uid="{40D0749A-70DE-4EC8-A4EE-00E713C72289}"/>
  <tableColumns count="3">
    <tableColumn id="1" xr3:uid="{1EA52ED7-9CB7-4573-9DD3-268050EECEA4}" name="Type"/>
    <tableColumn id="2" xr3:uid="{8DE1A7AC-456D-429D-A522-6C6D0DAD1C74}" name="Amount" totalsRowFunction="custom" dataDxfId="118" totalsRowDxfId="117" dataCellStyle="Comma">
      <totalsRowFormula>SUM(Table12[Amount])</totalsRowFormula>
    </tableColumn>
    <tableColumn id="3" xr3:uid="{12F975D1-A51D-47BD-82DF-F0C35A709016}" name="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9E47AE5-DECF-4AE8-B09E-D2B6BE4574A8}" name="Table20" displayName="Table20" ref="B18:D22" totalsRowShown="0">
  <autoFilter ref="B18:D22" xr:uid="{B9E47AE5-DECF-4AE8-B09E-D2B6BE4574A8}"/>
  <tableColumns count="3">
    <tableColumn id="1" xr3:uid="{A1241CCD-0076-43C0-B909-5B2E7BC5D1EE}" name="Stock"/>
    <tableColumn id="2" xr3:uid="{6CC6073F-DD16-46A3-9F83-C1DB83B8F18B}" name="quantity"/>
    <tableColumn id="3" xr3:uid="{C5BC1FD9-364F-45F2-BB32-96F9E454C99A}" name="Column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36E8F7F-D03F-4198-8335-91A003EA9E45}" name="Table6" displayName="Table6" ref="B2:C5" totalsRowShown="0" headerRowDxfId="116" dataDxfId="115" headerRowCellStyle="Comma" dataCellStyle="Comma">
  <autoFilter ref="B2:C5" xr:uid="{136E8F7F-D03F-4198-8335-91A003EA9E45}"/>
  <tableColumns count="2">
    <tableColumn id="1" xr3:uid="{279FA697-9952-479A-AC05-0D4992B41374}" name="Column1" dataDxfId="114" dataCellStyle="Comma"/>
    <tableColumn id="2" xr3:uid="{8A64998B-65EF-41CD-BCB0-3DDB7B359C54}" name="Column2" dataDxfId="113"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B0C9E74-2F66-4C26-94CA-FD4A0A4B2ACA}" name="Table19" displayName="Table19" ref="B10:C21" totalsRowShown="0">
  <autoFilter ref="B10:C21" xr:uid="{2B0C9E74-2F66-4C26-94CA-FD4A0A4B2ACA}"/>
  <tableColumns count="2">
    <tableColumn id="1" xr3:uid="{4311E5F0-1C85-4B10-9FF6-5ACB13038079}" name="Column1" dataDxfId="112"/>
    <tableColumn id="2" xr3:uid="{51D27FA2-8DDF-4369-BAF7-7D1FE90E16A0}" name="Column2" dataDxfId="11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F58B95-D9E6-473F-8BE5-C4A8DDED103B}" name="Table13" displayName="Table13" ref="B2:F38" totalsRowCount="1">
  <autoFilter ref="B2:F37" xr:uid="{A0F58B95-D9E6-473F-8BE5-C4A8DDED103B}"/>
  <tableColumns count="5">
    <tableColumn id="1" xr3:uid="{8D801E24-A4A4-436D-ACAE-08E5208293FB}" name="Date" dataDxfId="110" totalsRowDxfId="109"/>
    <tableColumn id="2" xr3:uid="{8A25A580-75B6-436A-86F0-A6F6FD45C9B8}" name="Type"/>
    <tableColumn id="3" xr3:uid="{D0F39D34-97FE-4856-BF51-811617A1CC29}" name="Debit" totalsRowFunction="sum">
      <calculatedColumnFormula>SUMIFS(Table14[Debit], Table14[Date], Table13[[#This Row],[Date]], Table14[Party], "Transport")</calculatedColumnFormula>
    </tableColumn>
    <tableColumn id="4" xr3:uid="{920800CF-A78E-443D-8B14-2DF96850B1AA}" name="Credit" totalsRowFunction="sum" dataDxfId="108">
      <calculatedColumnFormula>SUMIFS(Table14[Credit], Table14[Date], Table13[[#This Row],[Date]], Table14[Party], "Transport")</calculatedColumnFormula>
    </tableColumn>
    <tableColumn id="5" xr3:uid="{3EAACA7A-7CB5-4CE5-AAFF-541AAE704336}" name="Diff" totalsRowFunction="custom">
      <totalsRowFormula>Table13[[#Totals],[Debit]]-Table13[[#Totals],[Credit]]</totalsRow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DACEC6-751B-4B1D-817F-5C5BCD38EF6D}" name="Table1" displayName="Table1" ref="A1:K227" totalsRowCount="1" headerRowDxfId="107" dataDxfId="106" headerRowCellStyle="Comma" dataCellStyle="Comma">
  <autoFilter ref="A1:K226" xr:uid="{11DACEC6-751B-4B1D-817F-5C5BCD38EF6D}"/>
  <tableColumns count="11">
    <tableColumn id="1" xr3:uid="{2FCE3FA8-A48C-4685-8919-AE44C6C71FD9}" name="Date" dataDxfId="33" dataCellStyle="Comma"/>
    <tableColumn id="2" xr3:uid="{5780FD5F-0890-44E6-B59C-8E37A559FE36}" name="Party Name" dataDxfId="32" dataCellStyle="Comma"/>
    <tableColumn id="3" xr3:uid="{5B3ECD85-9174-40AC-BFBD-49CAC97A83D3}" name="Bill Number" dataDxfId="31" dataCellStyle="Comma"/>
    <tableColumn id="4" xr3:uid="{11B50761-04B6-4262-AD4D-7182450037D1}" name="Quality" dataDxfId="30" dataCellStyle="Comma"/>
    <tableColumn id="5" xr3:uid="{2C556969-B713-4967-BD24-466AACCBE5F5}" name="Shipment Number" dataDxfId="29" totalsRowDxfId="18" dataCellStyle="Comma"/>
    <tableColumn id="6" xr3:uid="{F4E1FD2B-9017-4DEB-B772-BF447ECE56F7}" name="Kora/metre" dataDxfId="28" totalsRowDxfId="17" dataCellStyle="Comma"/>
    <tableColumn id="7" xr3:uid="{52ACC1DA-7A76-4A90-B809-3A1AE728E7EA}" name="Tiyaar/gaz" dataDxfId="27" totalsRowDxfId="16" dataCellStyle="Comma"/>
    <tableColumn id="8" xr3:uid="{31A0FF5E-56F0-44D1-9865-73256B964660}" name="shortage %" dataDxfId="26" totalsRowDxfId="15" dataCellStyle="Comma">
      <calculatedColumnFormula>_xlfn.XLOOKUP(Table1[[#This Row],[Shipment Number]], 'pivot '!A:A,'pivot '!G:G, "NF")</calculatedColumnFormula>
    </tableColumn>
    <tableColumn id="9" xr3:uid="{F99075E0-AC8E-094D-BB85-272AD2C6C568}" name="tiyar/meters" totalsRowFunction="custom" dataDxfId="25" totalsRowDxfId="14" dataCellStyle="Comma">
      <totalsRowFormula array="1">SUMPRODUCT( SUBTOTAL(109, OFFSET(Table1[tiyar/meters], ROW(Table1[tiyar/meters])-MIN(ROW(Table1[tiyar/meters])), 0, 1)), --(Table1[Bill Number]&lt;&gt;"October Closing CF") )</totalsRowFormula>
    </tableColumn>
    <tableColumn id="10" xr3:uid="{4B2AF87E-7D86-A946-B130-EA2852096C91}" name="billing" totalsRowFunction="custom" dataDxfId="24" totalsRowDxfId="13" dataCellStyle="Comma">
      <totalsRowFormula array="1">SUMPRODUCT( SUBTOTAL(109, OFFSET(Table1[billing], ROW(Table1[billing])-MIN(ROW(Table1[billing])), 0, 1)), --(Table1[Bill Number]&lt;&gt;"October Closing CF") )</totalsRowFormula>
    </tableColumn>
    <tableColumn id="11" xr3:uid="{0D198F0C-D2D3-4F75-9F3B-25A393B5D570}" name="Total Billing" totalsRowFunction="custom" dataDxfId="23" totalsRowDxfId="12" dataCellStyle="Comma">
      <totalsRowFormula>SUMIFS(Table1[billing], Table1[Bill Number], "&lt;&gt;October Closing CF")</totalsRow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E8C957-ABE7-4E4F-8D4E-7D44E26B334F}" name="Table3" displayName="Table3" ref="A1:I54" totalsRowCount="1" headerRowDxfId="103" headerRowBorderDxfId="102" tableBorderDxfId="101">
  <autoFilter ref="A1:I53" xr:uid="{F8E8C957-ABE7-4E4F-8D4E-7D44E26B334F}"/>
  <tableColumns count="9">
    <tableColumn id="1" xr3:uid="{C2E817D6-AB98-4DDD-8890-736B27F261CD}" name="Date" dataDxfId="100" totalsRowDxfId="99"/>
    <tableColumn id="2" xr3:uid="{CFB51890-CCDC-463C-81C9-3F8BD7469CB9}" name="Party Name"/>
    <tableColumn id="3" xr3:uid="{A113D971-1C9D-4733-99C4-BD0CC4333209}" name="Vehicle Number"/>
    <tableColumn id="4" xr3:uid="{49780304-3DD1-4AE9-98EE-2BC7EB8F3B57}" name="Weight" dataDxfId="98" totalsRowDxfId="97" dataCellStyle="Comma"/>
    <tableColumn id="5" xr3:uid="{FCAF1BC6-1D8C-42AD-8BBC-F924BF2DC7FE}" name="Rate" dataDxfId="96" totalsRowDxfId="95" dataCellStyle="Comma"/>
    <tableColumn id="6" xr3:uid="{8C70A624-4134-410C-9C45-9FDEB51D51BF}" name="Rent" dataDxfId="94" totalsRowDxfId="93" dataCellStyle="Comma"/>
    <tableColumn id="7" xr3:uid="{EBCE10AE-9634-4982-9C95-37ABC8A7078C}" name="Total" totalsRowFunction="sum" dataDxfId="92" totalsRowDxfId="91" dataCellStyle="Comma">
      <calculatedColumnFormula>D2*E2</calculatedColumnFormula>
    </tableColumn>
    <tableColumn id="9" xr3:uid="{D4788559-C94A-44D9-B9AE-E72B214355AC}" name="Paid" totalsRowFunction="sum" dataDxfId="90" totalsRowDxfId="89" dataCellStyle="Comma"/>
    <tableColumn id="8" xr3:uid="{E26F5BF0-1875-4FC6-994D-49F202ED562B}" name="balance" totalsRowFunction="sum" dataDxfId="88" totalsRowDxfId="87" dataCellStyle="Comma">
      <calculatedColumnFormula>(D2*E2)-Table3[[#This Row],[Paid]]</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B032221-B416-47A8-9A76-693DE76CFD04}" name="Table14" displayName="Table14" ref="A1:G408" totalsRowCount="1">
  <autoFilter ref="A1:G407" xr:uid="{CB032221-B416-47A8-9A76-693DE76CFD04}"/>
  <tableColumns count="7">
    <tableColumn id="1" xr3:uid="{554B1EED-65B6-4E9A-B646-82727FAC40DE}" name="Date" dataDxfId="22" totalsRowDxfId="3"/>
    <tableColumn id="2" xr3:uid="{32259059-42CF-4947-83DE-115AA430BE2B}" name="Party"/>
    <tableColumn id="3" xr3:uid="{A1320223-D55D-483C-91C3-AB19B95CC9D8}" name="Debit" totalsRowFunction="sum" dataDxfId="21" totalsRowDxfId="2" dataCellStyle="Comma"/>
    <tableColumn id="4" xr3:uid="{E9745767-9FF0-4B1C-9052-FF335D1D7588}" name="Credit" totalsRowFunction="sum" dataDxfId="20" totalsRowDxfId="1" dataCellStyle="Comma"/>
    <tableColumn id="5" xr3:uid="{5C88A48E-2467-4E6D-B626-2442B7FD0BE4}" name="Description"/>
    <tableColumn id="6" xr3:uid="{63CA4666-144E-4BE6-8B7C-7CB992BD3041}" name="Mode" totalsRowFunction="custom" dataDxfId="19" totalsRowDxfId="0">
      <totalsRowFormula>(Table14[[#Totals],[Credit]]-Table14[[#Totals],[Debit]])</totalsRowFormula>
    </tableColumn>
    <tableColumn id="7" xr3:uid="{949C7305-E4C4-48D6-B5DE-F5966AE105DD}" name="Withdrawal"/>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CE01694-23ED-48BF-8B92-4186B9ED10A8}" name="Table17" displayName="Table17" ref="J3:K6" totalsRowShown="0" headerRowBorderDxfId="85" tableBorderDxfId="84" totalsRowBorderDxfId="83">
  <autoFilter ref="J3:K6" xr:uid="{DCE01694-23ED-48BF-8B92-4186B9ED10A8}"/>
  <tableColumns count="2">
    <tableColumn id="1" xr3:uid="{C8484DAF-2989-4C2F-9AEC-A6917E1C57F6}" name="Type" dataDxfId="82"/>
    <tableColumn id="2" xr3:uid="{B07B7A2A-4D4E-4654-BED6-FE2F0A7BEC34}" name="Amount" dataDxfId="8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66BDD1-ACD7-45D7-8AE9-7350373F8CEB}" name="Table18" displayName="Table18" ref="M3:O7" totalsRowCount="1" headerRowDxfId="80" headerRowBorderDxfId="79" tableBorderDxfId="78" totalsRowBorderDxfId="77">
  <autoFilter ref="M3:O6" xr:uid="{D166BDD1-ACD7-45D7-8AE9-7350373F8CEB}"/>
  <tableColumns count="3">
    <tableColumn id="1" xr3:uid="{64F0205E-DEA7-4571-BA86-E4374A5FEE28}" name="Type" totalsRowLabel="Total" dataDxfId="76" totalsRowDxfId="75"/>
    <tableColumn id="2" xr3:uid="{15FA05F9-789C-4459-9BE0-5C1EC84D3365}" name="amount" totalsRowFunction="custom" dataDxfId="74" totalsRowDxfId="73">
      <totalsRowFormula>SUM(N5:N6)</totalsRowFormula>
    </tableColumn>
    <tableColumn id="3" xr3:uid="{3681D409-90C6-44D0-BDE2-4B5943A516F0}" name="Actual" totalsRowFunction="custom" totalsRowDxfId="72">
      <totalsRowFormula>SUM(O5,O6)</totalsRow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E0731B-E176-4C4A-A6F7-CD6C16273723}" name="Table7" displayName="Table7" ref="K2:N5" totalsRowCount="1">
  <autoFilter ref="K2:N4" xr:uid="{77E0731B-E176-4C4A-A6F7-CD6C16273723}"/>
  <tableColumns count="4">
    <tableColumn id="1" xr3:uid="{ED2EE743-D65D-40B8-B1D2-9A3999DB9021}" name="Date" dataDxfId="71" totalsRowDxfId="70"/>
    <tableColumn id="2" xr3:uid="{5B9D0FEE-4304-4C5C-A05C-5B27CF7841D3}" name="Type"/>
    <tableColumn id="3" xr3:uid="{6A91CA0D-C802-4C6F-9F39-CA53687E8EDE}" name="Description"/>
    <tableColumn id="4" xr3:uid="{A251D40C-AB87-4BB4-85F8-444B20E32FDF}" name="Total" totalsRowFunction="custom" dataDxfId="69" totalsRowDxfId="68" dataCellStyle="Comma">
      <totalsRowFormula>SUM(Table7[Total])</totalsRow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76AC52-D856-4F5C-BAC5-B41503DDA11B}" name="Table8" displayName="Table8" ref="A1:I21" totalsRowCount="1" headerRowDxfId="67" headerRowBorderDxfId="66">
  <autoFilter ref="A1:I20" xr:uid="{B276AC52-D856-4F5C-BAC5-B41503DDA11B}"/>
  <tableColumns count="9">
    <tableColumn id="1" xr3:uid="{1A00B993-AF25-45A2-BFF9-E0DD747BB444}" name="Date"/>
    <tableColumn id="2" xr3:uid="{0A3FC504-E40A-4FB2-9B51-E79A4BC1EC63}" name="Chemical Name"/>
    <tableColumn id="3" xr3:uid="{216C88B1-47EE-4EC2-975B-32C391B36543}" name="Boxes"/>
    <tableColumn id="5" xr3:uid="{124DE3CE-AA7A-4822-99BD-69CE8547DD00}" name="Rate" dataDxfId="65"/>
    <tableColumn id="4" xr3:uid="{1889A312-9B41-4EC4-BD8F-05252F27084A}" name="Price" totalsRowFunction="sum"/>
    <tableColumn id="6" xr3:uid="{8B974B20-F003-4E67-8660-024FA4F324A9}" name="Party"/>
    <tableColumn id="7" xr3:uid="{0A5A5C21-FD61-47DA-9F54-66A6479FA557}" name="Paid" dataDxfId="64">
      <calculatedColumnFormula>SUMIFS(Table14[Debit], Table14[Date], Table8[[#This Row],[Date]], Table14[Party], Table8[[#This Row],[Party]])</calculatedColumnFormula>
    </tableColumn>
    <tableColumn id="8" xr3:uid="{8DCB3B43-2161-4081-82EC-CDB0F4DE4E6F}" name="Balance" totalsRowFunction="sum" dataDxfId="63">
      <calculatedColumnFormula>Table8[[#This Row],[Price]]-Table8[[#This Row],[Paid]]</calculatedColumnFormula>
    </tableColumn>
    <tableColumn id="9" xr3:uid="{774991E8-E731-4369-B42A-6867C4E08D5A}" name="info"/>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3C87E4-120A-4395-90A1-466202120EC6}" name="Table23" displayName="Table23" ref="L33:P56" totalsRowShown="0">
  <autoFilter ref="L33:P56" xr:uid="{3D3C87E4-120A-4395-90A1-466202120EC6}"/>
  <tableColumns count="5">
    <tableColumn id="1" xr3:uid="{3790A6D0-5CFF-413F-A3F3-4DC22D4BF461}" name="Stock"/>
    <tableColumn id="2" xr3:uid="{D41F9BA4-5950-4E87-AFB4-4300ED9B7EC7}" name="boxes"/>
    <tableColumn id="3" xr3:uid="{8FD2097B-B76F-4506-8A7C-680AAA414EF4}" name="kgs"/>
    <tableColumn id="4" xr3:uid="{2DE2F906-CF4C-457D-A4F8-CE5A4953DA02}" name="Rate"/>
    <tableColumn id="5" xr3:uid="{CCDBF5A6-50E5-44F0-89C8-65E15A59CF7C}" name="total"/>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8ECE447-7C3E-4E68-93A1-CFBC40F77258}" name="Table2325" displayName="Table2325" ref="A30:E57" totalsRowCount="1">
  <autoFilter ref="A30:E56" xr:uid="{18ECE447-7C3E-4E68-93A1-CFBC40F77258}"/>
  <tableColumns count="5">
    <tableColumn id="1" xr3:uid="{14FC11FB-D9C7-464F-BC0D-00D0DBE7D387}" name="Stock"/>
    <tableColumn id="2" xr3:uid="{08852A10-B253-4125-923F-8339BB6E494E}" name="boxes"/>
    <tableColumn id="3" xr3:uid="{337A4ADE-F0D9-4AED-B032-9EBD8AEF8401}" name="kgs"/>
    <tableColumn id="4" xr3:uid="{9C1C0875-C9E7-4E5B-AB3E-0C5189D43AEC}" name="Rate"/>
    <tableColumn id="5" xr3:uid="{B957BF57-E4E7-4F92-8ABA-5B0CD4B0B740}" name="total" totalsRowFunction="custom">
      <totalsRowFormula>SUM(Table2325[total])</totalsRow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C80688-A8BA-4BA7-90B4-791CD99446B4}" name="Table2" displayName="Table2" ref="A4:H20" totalsRowCount="1" headerRowDxfId="62" headerRowBorderDxfId="61">
  <autoFilter ref="A4:H19" xr:uid="{A4C80688-A8BA-4BA7-90B4-791CD99446B4}"/>
  <sortState xmlns:xlrd2="http://schemas.microsoft.com/office/spreadsheetml/2017/richdata2" ref="A5:H6">
    <sortCondition ref="A4:A6"/>
  </sortState>
  <tableColumns count="8">
    <tableColumn id="1" xr3:uid="{4A818912-918E-4111-ACFC-BC93FEF7C1AD}" name="Date" dataDxfId="60" totalsRowDxfId="59"/>
    <tableColumn id="8" xr3:uid="{477ACFD5-62AF-4F69-974B-E9B974C11D7D}" name="Party Name" dataDxfId="58"/>
    <tableColumn id="2" xr3:uid="{5B0EA59B-2D3B-4B7B-BA56-6C615D2F6506}" name="Item"/>
    <tableColumn id="3" xr3:uid="{6300FCFD-553D-4800-9CD0-2405B6C4D56F}" name="Boxes"/>
    <tableColumn id="4" xr3:uid="{9FBD2AB3-9F7F-4D27-86AD-36F05B132D6A}" name="Quantity"/>
    <tableColumn id="5" xr3:uid="{F5590721-CD26-461E-BC7A-3AC6FD6C8D07}" name="Price" totalsRowFunction="sum" dataDxfId="57">
      <calculatedColumnFormula>Table2[[#This Row],[Quantity]]*200*Table2[[#This Row],[Boxes]]</calculatedColumnFormula>
    </tableColumn>
    <tableColumn id="6" xr3:uid="{30432929-CBD4-4BA8-B63F-CD0F6CF6405F}" name="Paid" totalsRowFunction="sum" dataDxfId="56">
      <calculatedColumnFormula>SUMIFS(Table14[Debit], Table14[Date], Table2[[#This Row],[Date]], Table14[Party], Table2[[#This Row],[Party Name]],Table14[Description],Table2[[#This Row],[Item]])</calculatedColumnFormula>
    </tableColumn>
    <tableColumn id="7" xr3:uid="{BB689DF2-5D1E-436D-84C4-9745D88E8F3D}" name="Balance" totalsRowFunction="sum" dataDxfId="55">
      <calculatedColumnFormula>Table2[[#This Row],[Price]]-Table2[[#This Row],[Paid]]</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B357E87-68FF-4AC2-8066-39F0E529CFC4}" name="Table10" displayName="Table10" ref="B2:E7" totalsRowShown="0">
  <autoFilter ref="B2:E7" xr:uid="{1B357E87-68FF-4AC2-8066-39F0E529CFC4}"/>
  <tableColumns count="4">
    <tableColumn id="1" xr3:uid="{787B6E2D-E4E4-408D-8699-000441F05577}" name="Date"/>
    <tableColumn id="2" xr3:uid="{8AC4085A-53BD-4DCC-AABB-BDA934F378A3}" name="Bill number"/>
    <tableColumn id="3" xr3:uid="{69AD0C13-F4F5-48D9-A785-CD628CA35526}" name="Units"/>
    <tableColumn id="4" xr3:uid="{9C0851DF-D6F1-4E88-AC04-06EE93955F1C}" name="Total"/>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88DB1B-6B38-4D3F-A584-F50B092833D5}" name="Table210" displayName="Table210" ref="B2:E6" totalsRowCount="1">
  <autoFilter ref="B2:E5" xr:uid="{2288DB1B-6B38-4D3F-A584-F50B092833D5}"/>
  <sortState xmlns:xlrd2="http://schemas.microsoft.com/office/spreadsheetml/2017/richdata2" ref="B3:E3">
    <sortCondition ref="B3"/>
  </sortState>
  <tableColumns count="4">
    <tableColumn id="11" xr3:uid="{98DE5394-4EDB-4DDA-8F3F-AA0DF0DC98BB}" name="Date" totalsRowLabel="Total"/>
    <tableColumn id="1" xr3:uid="{72BAEFE6-C0F7-4E56-9269-EAE763B50636}" name="Type"/>
    <tableColumn id="2" xr3:uid="{5CD13227-2772-4576-B38D-C6906BDDB84D}" name="Amount" totalsRowFunction="sum" dataDxfId="54" totalsRowDxfId="53" dataCellStyle="Comma"/>
    <tableColumn id="6" xr3:uid="{8816813F-07CA-42C2-B1D6-851406F94D6E}" name="Column1" totalsRowFunction="count"/>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2116EC9-BBDE-41BB-A2D7-8BCF3AB6260F}" name="Table11" displayName="Table11" ref="B2:E43" totalsRowCount="1">
  <autoFilter ref="B2:E42" xr:uid="{62116EC9-BBDE-41BB-A2D7-8BCF3AB6260F}"/>
  <tableColumns count="4">
    <tableColumn id="1" xr3:uid="{7DB097C9-B24B-4164-AE75-219BA075790F}" name="Date" dataDxfId="52" totalsRowDxfId="11"/>
    <tableColumn id="2" xr3:uid="{053BFC14-4828-417C-9F9F-95B6E232A945}" name="Amount" totalsRowFunction="custom" dataDxfId="51" totalsRowDxfId="10" dataCellStyle="Comma">
      <calculatedColumnFormula>Cashbook!#REF!</calculatedColumnFormula>
      <totalsRowFormula>SUM(Table11[Amount])</totalsRowFormula>
    </tableColumn>
    <tableColumn id="3" xr3:uid="{2E55C6E1-AD6B-4BC4-97B3-79E57921B815}" name="Column1"/>
    <tableColumn id="4" xr3:uid="{7EA13E0F-23E7-454D-8FB4-1534C59EB376}" name="Column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7B203B0-1AB7-490A-A749-F34A78C46DF4}" name="Table16" displayName="Table16" ref="H2:J37" totalsRowCount="1">
  <autoFilter ref="H2:J36" xr:uid="{A7B203B0-1AB7-490A-A749-F34A78C46DF4}"/>
  <tableColumns count="3">
    <tableColumn id="1" xr3:uid="{B4CDCF07-E9DA-48C6-997D-76B3FCF36D4E}" name="Date" dataDxfId="50" totalsRowDxfId="9"/>
    <tableColumn id="2" xr3:uid="{EC66B9BB-B8FA-42B5-8213-88EBD296FC5F}" name="Advance" totalsRowFunction="sum">
      <calculatedColumnFormula>SUMIFS(Table14[Debit], Table14[Date], Table16[[#This Row],[Date]], Table14[Party], "Advance Salary", Table14[Description], Table16[[#This Row],[Person]] )</calculatedColumnFormula>
    </tableColumn>
    <tableColumn id="3" xr3:uid="{BC0CDAC8-9BF5-4D1D-BC37-F21C6DCD121A}" name="Perso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94C645-BA0B-477E-AE5E-02046C12E841}" name="Table5" displayName="Table5" ref="B2:E37" totalsRowCount="1">
  <autoFilter ref="B2:E36" xr:uid="{4694C645-BA0B-477E-AE5E-02046C12E841}"/>
  <tableColumns count="4">
    <tableColumn id="1" xr3:uid="{1D391A77-9D14-4B37-AD91-EEEDC97B6A4E}" name="Date" dataDxfId="40" totalsRowDxfId="39"/>
    <tableColumn id="2" xr3:uid="{B579509C-6B30-4107-AD5D-29484D2620F7}" name="Type"/>
    <tableColumn id="3" xr3:uid="{4563E1C4-DFFB-47FA-BCFB-33EA270AD884}" name="Amount" totalsRowFunction="custom">
      <calculatedColumnFormula>SUMIFS(Table14[Debit], Table14[Date], Table5[[#This Row],[Date]], Table14[Party], "Rashan")</calculatedColumnFormula>
      <totalsRowFormula>SUM(Table5[Amount])</totalsRowFormula>
    </tableColumn>
    <tableColumn id="4" xr3:uid="{7D5F88DD-337D-497A-A5B0-AF06B47BEDD2}" name="Column1"/>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7265B0E-A50D-4BC5-9C1C-E62AF5B48CAF}" name="Table15" displayName="Table15" ref="H2:J37" totalsRowCount="1">
  <autoFilter ref="H2:J36" xr:uid="{A7265B0E-A50D-4BC5-9C1C-E62AF5B48CAF}"/>
  <tableColumns count="3">
    <tableColumn id="1" xr3:uid="{AB5830E5-ECCF-4406-AB96-EB98EE86F300}" name="Date" dataDxfId="38" totalsRowDxfId="37"/>
    <tableColumn id="2" xr3:uid="{4EBD2B2B-3B34-41C2-ABCE-6323AB3BD2BC}" name="Type"/>
    <tableColumn id="3" xr3:uid="{D68E9581-5913-4B55-8149-35CB7814F997}" name="Amount" totalsRowFunction="custom">
      <calculatedColumnFormula>SUMIFS(Table14[Debit], Table14[Date], Table15[[#This Row],[Date]], Table14[Party], "Parts")</calculatedColumnFormula>
      <totalsRowFormula>SUM(Table15[Amount])</totalsRow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2993807-B770-4023-98E3-8834035352C5}" name="Table22" displayName="Table22" ref="A1:C28" totalsRowShown="0">
  <autoFilter ref="A1:C28" xr:uid="{12993807-B770-4023-98E3-8834035352C5}"/>
  <tableColumns count="3">
    <tableColumn id="1" xr3:uid="{DF7536DF-F3D0-48F5-83DE-312320C1F7F4}" name="Party Name" dataDxfId="36">
      <calculatedColumnFormula>Billing!Q5</calculatedColumnFormula>
    </tableColumn>
    <tableColumn id="2" xr3:uid="{7093A59E-B58F-487D-888A-9AA8156B5F9A}" name="Amount Paid" dataDxfId="35">
      <calculatedColumnFormula>Billing!AC5</calculatedColumnFormula>
    </tableColumn>
    <tableColumn id="3" xr3:uid="{82D37DD3-FDA4-4C89-BBC6-89947894747E}" name="Balanc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FFCFD9F-93FF-4AFC-90E2-CE42E8512CA2}" name="Table25" displayName="Table25" ref="A1:B22" totalsRowShown="0">
  <autoFilter ref="A1:B22" xr:uid="{EFFCFD9F-93FF-4AFC-90E2-CE42E8512CA2}"/>
  <tableColumns count="2">
    <tableColumn id="1" xr3:uid="{31AA849F-784A-4EE5-9A44-4DB4BC5751A0}" name="Party Names">
      <calculatedColumnFormula>Billing!Q5</calculatedColumnFormula>
    </tableColumn>
    <tableColumn id="2" xr3:uid="{F72CFEEB-BA11-4A49-BD19-88592EB6A27C}" name="Credit" dataDxfId="34" dataCellStyle="Comma">
      <calculatedColumnFormula>_xlfn.XLOOKUP($A2,[1]Billing!$Q$5:$Q$29,[1]Billing!$AA$5:$AA$29)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7" Type="http://schemas.microsoft.com/office/2007/relationships/slicer" Target="../slicers/slicer3.xml"/><Relationship Id="rId2" Type="http://schemas.openxmlformats.org/officeDocument/2006/relationships/printerSettings" Target="../printerSettings/printerSettings7.bin"/><Relationship Id="rId1" Type="http://schemas.openxmlformats.org/officeDocument/2006/relationships/pivotTable" Target="../pivotTables/pivotTable3.xml"/><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ivotTable" Target="../pivotTables/pivotTable4.xml"/><Relationship Id="rId5" Type="http://schemas.openxmlformats.org/officeDocument/2006/relationships/table" Target="../tables/table16.xml"/><Relationship Id="rId4" Type="http://schemas.openxmlformats.org/officeDocument/2006/relationships/table" Target="../tables/table1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4.xml"/><Relationship Id="rId1" Type="http://schemas.openxmlformats.org/officeDocument/2006/relationships/pivotTable" Target="../pivotTables/pivotTable5.xml"/><Relationship Id="rId4" Type="http://schemas.microsoft.com/office/2007/relationships/slicer" Target="../slicers/slicer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5.xml"/><Relationship Id="rId1" Type="http://schemas.openxmlformats.org/officeDocument/2006/relationships/printerSettings" Target="../printerSettings/printerSettings8.bin"/><Relationship Id="rId5" Type="http://schemas.microsoft.com/office/2007/relationships/slicer" Target="../slicers/slicer5.xml"/><Relationship Id="rId4" Type="http://schemas.openxmlformats.org/officeDocument/2006/relationships/table" Target="../tables/table21.xml"/></Relationships>
</file>

<file path=xl/worksheets/_rels/sheet14.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3788-DC3D-4686-B6D6-08186A86599F}">
  <dimension ref="A1:AF107"/>
  <sheetViews>
    <sheetView topLeftCell="U6" zoomScale="109" zoomScaleNormal="80" workbookViewId="0">
      <selection activeCell="AA25" sqref="AA25"/>
    </sheetView>
  </sheetViews>
  <sheetFormatPr defaultRowHeight="14.4" x14ac:dyDescent="0.3"/>
  <cols>
    <col min="2" max="2" width="12.88671875" bestFit="1" customWidth="1"/>
    <col min="3" max="3" width="13.6640625" customWidth="1"/>
    <col min="4" max="4" width="12.5546875" customWidth="1"/>
    <col min="5" max="5" width="11" customWidth="1"/>
    <col min="6" max="6" width="13.33203125" customWidth="1"/>
    <col min="7" max="7" width="15.88671875" bestFit="1" customWidth="1"/>
    <col min="8" max="8" width="12.33203125" bestFit="1" customWidth="1"/>
    <col min="9" max="10" width="12.33203125" customWidth="1"/>
    <col min="11" max="11" width="15.33203125" bestFit="1" customWidth="1"/>
    <col min="12" max="12" width="12" bestFit="1" customWidth="1"/>
    <col min="13" max="13" width="11.109375" bestFit="1" customWidth="1"/>
    <col min="14" max="15" width="16.21875" customWidth="1"/>
    <col min="16" max="16" width="11.44140625" customWidth="1"/>
    <col min="17" max="17" width="16.21875" customWidth="1"/>
    <col min="18" max="18" width="19.109375" customWidth="1"/>
    <col min="19" max="19" width="11.109375" customWidth="1"/>
    <col min="20" max="20" width="13.88671875" customWidth="1"/>
    <col min="21" max="21" width="15.5546875" bestFit="1" customWidth="1"/>
    <col min="22" max="22" width="12.33203125" bestFit="1" customWidth="1"/>
    <col min="23" max="23" width="14.77734375" customWidth="1"/>
    <col min="24" max="24" width="15.5546875" bestFit="1" customWidth="1"/>
    <col min="25" max="25" width="12.33203125" bestFit="1" customWidth="1"/>
    <col min="26" max="27" width="12.33203125" customWidth="1"/>
    <col min="28" max="28" width="11.33203125" bestFit="1" customWidth="1"/>
    <col min="29" max="29" width="15.5546875" customWidth="1"/>
    <col min="30" max="30" width="13.6640625" customWidth="1"/>
    <col min="32" max="32" width="15.88671875" customWidth="1"/>
    <col min="35" max="35" width="12.109375" customWidth="1"/>
    <col min="36" max="36" width="11.44140625" customWidth="1"/>
  </cols>
  <sheetData>
    <row r="1" spans="2:32" ht="28.8" x14ac:dyDescent="0.55000000000000004">
      <c r="B1" t="s">
        <v>2</v>
      </c>
      <c r="C1" t="s">
        <v>3</v>
      </c>
      <c r="D1" t="s">
        <v>4</v>
      </c>
      <c r="E1" t="s">
        <v>5</v>
      </c>
      <c r="G1" s="9" t="s">
        <v>0</v>
      </c>
    </row>
    <row r="2" spans="2:32" x14ac:dyDescent="0.3">
      <c r="B2" t="str">
        <f t="shared" ref="B2:B18" si="0">B49</f>
        <v>BSC</v>
      </c>
      <c r="C2" s="18">
        <f>SUMIFS(ledger!G:G, ledger!B:B, B2, ledger!E:E, "&lt;&gt;*RD*") / 1.0936</f>
        <v>232352.77980980251</v>
      </c>
      <c r="D2">
        <v>10</v>
      </c>
      <c r="E2" s="14">
        <f>(SUMIFS(ledger!G:G, ledger!B:B, B2, ledger!E:E, "&lt;&gt;*RD*",ledger!D:D, "Silky") / 1.0936)*12 + (SUMIFS(ledger!G:G, ledger!B:B, B2, ledger!E:E, "&lt;&gt;*RD*",ledger!D:D, "Chamki") / 1.0936)*10</f>
        <v>2524052.6700804681</v>
      </c>
      <c r="Q2" t="s">
        <v>1</v>
      </c>
    </row>
    <row r="3" spans="2:32" x14ac:dyDescent="0.3">
      <c r="B3" t="str">
        <f t="shared" si="0"/>
        <v>Ejaz Sahab</v>
      </c>
      <c r="C3" s="18">
        <f>SUMIFS(ledger!G:G, ledger!B:B, B3, ledger!E:E, "&lt;&gt;*RD*") / 1.0936</f>
        <v>105662.94806144843</v>
      </c>
      <c r="D3">
        <v>10</v>
      </c>
      <c r="E3" s="14">
        <f>(SUMIFS(ledger!G:G, ledger!B:B, B3, ledger!E:E, "&lt;&gt;*RD*",ledger!D:D, "Silky") / 1.0936)*12 + (SUMIFS(ledger!G:G, ledger!B:B, B3, ledger!E:E, "&lt;&gt;*RD*",ledger!D:D, "Chamki") / 1.0936)*10</f>
        <v>1267955.3767373813</v>
      </c>
    </row>
    <row r="4" spans="2:32" x14ac:dyDescent="0.3">
      <c r="B4" t="str">
        <f t="shared" si="0"/>
        <v>Arshad</v>
      </c>
      <c r="C4" s="18">
        <f>SUMIFS(ledger!G:G, ledger!B:B, B4, ledger!E:E, "&lt;&gt;*RD*") / 1.0936</f>
        <v>193527.79809802488</v>
      </c>
      <c r="D4">
        <v>10</v>
      </c>
      <c r="E4" s="14">
        <f>(SUMIFS(ledger!G:G, ledger!B:B, B4, ledger!E:E, "&lt;&gt;*RD*",ledger!D:D, "Silky") / 1.0936)*12 + (SUMIFS(ledger!G:G, ledger!B:B, B4, ledger!E:E, "&lt;&gt;*RD*",ledger!D:D, "Chamki") / 1.0936)*10</f>
        <v>2061914.7768836871</v>
      </c>
      <c r="Q4" s="21"/>
      <c r="R4" s="23" t="s">
        <v>10</v>
      </c>
      <c r="S4" s="23" t="s">
        <v>11</v>
      </c>
      <c r="T4" s="23" t="s">
        <v>12</v>
      </c>
      <c r="U4" s="23" t="s">
        <v>13</v>
      </c>
      <c r="V4" s="23" t="s">
        <v>14</v>
      </c>
      <c r="W4" s="23" t="s">
        <v>15</v>
      </c>
      <c r="X4" s="23" t="s">
        <v>190</v>
      </c>
      <c r="Y4" s="23" t="s">
        <v>191</v>
      </c>
      <c r="Z4" s="23" t="s">
        <v>388</v>
      </c>
      <c r="AA4" s="23"/>
      <c r="AB4" s="23" t="s">
        <v>16</v>
      </c>
      <c r="AC4" s="23" t="s">
        <v>17</v>
      </c>
      <c r="AD4" s="23" t="s">
        <v>18</v>
      </c>
      <c r="AE4" s="23" t="s">
        <v>19</v>
      </c>
      <c r="AF4" s="23" t="s">
        <v>20</v>
      </c>
    </row>
    <row r="5" spans="2:32" x14ac:dyDescent="0.3">
      <c r="B5" t="str">
        <f t="shared" si="0"/>
        <v>Shehzad Kamoki</v>
      </c>
      <c r="C5" s="18">
        <f>SUMIFS(ledger!G:G, ledger!B:B, B5, ledger!E:E, "&lt;&gt;*RD*") / 1.0936</f>
        <v>0</v>
      </c>
      <c r="D5">
        <v>10.5</v>
      </c>
      <c r="E5" s="14">
        <f>(SUMIFS(ledger!G:G, ledger!B:B, B5, ledger!E:E, "&lt;&gt;*RD*",ledger!D:D, "Silky") / 1.0936)*12 + (SUMIFS(ledger!G:G, ledger!B:B, B5, ledger!E:E, "&lt;&gt;*RD*",ledger!D:D, "Chamki") / 1.0936)*10.5</f>
        <v>0</v>
      </c>
      <c r="Q5" s="24" t="str" cm="1">
        <f t="array" ref="Q5:Q28">_xlfn.UNIQUE(Table1[Party Name])</f>
        <v>BSC</v>
      </c>
      <c r="R5" s="22" cm="1">
        <f t="array" ref="R5">_xlfn.BYROW(B49,_xlfn.LAMBDA(_xlpm.party,SUMIFS(ledger!G:G,ledger!B:B,_xlpm.party,ledger!E:E,"&lt;&gt;*RD*")))+_xlfn.IFNA(C84,0)</f>
        <v>2459509</v>
      </c>
      <c r="S5" s="22" cm="1">
        <f t="array" ref="S5">_xlfn.BYROW(B49, _xlfn.LAMBDA(_xlpm.party, SUMIFS(ledger!G:G, ledger!B:B, _xlpm.party, ledger!E:E, "&lt;&gt;*RD*") / 1.0936 ))+_xlfn.IFNA(D84,0)</f>
        <v>2249002.3774689101</v>
      </c>
      <c r="T5" s="22" cm="1">
        <f t="array" ref="T5">(_xlfn.BYROW(B49,_xlfn.LAMBDA(_xlpm.party,SUMIFS(ledger!G:G,ledger!B:B,_xlpm.party,ledger!E:E,"&lt;&gt;*RD*",ledger!D:D,"Chamki")+SUMIFS(ledger!G:G, ledger!B:B, _xlpm.party, ledger!E:E, "&lt;&gt;*RD*", ledger!D:D, "Crinkle")))/1.0936)+_xlfn.IFNA(E84,0)</f>
        <v>2027492.6847110461</v>
      </c>
      <c r="U5" s="70" cm="1">
        <f t="array" ref="U5">(_xlfn.BYROW(B49,_xlfn.LAMBDA(_xlpm.party,SUMIFS(ledger!G:G,ledger!B:B,_xlpm.party,ledger!E:E,"&lt;&gt;*RD*",ledger!D:D,"Silky")))/1.0936)+_xlfn.IFNA(F84,0)</f>
        <v>221509.69275786396</v>
      </c>
      <c r="V5" s="22" cm="1">
        <f t="array" ref="V5">(_xlfn.BYROW(B49,_xlfn.LAMBDA(_xlpm.party,
(SUMIFS(ledger!J:J,ledger!B:B,_xlpm.party,ledger!E:E,"&lt;&gt;*RD*",ledger!D:D,"Chamki",ledger!C:C,"&lt;&gt;October Closing CF")+
SUMIFS(ledger!J:J,ledger!B:B,_xlpm.party,ledger!E:E,"&lt;&gt;*RD*",ledger!D:D,"Crinkle",ledger!C:C,"&lt;&gt;October Closing CF")
)+_xlfn.IFNA(G84,0))))</f>
        <v>20274926.847110465</v>
      </c>
      <c r="W5" s="70" cm="1">
        <f t="array" ref="W5">_xlfn.BYROW(B49, _xlfn.LAMBDA(_xlpm.party,
   SUMIFS(ledger!J:J, ledger!B:B, _xlpm.party, ledger!E:E, "&lt;&gt;*RD*", ledger!D:D, "Silky", ledger!C:C, "&lt;&gt;October Closing CF")
)) + _xlfn.IFNA(H84, 0)</f>
        <v>2791270.1170446239</v>
      </c>
      <c r="X5" s="70" cm="1">
        <f t="array" ref="X5">_xlfn.BYROW(B49, _xlfn.LAMBDA(_xlpm.party,
   SUMIFS(ledger!J:J, ledger!B:B, _xlpm.party, ledger!E:E, "&lt;&gt;*RD*", ledger!D:D, "Slub", ledger!C:C, "&lt;&gt;October Closing CF")
))+ _xlfn.IFNA(I84, 0)</f>
        <v>0</v>
      </c>
      <c r="Y5" s="70" cm="1">
        <f t="array" ref="Y5">_xlfn.BYROW(B49, _xlfn.LAMBDA(_xlpm.party,
   SUMIFS(ledger!J:J, ledger!B:B, _xlpm.party, ledger!E:E, "&lt;&gt;*RD*", ledger!D:D, "Satin", ledger!C:C, "&lt;&gt;October Closing CF")
))+ _xlfn.IFNA(J84, 0)</f>
        <v>0</v>
      </c>
      <c r="Z5" s="70" cm="1">
        <f t="array" ref="Z5">_xlfn.BYROW(B49, _xlfn.LAMBDA(_xlpm.party,
   SUMIFS(ledger!J:J, ledger!B:B, _xlpm.party, ledger!E:E, "&lt;&gt;*RD*", ledger!D:D, "Black-Chamki", ledger!C:C, "&lt;&gt;October Closing CF")
))</f>
        <v>0</v>
      </c>
      <c r="AA5" s="70" cm="1">
        <f t="array" ref="AA5">_xlfn.BYROW(B49, _xlfn.LAMBDA(_xlpm.party,
   SUMIFS(ledger!J:J, ledger!B:B, _xlpm.party, ledger!E:E, "&lt;&gt;*RD*", ledger!D:D, "Kataan", ledger!C:C, "&lt;&gt;October Closing CF")
))</f>
        <v>0</v>
      </c>
      <c r="AB5" s="39">
        <f>V5+W5+X5+Y5+Z5+AA5</f>
        <v>23066196.964155089</v>
      </c>
      <c r="AC5" s="22">
        <f>(SUMIF(Table14[Party],Q5,Table14[Credit]))+_xlfn.IFNA(L84,0)</f>
        <v>19750734</v>
      </c>
      <c r="AD5" s="33">
        <f>AB5-AC5</f>
        <v>3315462.9641550891</v>
      </c>
      <c r="AE5" s="21">
        <v>10</v>
      </c>
      <c r="AF5" s="21">
        <v>13</v>
      </c>
    </row>
    <row r="6" spans="2:32" x14ac:dyDescent="0.3">
      <c r="B6" t="str">
        <f t="shared" si="0"/>
        <v>Sufi Nawaz Sahab</v>
      </c>
      <c r="C6" s="18">
        <f>SUMIFS(ledger!G:G, ledger!B:B, B6, ledger!E:E, "&lt;&gt;*RD*") / 1.0936</f>
        <v>0</v>
      </c>
      <c r="D6">
        <v>10</v>
      </c>
      <c r="E6" s="14">
        <f>((SUMIFS(ledger!G:G, ledger!B:B, B6, ledger!E:E, "&lt;&gt;*RD*",ledger!D:D, "Silky") / 1.0936) *12) + ((SUMIFS(ledger!G:G, ledger!B:B, B6, ledger!E:E, "&lt;&gt;*RD*",ledger!D:D, "Chamki") / 1.0936)* 9)</f>
        <v>0</v>
      </c>
      <c r="Q6" s="24" t="str">
        <v>Ejaz Sahab</v>
      </c>
      <c r="R6" s="22" cm="1">
        <f t="array" ref="R6">_xlfn.BYROW(B50,_xlfn.LAMBDA(_xlpm.party,SUMIFS(ledger!G:G,ledger!B:B,_xlpm.party,ledger!E:E,"&lt;&gt;*RD*")))+_xlfn.IFNA(C85,0)</f>
        <v>393394</v>
      </c>
      <c r="S6" s="22" cm="1">
        <f t="array" ref="S6">_xlfn.BYROW(B50, _xlfn.LAMBDA(_xlpm.party, SUMIFS(ledger!G:G, ledger!B:B, _xlpm.party, ledger!E:E, "&lt;&gt;*RD*") / 1.0936 ))+_xlfn.IFNA(D85,0)</f>
        <v>359723.84784198983</v>
      </c>
      <c r="T6" s="22" cm="1">
        <f t="array" ref="T6">(_xlfn.BYROW(B50,_xlfn.LAMBDA(_xlpm.party,SUMIFS(ledger!G:G,ledger!B:B,_xlpm.party,ledger!E:E,"&lt;&gt;*RD*",ledger!D:D,"Chamki")+SUMIFS(ledger!G:G, ledger!B:B, _xlpm.party, ledger!E:E, "&lt;&gt;*RD*", ledger!D:D, "Crinkle")))/1.0936)+_xlfn.IFNA(E85,0)</f>
        <v>148145.57425018289</v>
      </c>
      <c r="U6" s="70" cm="1">
        <f t="array" ref="U6">(_xlfn.BYROW(B50,_xlfn.LAMBDA(_xlpm.party,SUMIFS(ledger!G:G,ledger!B:B,_xlpm.party,ledger!E:E,"&lt;&gt;*RD*",ledger!D:D,"Silky")))/1.0936)+_xlfn.IFNA(F85,0)</f>
        <v>211578.27359180688</v>
      </c>
      <c r="V6" s="22" cm="1">
        <f t="array" ref="V6">(_xlfn.BYROW(B50,_xlfn.LAMBDA(_xlpm.party,
(SUMIFS(ledger!J:J,ledger!B:B,_xlpm.party,ledger!E:E,"&lt;&gt;*RD*",ledger!D:D,"Chamki",ledger!C:C,"&lt;&gt;October Closing CF")+
SUMIFS(ledger!J:J,ledger!B:B,_xlpm.party,ledger!E:E,"&lt;&gt;*RD*",ledger!D:D,"Crinkle",ledger!C:C,"&lt;&gt;October Closing CF")
)+_xlfn.IFNA(G85,0))))</f>
        <v>1481455.7425018288</v>
      </c>
      <c r="W6" s="70" cm="1">
        <f t="array" ref="W6">_xlfn.BYROW(B50, _xlfn.LAMBDA(_xlpm.party,
   SUMIFS(ledger!J:J, ledger!B:B, _xlpm.party, ledger!E:E, "&lt;&gt;*RD*", ledger!D:D, "Silky", ledger!C:C, "&lt;&gt;October Closing CF")
)) + _xlfn.IFNA(H85, 0)</f>
        <v>2691373.4455010975</v>
      </c>
      <c r="X6" s="70" cm="1">
        <f t="array" ref="X6">_xlfn.BYROW(B50, _xlfn.LAMBDA(_xlpm.party,
   SUMIFS(ledger!J:J, ledger!B:B, _xlpm.party, ledger!E:E, "&lt;&gt;*RD*", ledger!D:D, "Slub", ledger!C:C, "&lt;&gt;October Closing CF")
))+ _xlfn.IFNA(I85, 0)</f>
        <v>0</v>
      </c>
      <c r="Y6" s="70" cm="1">
        <f t="array" ref="Y6">_xlfn.BYROW(B50, _xlfn.LAMBDA(_xlpm.party,
   SUMIFS(ledger!J:J, ledger!B:B, _xlpm.party, ledger!E:E, "&lt;&gt;*RD*", ledger!D:D, "Satin", ledger!C:C, "&lt;&gt;October Closing CF")
))+ _xlfn.IFNA(J85, 0)</f>
        <v>0</v>
      </c>
      <c r="Z6" s="70" cm="1">
        <f t="array" ref="Z6">_xlfn.BYROW(B50, _xlfn.LAMBDA(_xlpm.party,
   SUMIFS(ledger!J:J, ledger!B:B, _xlpm.party, ledger!E:E, "&lt;&gt;*RD*", ledger!D:D, "Black-Chamki", ledger!C:C, "&lt;&gt;October Closing CF")
))</f>
        <v>0</v>
      </c>
      <c r="AA6" s="70" cm="1">
        <f t="array" ref="AA6">_xlfn.BYROW(B50, _xlfn.LAMBDA(_xlpm.party,
   SUMIFS(ledger!J:J, ledger!B:B, _xlpm.party, ledger!E:E, "&lt;&gt;*RD*", ledger!D:D, "Kataan", ledger!C:C, "&lt;&gt;October Closing CF")
))</f>
        <v>0</v>
      </c>
      <c r="AB6" s="39">
        <f t="shared" ref="AB6:AB35" si="1">V6+W6+X6+Y6+Z6+AA6</f>
        <v>4172829.1880029263</v>
      </c>
      <c r="AC6" s="22">
        <f>(SUMIF(Table14[Party],Q6,Table14[Credit]))+_xlfn.IFNA(L85,0)</f>
        <v>3663904</v>
      </c>
      <c r="AD6" s="33">
        <f>AB6-AC6</f>
        <v>508925.1880029263</v>
      </c>
      <c r="AE6" s="21">
        <v>10</v>
      </c>
      <c r="AF6" s="21">
        <v>13</v>
      </c>
    </row>
    <row r="7" spans="2:32" x14ac:dyDescent="0.3">
      <c r="B7" t="str">
        <f t="shared" si="0"/>
        <v>Sajad Khan</v>
      </c>
      <c r="C7" s="18">
        <f>SUMIFS(ledger!G:G, ledger!B:B, B7, ledger!E:E, "&lt;&gt;*RD*") / 1.0936</f>
        <v>172007.13240673009</v>
      </c>
      <c r="D7">
        <v>10</v>
      </c>
      <c r="E7" s="14" cm="1">
        <f t="array" ref="E7">(SUMIFS(ledger!G:G, ledger!B:B, B7, ledger!E:E, "&lt;&gt;*RD*",ledger!D:D, "Silky") / 1.0936)*12 + (SUMIFS(ledger!G:G, ledger!B:B, B7, ledger!E:E, "&lt;&gt;*RD*",ledger!D:D, "Chamki") / 1.0936)*10 +(SUMIFS(ledger!G:G, ledger!B:B, party, ledger!E:E, "&lt;&gt;*RD*", ledger!D:D, "Crinkle")/ 1.0936)*10</f>
        <v>1720071.3240673009</v>
      </c>
      <c r="Q7" s="24" t="str">
        <v>Arshad</v>
      </c>
      <c r="R7" s="22" cm="1">
        <f t="array" ref="R7">_xlfn.BYROW(B51,_xlfn.LAMBDA(_xlpm.party,SUMIFS(ledger!G:G,ledger!B:B,_xlpm.party,ledger!E:E,"&lt;&gt;*RD*")))+_xlfn.IFNA(C86,0)</f>
        <v>657148</v>
      </c>
      <c r="S7" s="22" cm="1">
        <f t="array" ref="S7">_xlfn.BYROW(B51, _xlfn.LAMBDA(_xlpm.party, SUMIFS(ledger!G:G, ledger!B:B, _xlpm.party, ledger!E:E, "&lt;&gt;*RD*") / 1.0936 ))+_xlfn.IFNA(D86,0)</f>
        <v>600903.43818580837</v>
      </c>
      <c r="T7" s="22" cm="1">
        <f t="array" ref="T7">(_xlfn.BYROW(B51,_xlfn.LAMBDA(_xlpm.party,SUMIFS(ledger!G:G,ledger!B:B,_xlpm.party,ledger!E:E,"&lt;&gt;*RD*",ledger!D:D,"Chamki")+SUMIFS(ledger!G:G, ledger!B:B, _xlpm.party, ledger!E:E, "&lt;&gt;*RD*", ledger!D:D, "Crinkle")))/1.0936)+_xlfn.IFNA(E86,0)</f>
        <v>522790.78273591812</v>
      </c>
      <c r="U7" s="70" cm="1">
        <f t="array" ref="U7">(_xlfn.BYROW(B51,_xlfn.LAMBDA(_xlpm.party,SUMIFS(ledger!G:G,ledger!B:B,_xlpm.party,ledger!E:E,"&lt;&gt;*RD*",ledger!D:D,"Silky")))/1.0936)+_xlfn.IFNA(F86,0)</f>
        <v>78112.65544989027</v>
      </c>
      <c r="V7" s="22" cm="1">
        <f t="array" ref="V7">(_xlfn.BYROW(B51,_xlfn.LAMBDA(_xlpm.party,
(SUMIFS(ledger!J:J,ledger!B:B,_xlpm.party,ledger!E:E,"&lt;&gt;*RD*",ledger!D:D,"Chamki",ledger!C:C,"&lt;&gt;October Closing CF")+
SUMIFS(ledger!J:J,ledger!B:B,_xlpm.party,ledger!E:E,"&lt;&gt;*RD*",ledger!D:D,"Crinkle",ledger!C:C,"&lt;&gt;October Closing CF")
)+_xlfn.IFNA(G86,0))))</f>
        <v>5227907.8273591809</v>
      </c>
      <c r="W7" s="70" cm="1">
        <f t="array" ref="W7">_xlfn.BYROW(B51, _xlfn.LAMBDA(_xlpm.party,
   SUMIFS(ledger!J:J, ledger!B:B, _xlpm.party, ledger!E:E, "&lt;&gt;*RD*", ledger!D:D, "Silky", ledger!C:C, "&lt;&gt;October Closing CF")
)) + _xlfn.IFNA(H86, 0)</f>
        <v>1000670.2633504025</v>
      </c>
      <c r="X7" s="70" cm="1">
        <f t="array" ref="X7">_xlfn.BYROW(B51, _xlfn.LAMBDA(_xlpm.party,
   SUMIFS(ledger!J:J, ledger!B:B, _xlpm.party, ledger!E:E, "&lt;&gt;*RD*", ledger!D:D, "Slub", ledger!C:C, "&lt;&gt;October Closing CF")
))+ _xlfn.IFNA(I86, 0)</f>
        <v>0</v>
      </c>
      <c r="Y7" s="70" cm="1">
        <f t="array" ref="Y7">_xlfn.BYROW(B51, _xlfn.LAMBDA(_xlpm.party,
   SUMIFS(ledger!J:J, ledger!B:B, _xlpm.party, ledger!E:E, "&lt;&gt;*RD*", ledger!D:D, "Satin", ledger!C:C, "&lt;&gt;October Closing CF")
))+ _xlfn.IFNA(J86, 0)</f>
        <v>0</v>
      </c>
      <c r="Z7" s="70" cm="1">
        <f t="array" ref="Z7">_xlfn.BYROW(B51, _xlfn.LAMBDA(_xlpm.party,
   SUMIFS(ledger!J:J, ledger!B:B, _xlpm.party, ledger!E:E, "&lt;&gt;*RD*", ledger!D:D, "Black-Chamki", ledger!C:C, "&lt;&gt;October Closing CF")
))</f>
        <v>0</v>
      </c>
      <c r="AA7" s="70" cm="1">
        <f t="array" ref="AA7">_xlfn.BYROW(B51, _xlfn.LAMBDA(_xlpm.party,
   SUMIFS(ledger!J:J, ledger!B:B, _xlpm.party, ledger!E:E, "&lt;&gt;*RD*", ledger!D:D, "Kataan", ledger!C:C, "&lt;&gt;October Closing CF")
))</f>
        <v>0</v>
      </c>
      <c r="AB7" s="39">
        <f t="shared" si="1"/>
        <v>6228578.0907095838</v>
      </c>
      <c r="AC7" s="22">
        <f>(SUMIF(Table14[Party],Q7,Table14[Credit]))+_xlfn.IFNA(L86,0)</f>
        <v>5802935</v>
      </c>
      <c r="AD7" s="33">
        <f>AB7-AC7</f>
        <v>425643.09070958383</v>
      </c>
      <c r="AE7" s="21">
        <v>10</v>
      </c>
      <c r="AF7" s="21">
        <v>13</v>
      </c>
    </row>
    <row r="8" spans="2:32" x14ac:dyDescent="0.3">
      <c r="B8" t="str">
        <f t="shared" si="0"/>
        <v>Raaz Fabrics</v>
      </c>
      <c r="C8" s="18">
        <f>SUMIFS(ledger!G:G, ledger!B:B, B8, ledger!E:E, "&lt;&gt;*RD*") / 1.0936</f>
        <v>47108.632040965625</v>
      </c>
      <c r="D8">
        <v>10</v>
      </c>
      <c r="E8" s="14">
        <f>(SUMIFS(ledger!G:G, ledger!B:B, B8, ledger!E:E, "&lt;&gt;*RD*",ledger!D:D, "Silky") / 1.0936)*12 + (SUMIFS(ledger!G:G, ledger!B:B, B8, ledger!E:E, "&lt;&gt;*RD*",ledger!D:D, "chamki") / 1.0936)*10 +(SUMIFS(ledger!G:G, ledger!B:B, B8, ledger!E:E, "&lt;&gt;*RD*",ledger!D:D, "Crinkle") / 1.0936)*10</f>
        <v>471086.32040965627</v>
      </c>
      <c r="Q8" s="24" t="str">
        <v>Shehzad Kamoki</v>
      </c>
      <c r="R8" s="22" cm="1">
        <f t="array" ref="R8">_xlfn.BYROW(B52,_xlfn.LAMBDA(_xlpm.party,SUMIFS(ledger!G:G,ledger!B:B,_xlpm.party,ledger!E:E,"&lt;&gt;*RD*")))+_xlfn.IFNA(C87,0)</f>
        <v>134607</v>
      </c>
      <c r="S8" s="22" cm="1">
        <f t="array" ref="S8">_xlfn.BYROW(B52, _xlfn.LAMBDA(_xlpm.party, SUMIFS(ledger!G:G, ledger!B:B, _xlpm.party, ledger!E:E, "&lt;&gt;*RD*") / 1.0936 ))+_xlfn.IFNA(D87,0)</f>
        <v>123086.13752743235</v>
      </c>
      <c r="T8" s="22" cm="1">
        <f t="array" ref="T8">(_xlfn.BYROW(B52,_xlfn.LAMBDA(_xlpm.party,SUMIFS(ledger!G:G,ledger!B:B,_xlpm.party,ledger!E:E,"&lt;&gt;*RD*",ledger!D:D,"Chamki")+SUMIFS(ledger!G:G, ledger!B:B, _xlpm.party, ledger!E:E, "&lt;&gt;*RD*", ledger!D:D, "Crinkle")))/1.0936)+_xlfn.IFNA(E87,0)</f>
        <v>123086.13752743235</v>
      </c>
      <c r="U8" s="70" cm="1">
        <f t="array" ref="U8">(_xlfn.BYROW(B52,_xlfn.LAMBDA(_xlpm.party,SUMIFS(ledger!G:G,ledger!B:B,_xlpm.party,ledger!E:E,"&lt;&gt;*RD*",ledger!D:D,"Silky")))/1.0936)+_xlfn.IFNA(F87,0)</f>
        <v>0</v>
      </c>
      <c r="V8" s="22" cm="1">
        <f t="array" ref="V8">(_xlfn.BYROW(B52,_xlfn.LAMBDA(_xlpm.party,
(SUMIFS(ledger!J:J,ledger!B:B,_xlpm.party,ledger!E:E,"&lt;&gt;*RD*",ledger!D:D,"Chamki",ledger!C:C,"&lt;&gt;October Closing CF")+
SUMIFS(ledger!J:J,ledger!B:B,_xlpm.party,ledger!E:E,"&lt;&gt;*RD*",ledger!D:D,"Crinkle",ledger!C:C,"&lt;&gt;October Closing CF")
)+_xlfn.IFNA(G87,0))))</f>
        <v>1269270.3440380397</v>
      </c>
      <c r="W8" s="70" cm="1">
        <f t="array" ref="W8">_xlfn.BYROW(B52, _xlfn.LAMBDA(_xlpm.party,
   SUMIFS(ledger!J:J, ledger!B:B, _xlpm.party, ledger!E:E, "&lt;&gt;*RD*", ledger!D:D, "Silky", ledger!C:C, "&lt;&gt;October Closing CF")
)) + _xlfn.IFNA(H87, 0)</f>
        <v>0</v>
      </c>
      <c r="X8" s="70" cm="1">
        <f t="array" ref="X8">_xlfn.BYROW(B52, _xlfn.LAMBDA(_xlpm.party,
   SUMIFS(ledger!J:J, ledger!B:B, _xlpm.party, ledger!E:E, "&lt;&gt;*RD*", ledger!D:D, "Slub", ledger!C:C, "&lt;&gt;October Closing CF")
))+ _xlfn.IFNA(I87, 0)</f>
        <v>0</v>
      </c>
      <c r="Y8" s="70" cm="1">
        <f t="array" ref="Y8">_xlfn.BYROW(B52, _xlfn.LAMBDA(_xlpm.party,
   SUMIFS(ledger!J:J, ledger!B:B, _xlpm.party, ledger!E:E, "&lt;&gt;*RD*", ledger!D:D, "Satin", ledger!C:C, "&lt;&gt;October Closing CF")
))+ _xlfn.IFNA(J87, 0)</f>
        <v>0</v>
      </c>
      <c r="Z8" s="70" cm="1">
        <f t="array" ref="Z8">_xlfn.BYROW(B52, _xlfn.LAMBDA(_xlpm.party,
   SUMIFS(ledger!J:J, ledger!B:B, _xlpm.party, ledger!E:E, "&lt;&gt;*RD*", ledger!D:D, "Black-Chamki", ledger!C:C, "&lt;&gt;October Closing CF")
))</f>
        <v>0</v>
      </c>
      <c r="AA8" s="70" cm="1">
        <f t="array" ref="AA8">_xlfn.BYROW(B52, _xlfn.LAMBDA(_xlpm.party,
   SUMIFS(ledger!J:J, ledger!B:B, _xlpm.party, ledger!E:E, "&lt;&gt;*RD*", ledger!D:D, "Kataan", ledger!C:C, "&lt;&gt;October Closing CF")
))</f>
        <v>0</v>
      </c>
      <c r="AB8" s="39">
        <f t="shared" si="1"/>
        <v>1269270.3440380397</v>
      </c>
      <c r="AC8" s="22">
        <f>(SUMIF(Table14[Party],Q8,Table14[Credit]))+_xlfn.IFNA(L87,0)</f>
        <v>1268740</v>
      </c>
      <c r="AD8" s="33">
        <f>AB8-AC8</f>
        <v>530.34403803967871</v>
      </c>
      <c r="AE8" s="21">
        <v>10.5</v>
      </c>
      <c r="AF8" s="21">
        <v>13</v>
      </c>
    </row>
    <row r="9" spans="2:32" x14ac:dyDescent="0.3">
      <c r="B9" t="str">
        <f t="shared" si="0"/>
        <v>Azam</v>
      </c>
      <c r="C9" s="18">
        <f>SUMIFS(ledger!G:G, ledger!B:B, B9, ledger!E:E, "&lt;&gt;*RD*") / 1.0936</f>
        <v>139682.69934162401</v>
      </c>
      <c r="D9">
        <v>10</v>
      </c>
      <c r="E9" s="14">
        <f>(SUMIFS(ledger!G:G, ledger!B:B, B9, ledger!E:E, "&lt;&gt;*RD*",ledger!D:D, "Silky") / 1.0936)*12 + (SUMIFS(ledger!G:G, ledger!B:B, B9, ledger!E:E, "&lt;&gt;*RD*",ledger!D:D, "Chamki") / 1.0936)*10</f>
        <v>1396826.9934162402</v>
      </c>
      <c r="Q9" s="24" t="str">
        <v>Sufi Nawaz Sahab</v>
      </c>
      <c r="R9" s="22" cm="1">
        <f t="array" ref="R9">_xlfn.BYROW(B53,_xlfn.LAMBDA(_xlpm.party,SUMIFS(ledger!G:G,ledger!B:B,_xlpm.party,ledger!E:E,"&lt;&gt;*RD*")))+_xlfn.IFNA(C88,0)</f>
        <v>1186725</v>
      </c>
      <c r="S9" s="22" cm="1">
        <f t="array" ref="S9">_xlfn.BYROW(B53, _xlfn.LAMBDA(_xlpm.party, SUMIFS(ledger!G:G, ledger!B:B, _xlpm.party, ledger!E:E, "&lt;&gt;*RD*") / 1.0936 ))+_xlfn.IFNA(D88,0)</f>
        <v>1085154.5354791514</v>
      </c>
      <c r="T9" s="22" cm="1">
        <f t="array" ref="T9">(_xlfn.BYROW(B53,_xlfn.LAMBDA(_xlpm.party,SUMIFS(ledger!G:G,ledger!B:B,_xlpm.party,ledger!E:E,"&lt;&gt;*RD*",ledger!D:D,"Chamki")+SUMIFS(ledger!G:G, ledger!B:B, _xlpm.party, ledger!E:E, "&lt;&gt;*RD*", ledger!D:D, "Crinkle")))/1.0936)+_xlfn.IFNA(E88,0)</f>
        <v>599330.65106071695</v>
      </c>
      <c r="U9" s="70" cm="1">
        <f t="array" ref="U9">(_xlfn.BYROW(B53,_xlfn.LAMBDA(_xlpm.party,SUMIFS(ledger!G:G,ledger!B:B,_xlpm.party,ledger!E:E,"&lt;&gt;*RD*",ledger!D:D,"Silky")))/1.0936)+_xlfn.IFNA(F88,0)</f>
        <v>485823.88441843458</v>
      </c>
      <c r="V9" s="22" cm="1">
        <f t="array" ref="V9">(_xlfn.BYROW(B53,_xlfn.LAMBDA(_xlpm.party,
(SUMIFS(ledger!J:J,ledger!B:B,_xlpm.party,ledger!E:E,"&lt;&gt;*RD*",ledger!D:D,"Chamki",ledger!C:C,"&lt;&gt;October Closing CF")+
SUMIFS(ledger!J:J,ledger!B:B,_xlpm.party,ledger!E:E,"&lt;&gt;*RD*",ledger!D:D,"Crinkle",ledger!C:C,"&lt;&gt;October Closing CF")
)+_xlfn.IFNA(G88,0))))</f>
        <v>5408917.8595464528</v>
      </c>
      <c r="W9" s="70" cm="1">
        <f t="array" ref="W9">_xlfn.BYROW(B53, _xlfn.LAMBDA(_xlpm.party,
   SUMIFS(ledger!J:J, ledger!B:B, _xlpm.party, ledger!E:E, "&lt;&gt;*RD*", ledger!D:D, "Silky", ledger!C:C, "&lt;&gt;October Closing CF")
)) + _xlfn.IFNA(H88, 0)</f>
        <v>5829886.6130212145</v>
      </c>
      <c r="X9" s="70" cm="1">
        <f t="array" ref="X9">_xlfn.BYROW(B53, _xlfn.LAMBDA(_xlpm.party,
   SUMIFS(ledger!J:J, ledger!B:B, _xlpm.party, ledger!E:E, "&lt;&gt;*RD*", ledger!D:D, "Slub", ledger!C:C, "&lt;&gt;October Closing CF")
))+ _xlfn.IFNA(I88, 0)</f>
        <v>0</v>
      </c>
      <c r="Y9" s="70" cm="1">
        <f t="array" ref="Y9">_xlfn.BYROW(B53, _xlfn.LAMBDA(_xlpm.party,
   SUMIFS(ledger!J:J, ledger!B:B, _xlpm.party, ledger!E:E, "&lt;&gt;*RD*", ledger!D:D, "Satin", ledger!C:C, "&lt;&gt;October Closing CF")
))+ _xlfn.IFNA(J88, 0)</f>
        <v>0</v>
      </c>
      <c r="Z9" s="70" cm="1">
        <f t="array" ref="Z9">_xlfn.BYROW(B53, _xlfn.LAMBDA(_xlpm.party,
   SUMIFS(ledger!J:J, ledger!B:B, _xlpm.party, ledger!E:E, "&lt;&gt;*RD*", ledger!D:D, "Black-Chamki", ledger!C:C, "&lt;&gt;October Closing CF")
))</f>
        <v>0</v>
      </c>
      <c r="AA9" s="70" cm="1">
        <f t="array" ref="AA9">_xlfn.BYROW(B53, _xlfn.LAMBDA(_xlpm.party,
   SUMIFS(ledger!J:J, ledger!B:B, _xlpm.party, ledger!E:E, "&lt;&gt;*RD*", ledger!D:D, "Kataan", ledger!C:C, "&lt;&gt;October Closing CF")
))</f>
        <v>0</v>
      </c>
      <c r="AB9" s="39">
        <f t="shared" si="1"/>
        <v>11238804.472567666</v>
      </c>
      <c r="AC9" s="22">
        <f>(SUMIF(Table14[Party],Q9,Table14[Credit]))+_xlfn.IFNA(L88,0)</f>
        <v>10629100</v>
      </c>
      <c r="AD9" s="33">
        <f t="shared" ref="AD9:AD17" si="2">AB9-AC9</f>
        <v>609704.47256766632</v>
      </c>
      <c r="AE9" s="21">
        <v>10</v>
      </c>
      <c r="AF9" s="21">
        <v>13</v>
      </c>
    </row>
    <row r="10" spans="2:32" x14ac:dyDescent="0.3">
      <c r="B10" t="str">
        <f t="shared" si="0"/>
        <v>Ubaidullah</v>
      </c>
      <c r="C10" s="18">
        <f>SUMIFS(ledger!G:G, ledger!B:B, B10, ledger!E:E, "&lt;&gt;*RD*") / 1.0936</f>
        <v>0</v>
      </c>
      <c r="D10">
        <v>10</v>
      </c>
      <c r="E10" s="14">
        <f>(SUMIFS(ledger!G:G, ledger!B:B, B10, ledger!E:E, "&lt;&gt;*RD*",ledger!D:D, "Silky") / 1.0936)*12 + (SUMIFS(ledger!G:G, ledger!B:B, B10, ledger!E:E, "&lt;&gt;*RD*",ledger!D:D, "Chamki") / 1.0936)*10</f>
        <v>0</v>
      </c>
      <c r="Q10" s="24" t="str">
        <v>Sajad Khan</v>
      </c>
      <c r="R10" s="22" cm="1">
        <f t="array" ref="R10">_xlfn.BYROW(B54,_xlfn.LAMBDA(_xlpm.party,SUMIFS(ledger!G:G,ledger!B:B,_xlpm.party,ledger!E:E,"&lt;&gt;*RD*")))+_xlfn.IFNA(C89,0)</f>
        <v>792787</v>
      </c>
      <c r="S10" s="22" cm="1">
        <f t="array" ref="S10">_xlfn.BYROW(B54, _xlfn.LAMBDA(_xlpm.party, SUMIFS(ledger!G:G, ledger!B:B, _xlpm.party, ledger!E:E, "&lt;&gt;*RD*") / 1.0936 ))+_xlfn.IFNA(D89,0)</f>
        <v>724933.24798829562</v>
      </c>
      <c r="T10" s="22" cm="1">
        <f t="array" ref="T10">(_xlfn.BYROW(B54,_xlfn.LAMBDA(_xlpm.party,SUMIFS(ledger!G:G,ledger!B:B,_xlpm.party,ledger!E:E,"&lt;&gt;*RD*",ledger!D:D,"Chamki")+SUMIFS(ledger!G:G, ledger!B:B, _xlpm.party, ledger!E:E, "&lt;&gt;*RD*", ledger!D:D, "Crinkle")))/1.0936)+_xlfn.IFNA(E89,0)</f>
        <v>719444.03803950257</v>
      </c>
      <c r="U10" s="70" cm="1">
        <f t="array" ref="U10">(_xlfn.BYROW(B54,_xlfn.LAMBDA(_xlpm.party,SUMIFS(ledger!G:G,ledger!B:B,_xlpm.party,ledger!E:E,"&lt;&gt;*RD*",ledger!D:D,"Silky")))/1.0936)+_xlfn.IFNA(F89,0)</f>
        <v>0</v>
      </c>
      <c r="V10" s="22" cm="1">
        <f t="array" ref="V10">(_xlfn.BYROW(B54,_xlfn.LAMBDA(_xlpm.party,
(SUMIFS(ledger!J:J,ledger!B:B,_xlpm.party,ledger!E:E,"&lt;&gt;*RD*",ledger!D:D,"Chamki",ledger!C:C,"&lt;&gt;October Closing CF")+
SUMIFS(ledger!J:J,ledger!B:B,_xlpm.party,ledger!E:E,"&lt;&gt;*RD*",ledger!D:D,"Crinkle",ledger!C:C,"&lt;&gt;October Closing CF")
)+_xlfn.IFNA(G89,0))))</f>
        <v>7194440.3803950259</v>
      </c>
      <c r="W10" s="70" cm="1">
        <f t="array" ref="W10">_xlfn.BYROW(B54, _xlfn.LAMBDA(_xlpm.party,
   SUMIFS(ledger!J:J, ledger!B:B, _xlpm.party, ledger!E:E, "&lt;&gt;*RD*", ledger!D:D, "Silky", ledger!C:C, "&lt;&gt;October Closing CF")
)) + _xlfn.IFNA(H89, 0)</f>
        <v>0</v>
      </c>
      <c r="X10" s="70" cm="1">
        <f t="array" ref="X10">_xlfn.BYROW(B54, _xlfn.LAMBDA(_xlpm.party,
   SUMIFS(ledger!J:J, ledger!B:B, _xlpm.party, ledger!E:E, "&lt;&gt;*RD*", ledger!D:D, "Slub", ledger!C:C, "&lt;&gt;October Closing CF")
))+ _xlfn.IFNA(I89, 0)</f>
        <v>71359.729334308722</v>
      </c>
      <c r="Y10" s="70" cm="1">
        <f t="array" ref="Y10">_xlfn.BYROW(B54, _xlfn.LAMBDA(_xlpm.party,
   SUMIFS(ledger!J:J, ledger!B:B, _xlpm.party, ledger!E:E, "&lt;&gt;*RD*", ledger!D:D, "Satin", ledger!C:C, "&lt;&gt;October Closing CF")
))+ _xlfn.IFNA(J89, 0)</f>
        <v>0</v>
      </c>
      <c r="Z10" s="70" cm="1">
        <f t="array" ref="Z10">_xlfn.BYROW(B54, _xlfn.LAMBDA(_xlpm.party,
   SUMIFS(ledger!J:J, ledger!B:B, _xlpm.party, ledger!E:E, "&lt;&gt;*RD*", ledger!D:D, "Black-Chamki", ledger!C:C, "&lt;&gt;October Closing CF")
))</f>
        <v>0</v>
      </c>
      <c r="AA10" s="70" cm="1">
        <f t="array" ref="AA10">_xlfn.BYROW(B54, _xlfn.LAMBDA(_xlpm.party,
   SUMIFS(ledger!J:J, ledger!B:B, _xlpm.party, ledger!E:E, "&lt;&gt;*RD*", ledger!D:D, "Kataan", ledger!C:C, "&lt;&gt;October Closing CF")
))</f>
        <v>0</v>
      </c>
      <c r="AB10" s="39">
        <f t="shared" si="1"/>
        <v>7265800.1097293347</v>
      </c>
      <c r="AC10" s="22">
        <f>(SUMIF(Table14[Party],Q10,Table14[Credit]))+_xlfn.IFNA(L89,0)</f>
        <v>6897871</v>
      </c>
      <c r="AD10" s="33">
        <f t="shared" si="2"/>
        <v>367929.10972933471</v>
      </c>
      <c r="AE10" s="21">
        <v>10</v>
      </c>
      <c r="AF10" s="21">
        <v>13</v>
      </c>
    </row>
    <row r="11" spans="2:32" x14ac:dyDescent="0.3">
      <c r="B11" t="str">
        <f t="shared" si="0"/>
        <v>Ashraf Zia</v>
      </c>
      <c r="C11" s="18">
        <f>SUMIFS(ledger!G:G, ledger!B:B, B11, ledger!E:E, "&lt;&gt;*RD*") / 1.0936</f>
        <v>0</v>
      </c>
      <c r="D11">
        <v>12</v>
      </c>
      <c r="E11" s="14">
        <f>(SUMIFS(ledger!G:G, ledger!B:B, B11, ledger!E:E, "&lt;&gt;*RD*",ledger!D:D, "Silky") / 1.0936)*12 + (SUMIFS(ledger!G:G, ledger!B:B, B11, ledger!E:E, "&lt;&gt;*RD*",ledger!D:D, "Chamki") / 1.0936)*10</f>
        <v>0</v>
      </c>
      <c r="Q11" s="24" t="str">
        <v>Raaz Fabrics</v>
      </c>
      <c r="R11" s="22" cm="1">
        <f t="array" ref="R11">_xlfn.BYROW(B55,_xlfn.LAMBDA(_xlpm.party,SUMIFS(ledger!G:G,ledger!B:B,_xlpm.party,ledger!E:E,"&lt;&gt;*RD*")))+_xlfn.IFNA(C90,0)</f>
        <v>152434</v>
      </c>
      <c r="S11" s="22" cm="1">
        <f t="array" ref="S11">_xlfn.BYROW(B55, _xlfn.LAMBDA(_xlpm.party, SUMIFS(ledger!G:G, ledger!B:B, _xlpm.party, ledger!E:E, "&lt;&gt;*RD*") / 1.0936 ))+_xlfn.IFNA(D90,0)</f>
        <v>139387.34455010976</v>
      </c>
      <c r="T11" s="22" cm="1">
        <f t="array" ref="T11">(_xlfn.BYROW(B55,_xlfn.LAMBDA(_xlpm.party,SUMIFS(ledger!G:G,ledger!B:B,_xlpm.party,ledger!E:E,"&lt;&gt;*RD*",ledger!D:D,"Chamki")+SUMIFS(ledger!G:G, ledger!B:B, _xlpm.party, ledger!E:E, "&lt;&gt;*RD*", ledger!D:D, "Crinkle")))/1.0936)+_xlfn.IFNA(E90,0)</f>
        <v>139387.34455010976</v>
      </c>
      <c r="U11" s="70" cm="1">
        <f t="array" ref="U11">(_xlfn.BYROW(B55,_xlfn.LAMBDA(_xlpm.party,SUMIFS(ledger!G:G,ledger!B:B,_xlpm.party,ledger!E:E,"&lt;&gt;*RD*",ledger!D:D,"Silky")))/1.0936)+_xlfn.IFNA(F90,0)</f>
        <v>0</v>
      </c>
      <c r="V11" s="22" cm="1">
        <f t="array" ref="V11">(_xlfn.BYROW(B55,_xlfn.LAMBDA(_xlpm.party,
(SUMIFS(ledger!J:J,ledger!B:B,_xlpm.party,ledger!E:E,"&lt;&gt;*RD*",ledger!D:D,"Chamki",ledger!C:C,"&lt;&gt;October Closing CF")+
SUMIFS(ledger!J:J,ledger!B:B,_xlpm.party,ledger!E:E,"&lt;&gt;*RD*",ledger!D:D,"Crinkle",ledger!C:C,"&lt;&gt;October Closing CF")
)+_xlfn.IFNA(G90,0))))</f>
        <v>1393873.4455010975</v>
      </c>
      <c r="W11" s="70" cm="1">
        <f t="array" ref="W11">_xlfn.BYROW(B55, _xlfn.LAMBDA(_xlpm.party,
   SUMIFS(ledger!J:J, ledger!B:B, _xlpm.party, ledger!E:E, "&lt;&gt;*RD*", ledger!D:D, "Silky", ledger!C:C, "&lt;&gt;October Closing CF")
)) + _xlfn.IFNA(H90, 0)</f>
        <v>0</v>
      </c>
      <c r="X11" s="70" cm="1">
        <f t="array" ref="X11">_xlfn.BYROW(B55, _xlfn.LAMBDA(_xlpm.party,
   SUMIFS(ledger!J:J, ledger!B:B, _xlpm.party, ledger!E:E, "&lt;&gt;*RD*", ledger!D:D, "Slub", ledger!C:C, "&lt;&gt;October Closing CF")
))+ _xlfn.IFNA(I90, 0)</f>
        <v>0</v>
      </c>
      <c r="Y11" s="70" cm="1">
        <f t="array" ref="Y11">_xlfn.BYROW(B55, _xlfn.LAMBDA(_xlpm.party,
   SUMIFS(ledger!J:J, ledger!B:B, _xlpm.party, ledger!E:E, "&lt;&gt;*RD*", ledger!D:D, "Satin", ledger!C:C, "&lt;&gt;October Closing CF")
))+ _xlfn.IFNA(J90, 0)</f>
        <v>0</v>
      </c>
      <c r="Z11" s="70" cm="1">
        <f t="array" ref="Z11">_xlfn.BYROW(B55, _xlfn.LAMBDA(_xlpm.party,
   SUMIFS(ledger!J:J, ledger!B:B, _xlpm.party, ledger!E:E, "&lt;&gt;*RD*", ledger!D:D, "Black-Chamki", ledger!C:C, "&lt;&gt;October Closing CF")
))</f>
        <v>0</v>
      </c>
      <c r="AA11" s="70" cm="1">
        <f t="array" ref="AA11">_xlfn.BYROW(B55, _xlfn.LAMBDA(_xlpm.party,
   SUMIFS(ledger!J:J, ledger!B:B, _xlpm.party, ledger!E:E, "&lt;&gt;*RD*", ledger!D:D, "Kataan", ledger!C:C, "&lt;&gt;October Closing CF")
))</f>
        <v>0</v>
      </c>
      <c r="AB11" s="39">
        <f t="shared" si="1"/>
        <v>1393873.4455010975</v>
      </c>
      <c r="AC11" s="22">
        <f>(SUMIF(Table14[Party],Q11,Table14[Credit]))+_xlfn.IFNA(L90,0)</f>
        <v>1000000</v>
      </c>
      <c r="AD11" s="33">
        <f t="shared" si="2"/>
        <v>393873.44550109748</v>
      </c>
      <c r="AE11" s="21">
        <v>10</v>
      </c>
      <c r="AF11" s="21">
        <v>13</v>
      </c>
    </row>
    <row r="12" spans="2:32" x14ac:dyDescent="0.3">
      <c r="B12" t="str">
        <f t="shared" si="0"/>
        <v>Hafiz Qureshi</v>
      </c>
      <c r="C12" s="18">
        <f>SUMIFS(ledger!G:G, ledger!B:B, B12, ledger!E:E, "&lt;&gt;*RD*") / 1.0936</f>
        <v>64305.047549378207</v>
      </c>
      <c r="E12" s="14">
        <f>(SUMIFS(ledger!G:G, ledger!B:B, B12, ledger!E:E, "&lt;&gt;*RD*",ledger!D:D, "Silky") / 1.0936)*12 + (SUMIFS(ledger!G:G, ledger!B:B, B12, ledger!E:E, "&lt;&gt;*RD*",ledger!D:D, "Chamki") / 1.0936)*10</f>
        <v>643050.47549378208</v>
      </c>
      <c r="O12" s="28"/>
      <c r="P12" s="28"/>
      <c r="Q12" s="24" t="str">
        <v>Azam</v>
      </c>
      <c r="R12" s="22" cm="1">
        <f t="array" ref="R12">_xlfn.BYROW(B56,_xlfn.LAMBDA(_xlpm.party,SUMIFS(ledger!G:G,ledger!B:B,_xlpm.party,ledger!E:E,"&lt;&gt;*RD*")))+_xlfn.IFNA(C91,0)</f>
        <v>357257</v>
      </c>
      <c r="S12" s="22" cm="1">
        <f t="array" ref="S12">_xlfn.BYROW(B56, _xlfn.LAMBDA(_xlpm.party, SUMIFS(ledger!G:G, ledger!B:B, _xlpm.party, ledger!E:E, "&lt;&gt;*RD*") / 1.0936 ))+_xlfn.IFNA(D91,0)</f>
        <v>326679.77322604251</v>
      </c>
      <c r="T12" s="22" cm="1">
        <f t="array" ref="T12">(_xlfn.BYROW(B56,_xlfn.LAMBDA(_xlpm.party,SUMIFS(ledger!G:G,ledger!B:B,_xlpm.party,ledger!E:E,"&lt;&gt;*RD*",ledger!D:D,"Chamki")+SUMIFS(ledger!G:G, ledger!B:B, _xlpm.party, ledger!E:E, "&lt;&gt;*RD*", ledger!D:D, "Crinkle")))/1.0936)+_xlfn.IFNA(E91,0)</f>
        <v>301491.4045354792</v>
      </c>
      <c r="U12" s="70" cm="1">
        <f t="array" ref="U12">(_xlfn.BYROW(B56,_xlfn.LAMBDA(_xlpm.party,SUMIFS(ledger!G:G,ledger!B:B,_xlpm.party,ledger!E:E,"&lt;&gt;*RD*",ledger!D:D,"Silky")))/1.0936)+_xlfn.IFNA(F91,0)</f>
        <v>25188.368690563279</v>
      </c>
      <c r="V12" s="22" cm="1">
        <f t="array" ref="V12">(_xlfn.BYROW(B56,_xlfn.LAMBDA(_xlpm.party,
(SUMIFS(ledger!J:J,ledger!B:B,_xlpm.party,ledger!E:E,"&lt;&gt;*RD*",ledger!D:D,"Chamki",ledger!C:C,"&lt;&gt;October Closing CF")+
SUMIFS(ledger!J:J,ledger!B:B,_xlpm.party,ledger!E:E,"&lt;&gt;*RD*",ledger!D:D,"Crinkle",ledger!C:C,"&lt;&gt;October Closing CF")
)+_xlfn.IFNA(G91,0))))</f>
        <v>3014914.0453547919</v>
      </c>
      <c r="W12" s="70" cm="1">
        <f t="array" ref="W12">_xlfn.BYROW(B56, _xlfn.LAMBDA(_xlpm.party,
   SUMIFS(ledger!J:J, ledger!B:B, _xlpm.party, ledger!E:E, "&lt;&gt;*RD*", ledger!D:D, "Silky", ledger!C:C, "&lt;&gt;October Closing CF")
)) + _xlfn.IFNA(H91, 0)</f>
        <v>327448.79297732259</v>
      </c>
      <c r="X12" s="70" cm="1">
        <f t="array" ref="X12">_xlfn.BYROW(B56, _xlfn.LAMBDA(_xlpm.party,
   SUMIFS(ledger!J:J, ledger!B:B, _xlpm.party, ledger!E:E, "&lt;&gt;*RD*", ledger!D:D, "Slub", ledger!C:C, "&lt;&gt;October Closing CF")
))+ _xlfn.IFNA(I91, 0)</f>
        <v>0</v>
      </c>
      <c r="Y12" s="70" cm="1">
        <f t="array" ref="Y12">_xlfn.BYROW(B56, _xlfn.LAMBDA(_xlpm.party,
   SUMIFS(ledger!J:J, ledger!B:B, _xlpm.party, ledger!E:E, "&lt;&gt;*RD*", ledger!D:D, "Satin", ledger!C:C, "&lt;&gt;October Closing CF")
))+ _xlfn.IFNA(J91, 0)</f>
        <v>0</v>
      </c>
      <c r="Z12" s="70" cm="1">
        <f t="array" ref="Z12">_xlfn.BYROW(B56, _xlfn.LAMBDA(_xlpm.party,
   SUMIFS(ledger!J:J, ledger!B:B, _xlpm.party, ledger!E:E, "&lt;&gt;*RD*", ledger!D:D, "Black-Chamki", ledger!C:C, "&lt;&gt;October Closing CF")
))</f>
        <v>0</v>
      </c>
      <c r="AA12" s="70" cm="1">
        <f t="array" ref="AA12">_xlfn.BYROW(B56, _xlfn.LAMBDA(_xlpm.party,
   SUMIFS(ledger!J:J, ledger!B:B, _xlpm.party, ledger!E:E, "&lt;&gt;*RD*", ledger!D:D, "Kataan", ledger!C:C, "&lt;&gt;October Closing CF")
))</f>
        <v>0</v>
      </c>
      <c r="AB12" s="39">
        <f t="shared" si="1"/>
        <v>3342362.8383321147</v>
      </c>
      <c r="AC12" s="22">
        <f>(SUMIF(Table14[Party],Q12,Table14[Credit]))+_xlfn.IFNA(L91,0)</f>
        <v>3322620</v>
      </c>
      <c r="AD12" s="33">
        <f t="shared" si="2"/>
        <v>19742.838332114741</v>
      </c>
      <c r="AE12" s="21">
        <v>10</v>
      </c>
      <c r="AF12" s="21">
        <v>13</v>
      </c>
    </row>
    <row r="13" spans="2:32" x14ac:dyDescent="0.3">
      <c r="B13" t="str">
        <f t="shared" si="0"/>
        <v>Badshah Fabrics</v>
      </c>
      <c r="C13" s="18">
        <f>SUMIFS(ledger!G:G, ledger!B:B, B13, ledger!E:E, "&lt;&gt;*RD*") / 1.0936</f>
        <v>68178.493050475503</v>
      </c>
      <c r="E13" s="14">
        <f>(SUMIFS(ledger!G:G, ledger!B:B, B13, ledger!E:E, "&lt;&gt;*RD*",ledger!D:D, "Silky") / 1.0936)*12 + (SUMIFS(ledger!G:G, ledger!B:B, B13, ledger!E:E, "&lt;&gt;*RD*",ledger!D:D, "Chamki") / 1.0936)*10</f>
        <v>789903.07242136076</v>
      </c>
      <c r="Q13" s="24" t="str">
        <v>Ubaidullah</v>
      </c>
      <c r="R13" s="22" cm="1">
        <f t="array" ref="R13">_xlfn.BYROW(B57,_xlfn.LAMBDA(_xlpm.party,SUMIFS(ledger!G:G,ledger!B:B,_xlpm.party,ledger!E:E,"&lt;&gt;*RD*")))+_xlfn.IFNA(C92,0)</f>
        <v>66850</v>
      </c>
      <c r="S13" s="22" cm="1">
        <f t="array" ref="S13">_xlfn.BYROW(B57, _xlfn.LAMBDA(_xlpm.party, SUMIFS(ledger!G:G, ledger!B:B, _xlpm.party, ledger!E:E, "&lt;&gt;*RD*") / 1.0936 ))+_xlfn.IFNA(D92,0)</f>
        <v>61128.383321141191</v>
      </c>
      <c r="T13" s="22" cm="1">
        <f t="array" ref="T13">(_xlfn.BYROW(B57,_xlfn.LAMBDA(_xlpm.party,SUMIFS(ledger!G:G,ledger!B:B,_xlpm.party,ledger!E:E,"&lt;&gt;*RD*",ledger!D:D,"Chamki")+SUMIFS(ledger!G:G, ledger!B:B, _xlpm.party, ledger!E:E, "&lt;&gt;*RD*", ledger!D:D, "Crinkle")))/1.0936)+_xlfn.IFNA(E92,0)</f>
        <v>46132.955376737387</v>
      </c>
      <c r="U13" s="70" cm="1">
        <f t="array" ref="U13">(_xlfn.BYROW(B57,_xlfn.LAMBDA(_xlpm.party,SUMIFS(ledger!G:G,ledger!B:B,_xlpm.party,ledger!E:E,"&lt;&gt;*RD*",ledger!D:D,"Silky")))/1.0936)+_xlfn.IFNA(F92,0)</f>
        <v>14995.427944403806</v>
      </c>
      <c r="V13" s="22" cm="1">
        <f t="array" ref="V13">(_xlfn.BYROW(B57,_xlfn.LAMBDA(_xlpm.party,
(SUMIFS(ledger!J:J,ledger!B:B,_xlpm.party,ledger!E:E,"&lt;&gt;*RD*",ledger!D:D,"Chamki",ledger!C:C,"&lt;&gt;October Closing CF")+
SUMIFS(ledger!J:J,ledger!B:B,_xlpm.party,ledger!E:E,"&lt;&gt;*RD*",ledger!D:D,"Crinkle",ledger!C:C,"&lt;&gt;October Closing CF")
)+_xlfn.IFNA(G92,0))))</f>
        <v>461329.5537673739</v>
      </c>
      <c r="W13" s="70" cm="1">
        <f t="array" ref="W13">_xlfn.BYROW(B57, _xlfn.LAMBDA(_xlpm.party,
   SUMIFS(ledger!J:J, ledger!B:B, _xlpm.party, ledger!E:E, "&lt;&gt;*RD*", ledger!D:D, "Silky", ledger!C:C, "&lt;&gt;October Closing CF")
)) + _xlfn.IFNA(H92, 0)</f>
        <v>179945.13533284568</v>
      </c>
      <c r="X13" s="70" cm="1">
        <f t="array" ref="X13">_xlfn.BYROW(B57, _xlfn.LAMBDA(_xlpm.party,
   SUMIFS(ledger!J:J, ledger!B:B, _xlpm.party, ledger!E:E, "&lt;&gt;*RD*", ledger!D:D, "Slub", ledger!C:C, "&lt;&gt;October Closing CF")
))+ _xlfn.IFNA(I92, 0)</f>
        <v>0</v>
      </c>
      <c r="Y13" s="70" cm="1">
        <f t="array" ref="Y13">_xlfn.BYROW(B57, _xlfn.LAMBDA(_xlpm.party,
   SUMIFS(ledger!J:J, ledger!B:B, _xlpm.party, ledger!E:E, "&lt;&gt;*RD*", ledger!D:D, "Satin", ledger!C:C, "&lt;&gt;October Closing CF")
))+ _xlfn.IFNA(J92, 0)</f>
        <v>0</v>
      </c>
      <c r="Z13" s="70" cm="1">
        <f t="array" ref="Z13">_xlfn.BYROW(B57, _xlfn.LAMBDA(_xlpm.party,
   SUMIFS(ledger!J:J, ledger!B:B, _xlpm.party, ledger!E:E, "&lt;&gt;*RD*", ledger!D:D, "Black-Chamki", ledger!C:C, "&lt;&gt;October Closing CF")
))</f>
        <v>0</v>
      </c>
      <c r="AA13" s="70" cm="1">
        <f t="array" ref="AA13">_xlfn.BYROW(B57, _xlfn.LAMBDA(_xlpm.party,
   SUMIFS(ledger!J:J, ledger!B:B, _xlpm.party, ledger!E:E, "&lt;&gt;*RD*", ledger!D:D, "Kataan", ledger!C:C, "&lt;&gt;October Closing CF")
))</f>
        <v>0</v>
      </c>
      <c r="AB13" s="39">
        <f t="shared" si="1"/>
        <v>641274.68910021964</v>
      </c>
      <c r="AC13" s="22">
        <f>(SUMIF(Table14[Party],Q13,Table14[Credit]))+_xlfn.IFNA(L92,0)</f>
        <v>640190</v>
      </c>
      <c r="AD13" s="33">
        <f t="shared" si="2"/>
        <v>1084.6891002196353</v>
      </c>
      <c r="AE13" s="21">
        <v>10</v>
      </c>
      <c r="AF13" s="21">
        <v>13</v>
      </c>
    </row>
    <row r="14" spans="2:32" x14ac:dyDescent="0.3">
      <c r="B14" t="str">
        <f t="shared" si="0"/>
        <v>Reject</v>
      </c>
      <c r="C14" s="18">
        <f>SUMIFS(ledger!G:G, ledger!B:B, B14, ledger!E:E, "&lt;&gt;*RD*") / 1.0936</f>
        <v>0</v>
      </c>
      <c r="E14" s="14">
        <f>(SUMIFS(ledger!G:G, ledger!B:B, B14, ledger!E:E, "&lt;&gt;*RD*",ledger!D:D, "Silky") / 1.0936)*12 + (SUMIFS(ledger!G:G, ledger!B:B, B14, ledger!E:E, "&lt;&gt;*RD*",ledger!D:D, "Chamki") / 1.0936)*10</f>
        <v>0</v>
      </c>
      <c r="Q14" s="24" t="str">
        <v>Ashraf Zia</v>
      </c>
      <c r="R14" s="22" cm="1">
        <f t="array" ref="R14">_xlfn.BYROW(B58,_xlfn.LAMBDA(_xlpm.party,SUMIFS(ledger!G:G,ledger!B:B,_xlpm.party,ledger!E:E,"&lt;&gt;*RD*")))+_xlfn.IFNA(C93,0)</f>
        <v>23305</v>
      </c>
      <c r="S14" s="22" cm="1">
        <f t="array" ref="S14">_xlfn.BYROW(B58, _xlfn.LAMBDA(_xlpm.party, SUMIFS(ledger!G:G, ledger!B:B, _xlpm.party, ledger!E:E, "&lt;&gt;*RD*") / 1.0936 ))+_xlfn.IFNA(D93,0)</f>
        <v>21310.35113386979</v>
      </c>
      <c r="T14" s="22" cm="1">
        <f t="array" ref="T14">(_xlfn.BYROW(B58,_xlfn.LAMBDA(_xlpm.party,SUMIFS(ledger!G:G,ledger!B:B,_xlpm.party,ledger!E:E,"&lt;&gt;*RD*",ledger!D:D,"Chamki")+SUMIFS(ledger!G:G, ledger!B:B, _xlpm.party, ledger!E:E, "&lt;&gt;*RD*", ledger!D:D, "Crinkle")))/1.0936)+_xlfn.IFNA(E93,0)</f>
        <v>21310.35113386979</v>
      </c>
      <c r="U14" s="70" cm="1">
        <f t="array" ref="U14">(_xlfn.BYROW(B58,_xlfn.LAMBDA(_xlpm.party,SUMIFS(ledger!G:G,ledger!B:B,_xlpm.party,ledger!E:E,"&lt;&gt;*RD*",ledger!D:D,"Silky")))/1.0936)+_xlfn.IFNA(F93,0)</f>
        <v>0</v>
      </c>
      <c r="V14" s="22" cm="1">
        <f t="array" ref="V14">(_xlfn.BYROW(B58,_xlfn.LAMBDA(_xlpm.party,
(SUMIFS(ledger!J:J,ledger!B:B,_xlpm.party,ledger!E:E,"&lt;&gt;*RD*",ledger!D:D,"Chamki",ledger!C:C,"&lt;&gt;October Closing CF")+
SUMIFS(ledger!J:J,ledger!B:B,_xlpm.party,ledger!E:E,"&lt;&gt;*RD*",ledger!D:D,"Crinkle",ledger!C:C,"&lt;&gt;October Closing CF")
)+_xlfn.IFNA(G93,0))))</f>
        <v>255724.21360643749</v>
      </c>
      <c r="W14" s="70" cm="1">
        <f t="array" ref="W14">_xlfn.BYROW(B58, _xlfn.LAMBDA(_xlpm.party,
   SUMIFS(ledger!J:J, ledger!B:B, _xlpm.party, ledger!E:E, "&lt;&gt;*RD*", ledger!D:D, "Silky", ledger!C:C, "&lt;&gt;October Closing CF")
)) + _xlfn.IFNA(H93, 0)</f>
        <v>0</v>
      </c>
      <c r="X14" s="70" cm="1">
        <f t="array" ref="X14">_xlfn.BYROW(B58, _xlfn.LAMBDA(_xlpm.party,
   SUMIFS(ledger!J:J, ledger!B:B, _xlpm.party, ledger!E:E, "&lt;&gt;*RD*", ledger!D:D, "Slub", ledger!C:C, "&lt;&gt;October Closing CF")
))+ _xlfn.IFNA(I93, 0)</f>
        <v>0</v>
      </c>
      <c r="Y14" s="70" cm="1">
        <f t="array" ref="Y14">_xlfn.BYROW(B58, _xlfn.LAMBDA(_xlpm.party,
   SUMIFS(ledger!J:J, ledger!B:B, _xlpm.party, ledger!E:E, "&lt;&gt;*RD*", ledger!D:D, "Satin", ledger!C:C, "&lt;&gt;October Closing CF")
))+ _xlfn.IFNA(J93, 0)</f>
        <v>0</v>
      </c>
      <c r="Z14" s="70" cm="1">
        <f t="array" ref="Z14">_xlfn.BYROW(B58, _xlfn.LAMBDA(_xlpm.party,
   SUMIFS(ledger!J:J, ledger!B:B, _xlpm.party, ledger!E:E, "&lt;&gt;*RD*", ledger!D:D, "Black-Chamki", ledger!C:C, "&lt;&gt;October Closing CF")
))</f>
        <v>0</v>
      </c>
      <c r="AA14" s="70" cm="1">
        <f t="array" ref="AA14">_xlfn.BYROW(B58, _xlfn.LAMBDA(_xlpm.party,
   SUMIFS(ledger!J:J, ledger!B:B, _xlpm.party, ledger!E:E, "&lt;&gt;*RD*", ledger!D:D, "Kataan", ledger!C:C, "&lt;&gt;October Closing CF")
))</f>
        <v>0</v>
      </c>
      <c r="AB14" s="39">
        <f t="shared" si="1"/>
        <v>255724.21360643749</v>
      </c>
      <c r="AC14" s="22">
        <f>(SUMIF(Table14[Party],Q14,Table14[Credit]))+_xlfn.IFNA(L93,0)</f>
        <v>130000</v>
      </c>
      <c r="AD14" s="33">
        <f t="shared" si="2"/>
        <v>125724.21360643749</v>
      </c>
      <c r="AE14" s="21">
        <v>12</v>
      </c>
      <c r="AF14" s="21">
        <v>13</v>
      </c>
    </row>
    <row r="15" spans="2:32" x14ac:dyDescent="0.3">
      <c r="B15" t="str">
        <f t="shared" si="0"/>
        <v>Amjad 7up</v>
      </c>
      <c r="C15" s="18">
        <f>SUMIFS(ledger!G:G, ledger!B:B, B15, ledger!E:E, "&lt;&gt;*RD*") / 1.0936</f>
        <v>0</v>
      </c>
      <c r="E15" s="14">
        <f>(SUMIFS(ledger!G:G, ledger!B:B, B15, ledger!E:E, "&lt;&gt;*RD*",ledger!D:D, "Silky") / 1.0936)*12 + (SUMIFS(ledger!G:G, ledger!B:B, B15, ledger!E:E, "&lt;&gt;*RD*",ledger!D:D, "Chamki") / 1.0936)*10</f>
        <v>0</v>
      </c>
      <c r="Q15" s="24" t="str">
        <v>Hafiz Qureshi</v>
      </c>
      <c r="R15" s="22" cm="1">
        <f t="array" ref="R15">_xlfn.BYROW(B59,_xlfn.LAMBDA(_xlpm.party,SUMIFS(ledger!G:G,ledger!B:B,_xlpm.party,ledger!E:E,"&lt;&gt;*RD*")))+_xlfn.IFNA(C94,0)</f>
        <v>202815</v>
      </c>
      <c r="S15" s="22" cm="1">
        <f t="array" ref="S15">_xlfn.BYROW(B59, _xlfn.LAMBDA(_xlpm.party, SUMIFS(ledger!G:G, ledger!B:B, _xlpm.party, ledger!E:E, "&lt;&gt;*RD*") / 1.0936 ))+_xlfn.IFNA(D94,0)</f>
        <v>185456.29114850037</v>
      </c>
      <c r="T15" s="22" cm="1">
        <f t="array" ref="T15">(_xlfn.BYROW(B59,_xlfn.LAMBDA(_xlpm.party,SUMIFS(ledger!G:G,ledger!B:B,_xlpm.party,ledger!E:E,"&lt;&gt;*RD*",ledger!D:D,"Chamki")+SUMIFS(ledger!G:G, ledger!B:B, _xlpm.party, ledger!E:E, "&lt;&gt;*RD*", ledger!D:D, "Crinkle")))/1.0936)+_xlfn.IFNA(E94,0)</f>
        <v>185456.29114850037</v>
      </c>
      <c r="U15" s="70" cm="1">
        <f t="array" ref="U15">(_xlfn.BYROW(B59,_xlfn.LAMBDA(_xlpm.party,SUMIFS(ledger!G:G,ledger!B:B,_xlpm.party,ledger!E:E,"&lt;&gt;*RD*",ledger!D:D,"Silky")))/1.0936)+_xlfn.IFNA(F94,0)</f>
        <v>0</v>
      </c>
      <c r="V15" s="22" cm="1">
        <f t="array" ref="V15">(_xlfn.BYROW(B59,_xlfn.LAMBDA(_xlpm.party,
(SUMIFS(ledger!J:J,ledger!B:B,_xlpm.party,ledger!E:E,"&lt;&gt;*RD*",ledger!D:D,"Chamki",ledger!C:C,"&lt;&gt;October Closing CF")+
SUMIFS(ledger!J:J,ledger!B:B,_xlpm.party,ledger!E:E,"&lt;&gt;*RD*",ledger!D:D,"Crinkle",ledger!C:C,"&lt;&gt;October Closing CF")
)+_xlfn.IFNA(G94,0))))</f>
        <v>1854562.9114850038</v>
      </c>
      <c r="W15" s="70" cm="1">
        <f t="array" ref="W15">_xlfn.BYROW(B59, _xlfn.LAMBDA(_xlpm.party,
   SUMIFS(ledger!J:J, ledger!B:B, _xlpm.party, ledger!E:E, "&lt;&gt;*RD*", ledger!D:D, "Silky", ledger!C:C, "&lt;&gt;October Closing CF")
)) + _xlfn.IFNA(H94, 0)</f>
        <v>0</v>
      </c>
      <c r="X15" s="70" cm="1">
        <f t="array" ref="X15">_xlfn.BYROW(B59, _xlfn.LAMBDA(_xlpm.party,
   SUMIFS(ledger!J:J, ledger!B:B, _xlpm.party, ledger!E:E, "&lt;&gt;*RD*", ledger!D:D, "Slub", ledger!C:C, "&lt;&gt;October Closing CF")
))+ _xlfn.IFNA(I94, 0)</f>
        <v>0</v>
      </c>
      <c r="Y15" s="70" cm="1">
        <f t="array" ref="Y15">_xlfn.BYROW(B59, _xlfn.LAMBDA(_xlpm.party,
   SUMIFS(ledger!J:J, ledger!B:B, _xlpm.party, ledger!E:E, "&lt;&gt;*RD*", ledger!D:D, "Satin", ledger!C:C, "&lt;&gt;October Closing CF")
))+ _xlfn.IFNA(J94, 0)</f>
        <v>0</v>
      </c>
      <c r="Z15" s="70" cm="1">
        <f t="array" ref="Z15">_xlfn.BYROW(B59, _xlfn.LAMBDA(_xlpm.party,
   SUMIFS(ledger!J:J, ledger!B:B, _xlpm.party, ledger!E:E, "&lt;&gt;*RD*", ledger!D:D, "Black-Chamki", ledger!C:C, "&lt;&gt;October Closing CF")
))</f>
        <v>0</v>
      </c>
      <c r="AA15" s="70" cm="1">
        <f t="array" ref="AA15">_xlfn.BYROW(B59, _xlfn.LAMBDA(_xlpm.party,
   SUMIFS(ledger!J:J, ledger!B:B, _xlpm.party, ledger!E:E, "&lt;&gt;*RD*", ledger!D:D, "Kataan", ledger!C:C, "&lt;&gt;October Closing CF")
))</f>
        <v>0</v>
      </c>
      <c r="AB15" s="39">
        <f t="shared" si="1"/>
        <v>1854562.9114850038</v>
      </c>
      <c r="AC15" s="22">
        <f>(SUMIF(Table14[Party],Q15,Table14[Credit]))+_xlfn.IFNA(L94,0)</f>
        <v>1805980</v>
      </c>
      <c r="AD15" s="33">
        <f t="shared" si="2"/>
        <v>48582.911485003773</v>
      </c>
      <c r="AE15" s="21">
        <v>10</v>
      </c>
      <c r="AF15" s="21">
        <v>13</v>
      </c>
    </row>
    <row r="16" spans="2:32" x14ac:dyDescent="0.3">
      <c r="B16" t="str">
        <f t="shared" si="0"/>
        <v>Hazrat Khan</v>
      </c>
      <c r="C16" s="18">
        <f>SUMIFS(ledger!G:G, ledger!B:B, B16, ledger!E:E, "&lt;&gt;*RD*") / 1.0936</f>
        <v>0</v>
      </c>
      <c r="E16" s="14">
        <f>(SUMIFS(ledger!G:G, ledger!B:B, B16, ledger!E:E, "&lt;&gt;*RD*",ledger!D:D, "Silky") / 1.0936)*12 + (SUMIFS(ledger!G:G, ledger!B:B, B16, ledger!E:E, "&lt;&gt;*RD*",ledger!D:D, "Chamki") / 1.0936)*10</f>
        <v>0</v>
      </c>
      <c r="Q16" s="24" t="str">
        <v>Badshah Fabrics</v>
      </c>
      <c r="R16" s="22" cm="1">
        <f t="array" ref="R16">_xlfn.BYROW(B60,_xlfn.LAMBDA(_xlpm.party,SUMIFS(ledger!G:G,ledger!B:B,_xlpm.party,ledger!E:E,"&lt;&gt;*RD*")))+_xlfn.IFNA(C95,0)</f>
        <v>517408</v>
      </c>
      <c r="S16" s="22" cm="1">
        <f t="array" ref="S16">_xlfn.BYROW(B60, _xlfn.LAMBDA(_xlpm.party, SUMIFS(ledger!G:G, ledger!B:B, _xlpm.party, ledger!E:E, "&lt;&gt;*RD*") / 1.0936 ))+_xlfn.IFNA(D95,0)</f>
        <v>473123.62838332116</v>
      </c>
      <c r="T16" s="22" cm="1">
        <f t="array" ref="T16">(_xlfn.BYROW(B60,_xlfn.LAMBDA(_xlpm.party,SUMIFS(ledger!G:G,ledger!B:B,_xlpm.party,ledger!E:E,"&lt;&gt;*RD*",ledger!D:D,"Chamki")+SUMIFS(ledger!G:G, ledger!B:B, _xlpm.party, ledger!E:E, "&lt;&gt;*RD*", ledger!D:D, "Crinkle")))/1.0936)+_xlfn.IFNA(E95,0)</f>
        <v>355909.83906364307</v>
      </c>
      <c r="U16" s="70" cm="1">
        <f t="array" ref="U16">(_xlfn.BYROW(B60,_xlfn.LAMBDA(_xlpm.party,SUMIFS(ledger!G:G,ledger!B:B,_xlpm.party,ledger!E:E,"&lt;&gt;*RD*",ledger!D:D,"Silky")))/1.0936)+_xlfn.IFNA(F95,0)</f>
        <v>117213.78931967814</v>
      </c>
      <c r="V16" s="22" cm="1">
        <f t="array" ref="V16">(_xlfn.BYROW(B60,_xlfn.LAMBDA(_xlpm.party,
(SUMIFS(ledger!J:J,ledger!B:B,_xlpm.party,ledger!E:E,"&lt;&gt;*RD*",ledger!D:D,"Chamki",ledger!C:C,"&lt;&gt;October Closing CF")+
SUMIFS(ledger!J:J,ledger!B:B,_xlpm.party,ledger!E:E,"&lt;&gt;*RD*",ledger!D:D,"Crinkle",ledger!C:C,"&lt;&gt;October Closing CF")
)+_xlfn.IFNA(G95,0))))</f>
        <v>3559098.3906364306</v>
      </c>
      <c r="W16" s="70" cm="1">
        <f t="array" ref="W16">_xlfn.BYROW(B60, _xlfn.LAMBDA(_xlpm.party,
   SUMIFS(ledger!J:J, ledger!B:B, _xlpm.party, ledger!E:E, "&lt;&gt;*RD*", ledger!D:D, "Silky", ledger!C:C, "&lt;&gt;October Closing CF")
)) + _xlfn.IFNA(H95, 0)</f>
        <v>1460624.5427944404</v>
      </c>
      <c r="X16" s="70" cm="1">
        <f t="array" ref="X16">_xlfn.BYROW(B60, _xlfn.LAMBDA(_xlpm.party,
   SUMIFS(ledger!J:J, ledger!B:B, _xlpm.party, ledger!E:E, "&lt;&gt;*RD*", ledger!D:D, "Slub", ledger!C:C, "&lt;&gt;October Closing CF")
))+ _xlfn.IFNA(I95, 0)</f>
        <v>0</v>
      </c>
      <c r="Y16" s="70" cm="1">
        <f t="array" ref="Y16">_xlfn.BYROW(B60, _xlfn.LAMBDA(_xlpm.party,
   SUMIFS(ledger!J:J, ledger!B:B, _xlpm.party, ledger!E:E, "&lt;&gt;*RD*", ledger!D:D, "Satin", ledger!C:C, "&lt;&gt;October Closing CF")
))+ _xlfn.IFNA(J95, 0)</f>
        <v>0</v>
      </c>
      <c r="Z16" s="70" cm="1">
        <f t="array" ref="Z16">_xlfn.BYROW(B60, _xlfn.LAMBDA(_xlpm.party,
   SUMIFS(ledger!J:J, ledger!B:B, _xlpm.party, ledger!E:E, "&lt;&gt;*RD*", ledger!D:D, "Black-Chamki", ledger!C:C, "&lt;&gt;October Closing CF")
))</f>
        <v>0</v>
      </c>
      <c r="AA16" s="70" cm="1">
        <f t="array" ref="AA16">_xlfn.BYROW(B60, _xlfn.LAMBDA(_xlpm.party,
   SUMIFS(ledger!J:J, ledger!B:B, _xlpm.party, ledger!E:E, "&lt;&gt;*RD*", ledger!D:D, "Kataan", ledger!C:C, "&lt;&gt;October Closing CF")
))</f>
        <v>0</v>
      </c>
      <c r="AB16" s="39">
        <f t="shared" si="1"/>
        <v>5019722.933430871</v>
      </c>
      <c r="AC16" s="22">
        <f>(SUMIF(Table14[Party],Q16,Table14[Credit]))+_xlfn.IFNA(L95,0)</f>
        <v>4925761</v>
      </c>
      <c r="AD16" s="33">
        <f t="shared" si="2"/>
        <v>93961.933430870995</v>
      </c>
      <c r="AE16" s="21">
        <v>10</v>
      </c>
      <c r="AF16" s="21">
        <v>13</v>
      </c>
    </row>
    <row r="17" spans="2:32" x14ac:dyDescent="0.3">
      <c r="B17" t="str">
        <f t="shared" si="0"/>
        <v>Haseeb Shamsi</v>
      </c>
      <c r="C17" s="18">
        <f>SUMIFS(ledger!G:G, ledger!B:B, B17, ledger!E:E, "&lt;&gt;*RD*") / 1.0936</f>
        <v>0</v>
      </c>
      <c r="E17" s="14">
        <f>(SUMIFS(ledger!G:G, ledger!B:B, B17, ledger!E:E, "&lt;&gt;*RD*",ledger!D:D, "Silky") / 1.0936)*12 + (SUMIFS(ledger!G:G, ledger!B:B, B17, ledger!E:E, "&lt;&gt;*RD*",ledger!D:D, "Chamki") / 1.0936)*10</f>
        <v>0</v>
      </c>
      <c r="Q17" s="24" t="str">
        <v>Reject</v>
      </c>
      <c r="R17" s="22" cm="1">
        <f t="array" ref="R17">_xlfn.BYROW(B61,_xlfn.LAMBDA(_xlpm.party,SUMIFS(ledger!G:G,ledger!B:B,_xlpm.party,ledger!E:E,"&lt;&gt;*RD*")))+_xlfn.IFNA(C96,0)</f>
        <v>0</v>
      </c>
      <c r="S17" s="22" cm="1">
        <f t="array" ref="S17">_xlfn.BYROW(B61, _xlfn.LAMBDA(_xlpm.party, SUMIFS(ledger!G:G, ledger!B:B, _xlpm.party, ledger!E:E, "&lt;&gt;*RD*") / 1.0936 ))+_xlfn.IFNA(D96,0)</f>
        <v>0</v>
      </c>
      <c r="T17" s="22" cm="1">
        <f t="array" ref="T17">(_xlfn.BYROW(B61,_xlfn.LAMBDA(_xlpm.party,SUMIFS(ledger!G:G,ledger!B:B,_xlpm.party,ledger!E:E,"&lt;&gt;*RD*",ledger!D:D,"Chamki")+SUMIFS(ledger!G:G, ledger!B:B, _xlpm.party, ledger!E:E, "&lt;&gt;*RD*", ledger!D:D, "Crinkle")))/1.0936)+_xlfn.IFNA(E96,0)</f>
        <v>0</v>
      </c>
      <c r="U17" s="70" cm="1">
        <f t="array" ref="U17">(_xlfn.BYROW(B61,_xlfn.LAMBDA(_xlpm.party,SUMIFS(ledger!G:G,ledger!B:B,_xlpm.party,ledger!E:E,"&lt;&gt;*RD*",ledger!D:D,"Silky")))/1.0936)+_xlfn.IFNA(F96,0)</f>
        <v>0</v>
      </c>
      <c r="V17" s="22" cm="1">
        <f t="array" ref="V17">(_xlfn.BYROW(B61,_xlfn.LAMBDA(_xlpm.party,
(SUMIFS(ledger!J:J,ledger!B:B,_xlpm.party,ledger!E:E,"&lt;&gt;*RD*",ledger!D:D,"Chamki",ledger!C:C,"&lt;&gt;October Closing CF")+
SUMIFS(ledger!J:J,ledger!B:B,_xlpm.party,ledger!E:E,"&lt;&gt;*RD*",ledger!D:D,"Crinkle",ledger!C:C,"&lt;&gt;October Closing CF")
)+_xlfn.IFNA(G96,0))))</f>
        <v>0</v>
      </c>
      <c r="W17" s="70" cm="1">
        <f t="array" ref="W17">_xlfn.BYROW(B61, _xlfn.LAMBDA(_xlpm.party,
   SUMIFS(ledger!J:J, ledger!B:B, _xlpm.party, ledger!E:E, "&lt;&gt;*RD*", ledger!D:D, "Silky", ledger!C:C, "&lt;&gt;October Closing CF")
)) + _xlfn.IFNA(H96, 0)</f>
        <v>0</v>
      </c>
      <c r="X17" s="70" cm="1">
        <f t="array" ref="X17">_xlfn.BYROW(B61, _xlfn.LAMBDA(_xlpm.party,
   SUMIFS(ledger!J:J, ledger!B:B, _xlpm.party, ledger!E:E, "&lt;&gt;*RD*", ledger!D:D, "Slub", ledger!C:C, "&lt;&gt;October Closing CF")
))+ _xlfn.IFNA(I96, 0)</f>
        <v>0</v>
      </c>
      <c r="Y17" s="70" cm="1">
        <f t="array" ref="Y17">_xlfn.BYROW(B61, _xlfn.LAMBDA(_xlpm.party,
   SUMIFS(ledger!J:J, ledger!B:B, _xlpm.party, ledger!E:E, "&lt;&gt;*RD*", ledger!D:D, "Satin", ledger!C:C, "&lt;&gt;October Closing CF")
))+ _xlfn.IFNA(J96, 0)</f>
        <v>0</v>
      </c>
      <c r="Z17" s="70" cm="1">
        <f t="array" ref="Z17">_xlfn.BYROW(B61, _xlfn.LAMBDA(_xlpm.party,
   SUMIFS(ledger!J:J, ledger!B:B, _xlpm.party, ledger!E:E, "&lt;&gt;*RD*", ledger!D:D, "Black-Chamki", ledger!C:C, "&lt;&gt;October Closing CF")
))</f>
        <v>0</v>
      </c>
      <c r="AA17" s="70" cm="1">
        <f t="array" ref="AA17">_xlfn.BYROW(B61, _xlfn.LAMBDA(_xlpm.party,
   SUMIFS(ledger!J:J, ledger!B:B, _xlpm.party, ledger!E:E, "&lt;&gt;*RD*", ledger!D:D, "Kataan", ledger!C:C, "&lt;&gt;October Closing CF")
))</f>
        <v>0</v>
      </c>
      <c r="AB17" s="39">
        <f t="shared" si="1"/>
        <v>0</v>
      </c>
      <c r="AC17" s="22">
        <f>(SUMIF(Table14[Party],Q17,Table14[Credit]))+_xlfn.IFNA(L96,0)</f>
        <v>0</v>
      </c>
      <c r="AD17" s="33">
        <f t="shared" si="2"/>
        <v>0</v>
      </c>
      <c r="AE17" s="21">
        <v>10</v>
      </c>
      <c r="AF17" s="21">
        <v>13</v>
      </c>
    </row>
    <row r="18" spans="2:32" x14ac:dyDescent="0.3">
      <c r="B18" t="str">
        <f t="shared" si="0"/>
        <v>Faizan</v>
      </c>
      <c r="C18" s="18">
        <f>SUMIFS(ledger!G:G, ledger!B:B, B18, ledger!E:E, "&lt;&gt;*RD*") / 1.0936</f>
        <v>198235.18653986833</v>
      </c>
      <c r="E18" s="14">
        <f>(SUMIFS(ledger!G:G, ledger!B:B, B18, ledger!E:E, "&lt;&gt;*RD*",ledger!D:D, "Silky") / 1.0936)*12 + (SUMIFS(ledger!G:G, ledger!B:B, B18, ledger!E:E, "&lt;&gt;*RD*",ledger!D:D, "Chamki") / 1.0936)*10</f>
        <v>2378822.2384784198</v>
      </c>
      <c r="Q18" s="100" t="str">
        <v>Amjad 7up</v>
      </c>
      <c r="R18" s="22" cm="1">
        <f t="array" ref="R18">_xlfn.BYROW(B62,_xlfn.LAMBDA(_xlpm.party,SUMIFS(ledger!G:G,ledger!B:B,_xlpm.party,ledger!E:E,"&lt;&gt;*RD*")))+_xlfn.IFNA(C97,0)</f>
        <v>52914</v>
      </c>
      <c r="S18" s="22" cm="1">
        <f t="array" ref="S18">_xlfn.BYROW(B62, _xlfn.LAMBDA(_xlpm.party, SUMIFS(ledger!G:G, ledger!B:B, _xlpm.party, ledger!E:E, "&lt;&gt;*RD*") / 1.0936 ))+_xlfn.IFNA(D97,0)</f>
        <v>48385.149963423559</v>
      </c>
      <c r="T18" s="22" cm="1">
        <f t="array" ref="T18">(_xlfn.BYROW(B62,_xlfn.LAMBDA(_xlpm.party,SUMIFS(ledger!G:G,ledger!B:B,_xlpm.party,ledger!E:E,"&lt;&gt;*RD*",ledger!D:D,"Chamki")+SUMIFS(ledger!G:G, ledger!B:B, _xlpm.party, ledger!E:E, "&lt;&gt;*RD*", ledger!D:D, "Crinkle")))/1.0936)+_xlfn.IFNA(E97,0)</f>
        <v>48385.149963423559</v>
      </c>
      <c r="U18" s="70" cm="1">
        <f t="array" ref="U18">(_xlfn.BYROW(B62,_xlfn.LAMBDA(_xlpm.party,SUMIFS(ledger!G:G,ledger!B:B,_xlpm.party,ledger!E:E,"&lt;&gt;*RD*",ledger!D:D,"Silky")))/1.0936)+_xlfn.IFNA(F97,0)</f>
        <v>0</v>
      </c>
      <c r="V18" s="22" cm="1">
        <f t="array" ref="V18">(_xlfn.BYROW(B62,_xlfn.LAMBDA(_xlpm.party,
(SUMIFS(ledger!J:J,ledger!B:B,_xlpm.party,ledger!E:E,"&lt;&gt;*RD*",ledger!D:D,"Chamki",ledger!C:C,"&lt;&gt;October Closing CF")+
SUMIFS(ledger!J:J,ledger!B:B,_xlpm.party,ledger!E:E,"&lt;&gt;*RD*",ledger!D:D,"Crinkle",ledger!C:C,"&lt;&gt;October Closing CF")
)+_xlfn.IFNA(G97,0))))</f>
        <v>483851.49963423557</v>
      </c>
      <c r="W18" s="70" cm="1">
        <f t="array" ref="W18">_xlfn.BYROW(B62, _xlfn.LAMBDA(_xlpm.party,
   SUMIFS(ledger!J:J, ledger!B:B, _xlpm.party, ledger!E:E, "&lt;&gt;*RD*", ledger!D:D, "Silky", ledger!C:C, "&lt;&gt;October Closing CF")
)) + _xlfn.IFNA(H97, 0)</f>
        <v>0</v>
      </c>
      <c r="X18" s="70" cm="1">
        <f t="array" ref="X18">_xlfn.BYROW(B62, _xlfn.LAMBDA(_xlpm.party,
   SUMIFS(ledger!J:J, ledger!B:B, _xlpm.party, ledger!E:E, "&lt;&gt;*RD*", ledger!D:D, "Slub", ledger!C:C, "&lt;&gt;October Closing CF")
))+ _xlfn.IFNA(I97, 0)</f>
        <v>0</v>
      </c>
      <c r="Y18" s="70" cm="1">
        <f t="array" ref="Y18">_xlfn.BYROW(B62, _xlfn.LAMBDA(_xlpm.party,
   SUMIFS(ledger!J:J, ledger!B:B, _xlpm.party, ledger!E:E, "&lt;&gt;*RD*", ledger!D:D, "Satin", ledger!C:C, "&lt;&gt;October Closing CF")
))+ _xlfn.IFNA(J97, 0)</f>
        <v>0</v>
      </c>
      <c r="Z18" s="70" cm="1">
        <f t="array" ref="Z18">_xlfn.BYROW(B62, _xlfn.LAMBDA(_xlpm.party,
   SUMIFS(ledger!J:J, ledger!B:B, _xlpm.party, ledger!E:E, "&lt;&gt;*RD*", ledger!D:D, "Black-Chamki", ledger!C:C, "&lt;&gt;October Closing CF")
))</f>
        <v>0</v>
      </c>
      <c r="AA18" s="70" cm="1">
        <f t="array" ref="AA18">_xlfn.BYROW(B62, _xlfn.LAMBDA(_xlpm.party,
   SUMIFS(ledger!J:J, ledger!B:B, _xlpm.party, ledger!E:E, "&lt;&gt;*RD*", ledger!D:D, "Kataan", ledger!C:C, "&lt;&gt;October Closing CF")
))</f>
        <v>0</v>
      </c>
      <c r="AB18" s="39">
        <f t="shared" si="1"/>
        <v>483851.49963423557</v>
      </c>
      <c r="AC18" s="22">
        <f>(SUMIF(Table14[Party],Q18,Table14[Credit]))+_xlfn.IFNA(L97,0)</f>
        <v>480000</v>
      </c>
      <c r="AD18" s="33">
        <f t="shared" ref="AD18:AD20" si="3">AB18-AC18</f>
        <v>3851.4996342355735</v>
      </c>
      <c r="AE18" s="21">
        <v>10</v>
      </c>
      <c r="AF18" s="21">
        <v>13</v>
      </c>
    </row>
    <row r="19" spans="2:32" x14ac:dyDescent="0.3">
      <c r="Q19" s="100" t="str">
        <v>Hazrat Khan</v>
      </c>
      <c r="R19" s="22" cm="1">
        <f t="array" ref="R19">_xlfn.BYROW(B63,_xlfn.LAMBDA(_xlpm.party,SUMIFS(ledger!G:G,ledger!B:B,_xlpm.party,ledger!E:E,"&lt;&gt;*RD*")))+_xlfn.IFNA(C98,0)</f>
        <v>9750</v>
      </c>
      <c r="S19" s="22" cm="1">
        <f t="array" ref="S19">_xlfn.BYROW(B63, _xlfn.LAMBDA(_xlpm.party, SUMIFS(ledger!G:G, ledger!B:B, _xlpm.party, ledger!E:E, "&lt;&gt;*RD*") / 1.0936 ))+_xlfn.IFNA(D98,0)</f>
        <v>8915.5084125822978</v>
      </c>
      <c r="T19" s="22" cm="1">
        <f t="array" ref="T19">(_xlfn.BYROW(B63,_xlfn.LAMBDA(_xlpm.party,SUMIFS(ledger!G:G,ledger!B:B,_xlpm.party,ledger!E:E,"&lt;&gt;*RD*",ledger!D:D,"Chamki")+SUMIFS(ledger!G:G, ledger!B:B, _xlpm.party, ledger!E:E, "&lt;&gt;*RD*", ledger!D:D, "Crinkle")))/1.0936)+_xlfn.IFNA(E98,0)</f>
        <v>8915.5084125822978</v>
      </c>
      <c r="U19" s="70" cm="1">
        <f t="array" ref="U19">(_xlfn.BYROW(B63,_xlfn.LAMBDA(_xlpm.party,SUMIFS(ledger!G:G,ledger!B:B,_xlpm.party,ledger!E:E,"&lt;&gt;*RD*",ledger!D:D,"Silky")))/1.0936)+_xlfn.IFNA(F98,0)</f>
        <v>0</v>
      </c>
      <c r="V19" s="22" cm="1">
        <f t="array" ref="V19">(_xlfn.BYROW(B63,_xlfn.LAMBDA(_xlpm.party,
(SUMIFS(ledger!J:J,ledger!B:B,_xlpm.party,ledger!E:E,"&lt;&gt;*RD*",ledger!D:D,"Chamki",ledger!C:C,"&lt;&gt;October Closing CF")+
SUMIFS(ledger!J:J,ledger!B:B,_xlpm.party,ledger!E:E,"&lt;&gt;*RD*",ledger!D:D,"Crinkle",ledger!C:C,"&lt;&gt;October Closing CF")
)+_xlfn.IFNA(G98,0))))</f>
        <v>89155.084125822978</v>
      </c>
      <c r="W19" s="70" cm="1">
        <f t="array" ref="W19">_xlfn.BYROW(B63, _xlfn.LAMBDA(_xlpm.party,
   SUMIFS(ledger!J:J, ledger!B:B, _xlpm.party, ledger!E:E, "&lt;&gt;*RD*", ledger!D:D, "Silky", ledger!C:C, "&lt;&gt;October Closing CF")
)) + _xlfn.IFNA(H98, 0)</f>
        <v>0</v>
      </c>
      <c r="X19" s="70" cm="1">
        <f t="array" ref="X19">_xlfn.BYROW(B63, _xlfn.LAMBDA(_xlpm.party,
   SUMIFS(ledger!J:J, ledger!B:B, _xlpm.party, ledger!E:E, "&lt;&gt;*RD*", ledger!D:D, "Slub", ledger!C:C, "&lt;&gt;October Closing CF")
))+ _xlfn.IFNA(I98, 0)</f>
        <v>0</v>
      </c>
      <c r="Y19" s="70" cm="1">
        <f t="array" ref="Y19">_xlfn.BYROW(B63, _xlfn.LAMBDA(_xlpm.party,
   SUMIFS(ledger!J:J, ledger!B:B, _xlpm.party, ledger!E:E, "&lt;&gt;*RD*", ledger!D:D, "Satin", ledger!C:C, "&lt;&gt;October Closing CF")
))+ _xlfn.IFNA(J98, 0)</f>
        <v>0</v>
      </c>
      <c r="Z19" s="70" cm="1">
        <f t="array" ref="Z19">_xlfn.BYROW(B63, _xlfn.LAMBDA(_xlpm.party,
   SUMIFS(ledger!J:J, ledger!B:B, _xlpm.party, ledger!E:E, "&lt;&gt;*RD*", ledger!D:D, "Black-Chamki", ledger!C:C, "&lt;&gt;October Closing CF")
))</f>
        <v>0</v>
      </c>
      <c r="AA19" s="70" cm="1">
        <f t="array" ref="AA19">_xlfn.BYROW(B63, _xlfn.LAMBDA(_xlpm.party,
   SUMIFS(ledger!J:J, ledger!B:B, _xlpm.party, ledger!E:E, "&lt;&gt;*RD*", ledger!D:D, "Kataan", ledger!C:C, "&lt;&gt;October Closing CF")
))</f>
        <v>0</v>
      </c>
      <c r="AB19" s="39">
        <f t="shared" si="1"/>
        <v>89155.084125822978</v>
      </c>
      <c r="AC19" s="22">
        <f>(SUMIF(Table14[Party],Q19,Table14[Credit]))+_xlfn.IFNA(L98,0)</f>
        <v>95000</v>
      </c>
      <c r="AD19" s="33">
        <f t="shared" si="3"/>
        <v>-5844.9158741770225</v>
      </c>
      <c r="AE19" s="21">
        <v>10</v>
      </c>
      <c r="AF19" s="21">
        <v>13</v>
      </c>
    </row>
    <row r="20" spans="2:32" x14ac:dyDescent="0.3">
      <c r="Q20" s="100" t="str">
        <v>Haseeb Shamsi</v>
      </c>
      <c r="R20" s="22" cm="1">
        <f t="array" ref="R20">_xlfn.BYROW(B64,_xlfn.LAMBDA(_xlpm.party,SUMIFS(ledger!G:G,ledger!B:B,_xlpm.party,ledger!E:E,"&lt;&gt;*RD*")))+_xlfn.IFNA(C99,0)</f>
        <v>61975</v>
      </c>
      <c r="S20" s="22" cm="1">
        <f t="array" ref="S20">_xlfn.BYROW(B64, _xlfn.LAMBDA(_xlpm.party, SUMIFS(ledger!G:G, ledger!B:B, _xlpm.party, ledger!E:E, "&lt;&gt;*RD*") / 1.0936 ))+_xlfn.IFNA(D99,0)</f>
        <v>56670.629114850046</v>
      </c>
      <c r="T20" s="22" cm="1">
        <f t="array" ref="T20">(_xlfn.BYROW(B64,_xlfn.LAMBDA(_xlpm.party,SUMIFS(ledger!G:G,ledger!B:B,_xlpm.party,ledger!E:E,"&lt;&gt;*RD*",ledger!D:D,"Chamki")+SUMIFS(ledger!G:G, ledger!B:B, _xlpm.party, ledger!E:E, "&lt;&gt;*RD*", ledger!D:D, "Crinkle")))/1.0936)+_xlfn.IFNA(E99,0)</f>
        <v>47437.820043891741</v>
      </c>
      <c r="U20" s="70" cm="1">
        <f t="array" ref="U20">(_xlfn.BYROW(B64,_xlfn.LAMBDA(_xlpm.party,SUMIFS(ledger!G:G,ledger!B:B,_xlpm.party,ledger!E:E,"&lt;&gt;*RD*",ledger!D:D,"Silky")))/1.0936)+_xlfn.IFNA(F99,0)</f>
        <v>9232.809070958303</v>
      </c>
      <c r="V20" s="22" cm="1">
        <f t="array" ref="V20">(_xlfn.BYROW(B64,_xlfn.LAMBDA(_xlpm.party,
(SUMIFS(ledger!J:J,ledger!B:B,_xlpm.party,ledger!E:E,"&lt;&gt;*RD*",ledger!D:D,"Chamki",ledger!C:C,"&lt;&gt;October Closing CF")+
SUMIFS(ledger!J:J,ledger!B:B,_xlpm.party,ledger!E:E,"&lt;&gt;*RD*",ledger!D:D,"Crinkle",ledger!C:C,"&lt;&gt;October Closing CF")
)+_xlfn.IFNA(G99,0))))</f>
        <v>474378.20043891744</v>
      </c>
      <c r="W20" s="70" cm="1">
        <f t="array" ref="W20">_xlfn.BYROW(B64, _xlfn.LAMBDA(_xlpm.party,
   SUMIFS(ledger!J:J, ledger!B:B, _xlpm.party, ledger!E:E, "&lt;&gt;*RD*", ledger!D:D, "Silky", ledger!C:C, "&lt;&gt;October Closing CF")
)) + _xlfn.IFNA(H99, 0)</f>
        <v>120026.51792245793</v>
      </c>
      <c r="X20" s="70" cm="1">
        <f t="array" ref="X20">_xlfn.BYROW(B64, _xlfn.LAMBDA(_xlpm.party,
   SUMIFS(ledger!J:J, ledger!B:B, _xlpm.party, ledger!E:E, "&lt;&gt;*RD*", ledger!D:D, "Slub", ledger!C:C, "&lt;&gt;October Closing CF")
))+ _xlfn.IFNA(I99, 0)</f>
        <v>0</v>
      </c>
      <c r="Y20" s="70" cm="1">
        <f t="array" ref="Y20">_xlfn.BYROW(B64, _xlfn.LAMBDA(_xlpm.party,
   SUMIFS(ledger!J:J, ledger!B:B, _xlpm.party, ledger!E:E, "&lt;&gt;*RD*", ledger!D:D, "Satin", ledger!C:C, "&lt;&gt;October Closing CF")
))+ _xlfn.IFNA(J99, 0)</f>
        <v>0</v>
      </c>
      <c r="Z20" s="70" cm="1">
        <f t="array" ref="Z20">_xlfn.BYROW(B64, _xlfn.LAMBDA(_xlpm.party,
   SUMIFS(ledger!J:J, ledger!B:B, _xlpm.party, ledger!E:E, "&lt;&gt;*RD*", ledger!D:D, "Black-Chamki", ledger!C:C, "&lt;&gt;October Closing CF")
))</f>
        <v>0</v>
      </c>
      <c r="AA20" s="70" cm="1">
        <f t="array" ref="AA20">_xlfn.BYROW(B64, _xlfn.LAMBDA(_xlpm.party,
   SUMIFS(ledger!J:J, ledger!B:B, _xlpm.party, ledger!E:E, "&lt;&gt;*RD*", ledger!D:D, "Kataan", ledger!C:C, "&lt;&gt;October Closing CF")
))</f>
        <v>0</v>
      </c>
      <c r="AB20" s="39">
        <f t="shared" si="1"/>
        <v>594404.71836137539</v>
      </c>
      <c r="AC20" s="22">
        <f>(SUMIF(Table14[Party],Q20,Table14[Credit]))+_xlfn.IFNA(L99,0)</f>
        <v>594405</v>
      </c>
      <c r="AD20" s="33">
        <f t="shared" si="3"/>
        <v>-0.28163862461224198</v>
      </c>
      <c r="AE20" s="21">
        <v>10</v>
      </c>
      <c r="AF20" s="21">
        <v>13</v>
      </c>
    </row>
    <row r="21" spans="2:32" x14ac:dyDescent="0.3">
      <c r="B21" s="40" t="s">
        <v>29</v>
      </c>
      <c r="C21" s="41">
        <f>SUM(K49:K78)</f>
        <v>18025313.643013902</v>
      </c>
      <c r="D21" t="s">
        <v>30</v>
      </c>
      <c r="Q21" s="101" t="str">
        <v>Faizan</v>
      </c>
      <c r="R21" s="22" cm="1">
        <f t="array" ref="R21">_xlfn.BYROW(B65,_xlfn.LAMBDA(_xlpm.party,SUMIFS(ledger!G:G,ledger!B:B,_xlpm.party,ledger!E:E,"&lt;&gt;*RD*")))+_xlfn.IFNA(C100,0)</f>
        <v>438975</v>
      </c>
      <c r="S21" s="22" cm="1">
        <f t="array" ref="S21">_xlfn.BYROW(B65, _xlfn.LAMBDA(_xlpm.party, SUMIFS(ledger!G:G, ledger!B:B, _xlpm.party, ledger!E:E, "&lt;&gt;*RD*") / 1.0936 ))+_xlfn.IFNA(D100,0)</f>
        <v>401403.62106803223</v>
      </c>
      <c r="T21" s="22" cm="1">
        <f t="array" ref="T21">(_xlfn.BYROW(B65,_xlfn.LAMBDA(_xlpm.party,SUMIFS(ledger!G:G,ledger!B:B,_xlpm.party,ledger!E:E,"&lt;&gt;*RD*",ledger!D:D,"Chamki")+SUMIFS(ledger!G:G, ledger!B:B, _xlpm.party, ledger!E:E, "&lt;&gt;*RD*", ledger!D:D, "Crinkle")))/1.0936)+_xlfn.IFNA(E100,0)</f>
        <v>0</v>
      </c>
      <c r="U21" s="70" cm="1">
        <f t="array" ref="U21">(_xlfn.BYROW(B65,_xlfn.LAMBDA(_xlpm.party,SUMIFS(ledger!G:G,ledger!B:B,_xlpm.party,ledger!E:E,"&lt;&gt;*RD*",ledger!D:D,"Silky")))/1.0936)+_xlfn.IFNA(F100,0)</f>
        <v>398433.61375274323</v>
      </c>
      <c r="V21" s="22" cm="1">
        <f t="array" ref="V21">(_xlfn.BYROW(B65,_xlfn.LAMBDA(_xlpm.party,
(SUMIFS(ledger!J:J,ledger!B:B,_xlpm.party,ledger!E:E,"&lt;&gt;*RD*",ledger!D:D,"Chamki",ledger!C:C,"&lt;&gt;October Closing CF")+
SUMIFS(ledger!J:J,ledger!B:B,_xlpm.party,ledger!E:E,"&lt;&gt;*RD*",ledger!D:D,"Crinkle",ledger!C:C,"&lt;&gt;October Closing CF")
)+_xlfn.IFNA(G100,0))))</f>
        <v>0</v>
      </c>
      <c r="W21" s="70" cm="1">
        <f t="array" ref="W21">_xlfn.BYROW(B65, _xlfn.LAMBDA(_xlpm.party,
   SUMIFS(ledger!J:J, ledger!B:B, _xlpm.party, ledger!E:E, "&lt;&gt;*RD*", ledger!D:D, "Silky", ledger!C:C, "&lt;&gt;October Closing CF")
)) + _xlfn.IFNA(H100, 0)</f>
        <v>5179636.9787856629</v>
      </c>
      <c r="X21" s="70" cm="1">
        <f t="array" ref="X21">_xlfn.BYROW(B65, _xlfn.LAMBDA(_xlpm.party,
   SUMIFS(ledger!J:J, ledger!B:B, _xlpm.party, ledger!E:E, "&lt;&gt;*RD*", ledger!D:D, "Slub", ledger!C:C, "&lt;&gt;October Closing CF")
))+ _xlfn.IFNA(I100, 0)</f>
        <v>44550.109729334312</v>
      </c>
      <c r="Y21" s="70" cm="1">
        <f t="array" ref="Y21">_xlfn.BYROW(B65, _xlfn.LAMBDA(_xlpm.party,
   SUMIFS(ledger!J:J, ledger!B:B, _xlpm.party, ledger!E:E, "&lt;&gt;*RD*", ledger!D:D, "Satin", ledger!C:C, "&lt;&gt;October Closing CF")
))+ _xlfn.IFNA(J100, 0)</f>
        <v>0</v>
      </c>
      <c r="Z21" s="70" cm="1">
        <f t="array" ref="Z21">_xlfn.BYROW(B65, _xlfn.LAMBDA(_xlpm.party,
   SUMIFS(ledger!J:J, ledger!B:B, _xlpm.party, ledger!E:E, "&lt;&gt;*RD*", ledger!D:D, "Black-Chamki", ledger!C:C, "&lt;&gt;October Closing CF")
))</f>
        <v>0</v>
      </c>
      <c r="AA21" s="70" cm="1">
        <f t="array" ref="AA21">_xlfn.BYROW(B65, _xlfn.LAMBDA(_xlpm.party,
   SUMIFS(ledger!J:J, ledger!B:B, _xlpm.party, ledger!E:E, "&lt;&gt;*RD*", ledger!D:D, "Kataan", ledger!C:C, "&lt;&gt;October Closing CF")
))</f>
        <v>0</v>
      </c>
      <c r="AB21" s="39">
        <f t="shared" si="1"/>
        <v>5224187.0885149976</v>
      </c>
      <c r="AC21" s="22">
        <f>(SUMIF(Table14[Party],Q21,Table14[Credit]))+_xlfn.IFNA(L100,0)</f>
        <v>4915571</v>
      </c>
      <c r="AD21" s="33">
        <f t="shared" ref="AD21:AD35" si="4">AB21-AC21</f>
        <v>308616.08851499762</v>
      </c>
      <c r="AE21" s="21">
        <v>10</v>
      </c>
      <c r="AF21" s="21">
        <v>13</v>
      </c>
    </row>
    <row r="22" spans="2:32" x14ac:dyDescent="0.3">
      <c r="C22" s="18"/>
      <c r="Q22" s="21" t="str">
        <v>Shafique Ansari</v>
      </c>
      <c r="R22" s="22" cm="1">
        <f t="array" ref="R22">_xlfn.BYROW(B66,_xlfn.LAMBDA(_xlpm.party,SUMIFS(ledger!G:G,ledger!B:B,_xlpm.party,ledger!E:E,"&lt;&gt;*RD*")))+_xlfn.IFNA(C101,0)</f>
        <v>82290</v>
      </c>
      <c r="S22" s="22" cm="1">
        <f t="array" ref="S22">_xlfn.BYROW(B66, _xlfn.LAMBDA(_xlpm.party, SUMIFS(ledger!G:G, ledger!B:B, _xlpm.party, ledger!E:E, "&lt;&gt;*RD*") / 1.0936 ))+_xlfn.IFNA(D101,0)</f>
        <v>75246.891002194592</v>
      </c>
      <c r="T22" s="22" cm="1">
        <f t="array" ref="T22">(_xlfn.BYROW(B66,_xlfn.LAMBDA(_xlpm.party,SUMIFS(ledger!G:G,ledger!B:B,_xlpm.party,ledger!E:E,"&lt;&gt;*RD*",ledger!D:D,"Chamki")+SUMIFS(ledger!G:G, ledger!B:B, _xlpm.party, ledger!E:E, "&lt;&gt;*RD*", ledger!D:D, "Crinkle")))/1.0936)+_xlfn.IFNA(E101,0)</f>
        <v>64300.475493782011</v>
      </c>
      <c r="U22" s="70" cm="1">
        <f t="array" ref="U22">(_xlfn.BYROW(B66,_xlfn.LAMBDA(_xlpm.party,SUMIFS(ledger!G:G,ledger!B:B,_xlpm.party,ledger!E:E,"&lt;&gt;*RD*",ledger!D:D,"Silky")))/1.0936)+_xlfn.IFNA(F101,0)</f>
        <v>7565.8376005852242</v>
      </c>
      <c r="V22" s="22" cm="1">
        <f t="array" ref="V22">(_xlfn.BYROW(B66,_xlfn.LAMBDA(_xlpm.party,
(SUMIFS(ledger!J:J,ledger!B:B,_xlpm.party,ledger!E:E,"&lt;&gt;*RD*",ledger!D:D,"Chamki",ledger!C:C,"&lt;&gt;October Closing CF")+
SUMIFS(ledger!J:J,ledger!B:B,_xlpm.party,ledger!E:E,"&lt;&gt;*RD*",ledger!D:D,"Crinkle",ledger!C:C,"&lt;&gt;October Closing CF")
)+_xlfn.IFNA(G101,0))))</f>
        <v>643004.75493782014</v>
      </c>
      <c r="W22" s="70" cm="1">
        <f t="array" ref="W22">_xlfn.BYROW(B66, _xlfn.LAMBDA(_xlpm.party,
   SUMIFS(ledger!J:J, ledger!B:B, _xlpm.party, ledger!E:E, "&lt;&gt;*RD*", ledger!D:D, "Silky", ledger!C:C, "&lt;&gt;October Closing CF")
)) + _xlfn.IFNA(H101, 0)</f>
        <v>98355.888807607917</v>
      </c>
      <c r="X22" s="70" cm="1">
        <f t="array" ref="X22">_xlfn.BYROW(B66, _xlfn.LAMBDA(_xlpm.party,
   SUMIFS(ledger!J:J, ledger!B:B, _xlpm.party, ledger!E:E, "&lt;&gt;*RD*", ledger!D:D, "Slub", ledger!C:C, "&lt;&gt;October Closing CF")
))+ _xlfn.IFNA(I101, 0)</f>
        <v>0</v>
      </c>
      <c r="Y22" s="70" cm="1">
        <f t="array" ref="Y22">_xlfn.BYROW(B66, _xlfn.LAMBDA(_xlpm.party,
   SUMIFS(ledger!J:J, ledger!B:B, _xlpm.party, ledger!E:E, "&lt;&gt;*RD*", ledger!D:D, "Satin", ledger!C:C, "&lt;&gt;October Closing CF")
))+ _xlfn.IFNA(J101, 0)</f>
        <v>94656.181419166067</v>
      </c>
      <c r="Z22" s="70" cm="1">
        <f t="array" ref="Z22">_xlfn.BYROW(B66, _xlfn.LAMBDA(_xlpm.party,
   SUMIFS(ledger!J:J, ledger!B:B, _xlpm.party, ledger!E:E, "&lt;&gt;*RD*", ledger!D:D, "Black-Chamki", ledger!C:C, "&lt;&gt;October Closing CF")
))</f>
        <v>0</v>
      </c>
      <c r="AA22" s="70" cm="1">
        <f t="array" ref="AA22">_xlfn.BYROW(B66, _xlfn.LAMBDA(_xlpm.party,
   SUMIFS(ledger!J:J, ledger!B:B, _xlpm.party, ledger!E:E, "&lt;&gt;*RD*", ledger!D:D, "Kataan", ledger!C:C, "&lt;&gt;October Closing CF")
))</f>
        <v>0</v>
      </c>
      <c r="AB22" s="39">
        <f t="shared" si="1"/>
        <v>836016.82516459411</v>
      </c>
      <c r="AC22" s="22">
        <f>(SUMIF(Table14[Party],Q22,Table14[Credit]))+_xlfn.IFNA(L101,0)</f>
        <v>835660</v>
      </c>
      <c r="AD22" s="33">
        <f t="shared" si="4"/>
        <v>356.82516459410544</v>
      </c>
      <c r="AE22" s="21">
        <v>10</v>
      </c>
      <c r="AF22" s="21">
        <v>13</v>
      </c>
    </row>
    <row r="23" spans="2:32" x14ac:dyDescent="0.3">
      <c r="B23" s="24" t="s">
        <v>31</v>
      </c>
      <c r="C23" s="37">
        <f>SUM(K49:K71)</f>
        <v>17900752.560351137</v>
      </c>
      <c r="D23" t="s">
        <v>32</v>
      </c>
      <c r="Q23" s="21" t="str">
        <v>Amjad sohail</v>
      </c>
      <c r="R23" s="22" cm="1">
        <f t="array" ref="R23">_xlfn.BYROW(B67,_xlfn.LAMBDA(_xlpm.party,SUMIFS(ledger!G:G,ledger!B:B,_xlpm.party,ledger!E:E,"&lt;&gt;*RD*")))+_xlfn.IFNA(C102,0)</f>
        <v>281909</v>
      </c>
      <c r="S23" s="22" cm="1">
        <f t="array" ref="S23">_xlfn.BYROW(B67, _xlfn.LAMBDA(_xlpm.party, SUMIFS(ledger!G:G, ledger!B:B, _xlpm.party, ledger!E:E, "&lt;&gt;*RD*") / 1.0936 ))+_xlfn.IFNA(D102,0)</f>
        <v>257780.72421360645</v>
      </c>
      <c r="T23" s="22" cm="1">
        <f t="array" ref="T23">(_xlfn.BYROW(B67,_xlfn.LAMBDA(_xlpm.party,SUMIFS(ledger!G:G,ledger!B:B,_xlpm.party,ledger!E:E,"&lt;&gt;*RD*",ledger!D:D,"Chamki")+SUMIFS(ledger!G:G, ledger!B:B, _xlpm.party, ledger!E:E, "&lt;&gt;*RD*", ledger!D:D, "Crinkle")))/1.0936)+_xlfn.IFNA(E102,0)</f>
        <v>213946.59839063644</v>
      </c>
      <c r="U23" s="70" cm="1">
        <f t="array" ref="U23">(_xlfn.BYROW(B67,_xlfn.LAMBDA(_xlpm.party,SUMIFS(ledger!G:G,ledger!B:B,_xlpm.party,ledger!E:E,"&lt;&gt;*RD*",ledger!D:D,"Silky")))/1.0936)+_xlfn.IFNA(F102,0)</f>
        <v>43834.125822970011</v>
      </c>
      <c r="V23" s="22" cm="1">
        <f t="array" ref="V23">(_xlfn.BYROW(B67,_xlfn.LAMBDA(_xlpm.party,
(SUMIFS(ledger!J:J,ledger!B:B,_xlpm.party,ledger!E:E,"&lt;&gt;*RD*",ledger!D:D,"Chamki",ledger!C:C,"&lt;&gt;October Closing CF")+
SUMIFS(ledger!J:J,ledger!B:B,_xlpm.party,ledger!E:E,"&lt;&gt;*RD*",ledger!D:D,"Crinkle",ledger!C:C,"&lt;&gt;October Closing CF")
)+_xlfn.IFNA(G102,0))))</f>
        <v>2139465.9839063645</v>
      </c>
      <c r="W23" s="70" cm="1">
        <f t="array" ref="W23">_xlfn.BYROW(B67, _xlfn.LAMBDA(_xlpm.party,
   SUMIFS(ledger!J:J, ledger!B:B, _xlpm.party, ledger!E:E, "&lt;&gt;*RD*", ledger!D:D, "Silky", ledger!C:C, "&lt;&gt;October Closing CF")
)) + _xlfn.IFNA(H102, 0)</f>
        <v>569843.63569861022</v>
      </c>
      <c r="X23" s="70" cm="1">
        <f t="array" ref="X23">_xlfn.BYROW(B67, _xlfn.LAMBDA(_xlpm.party,
   SUMIFS(ledger!J:J, ledger!B:B, _xlpm.party, ledger!E:E, "&lt;&gt;*RD*", ledger!D:D, "Slub", ledger!C:C, "&lt;&gt;October Closing CF")
))+ _xlfn.IFNA(I102, 0)</f>
        <v>0</v>
      </c>
      <c r="Y23" s="70" cm="1">
        <f t="array" ref="Y23">_xlfn.BYROW(B67, _xlfn.LAMBDA(_xlpm.party,
   SUMIFS(ledger!J:J, ledger!B:B, _xlpm.party, ledger!E:E, "&lt;&gt;*RD*", ledger!D:D, "Satin", ledger!C:C, "&lt;&gt;October Closing CF")
))+ _xlfn.IFNA(J102, 0)</f>
        <v>0</v>
      </c>
      <c r="Z23" s="70" cm="1">
        <f t="array" ref="Z23">_xlfn.BYROW(B67, _xlfn.LAMBDA(_xlpm.party,
   SUMIFS(ledger!J:J, ledger!B:B, _xlpm.party, ledger!E:E, "&lt;&gt;*RD*", ledger!D:D, "Black-Chamki", ledger!C:C, "&lt;&gt;October Closing CF")
))</f>
        <v>0</v>
      </c>
      <c r="AA23" s="70" cm="1">
        <f t="array" ref="AA23">_xlfn.BYROW(B67, _xlfn.LAMBDA(_xlpm.party,
   SUMIFS(ledger!J:J, ledger!B:B, _xlpm.party, ledger!E:E, "&lt;&gt;*RD*", ledger!D:D, "Kataan", ledger!C:C, "&lt;&gt;October Closing CF")
))</f>
        <v>0</v>
      </c>
      <c r="AB23" s="39">
        <f t="shared" si="1"/>
        <v>2709309.619604975</v>
      </c>
      <c r="AC23" s="22">
        <f>(SUMIF(Table14[Party],Q23,Table14[Credit]))+_xlfn.IFNA(L102,0)</f>
        <v>2300000</v>
      </c>
      <c r="AD23" s="33">
        <f t="shared" si="4"/>
        <v>409309.61960497499</v>
      </c>
      <c r="AE23" s="21">
        <v>10</v>
      </c>
      <c r="AF23" s="21">
        <v>13</v>
      </c>
    </row>
    <row r="24" spans="2:32" x14ac:dyDescent="0.3">
      <c r="Q24" t="str">
        <v>Salman Zaffar</v>
      </c>
      <c r="R24" s="22" cm="1">
        <f t="array" ref="R24">_xlfn.BYROW(B68,_xlfn.LAMBDA(_xlpm.party,SUMIFS(ledger!G:G,ledger!B:B,_xlpm.party,ledger!E:E,"&lt;&gt;*RD*")))+_xlfn.IFNA(C103,0)</f>
        <v>55541</v>
      </c>
      <c r="S24" s="22" cm="1">
        <f t="array" ref="S24">_xlfn.BYROW(B68, _xlfn.LAMBDA(_xlpm.party, SUMIFS(ledger!G:G, ledger!B:B, _xlpm.party, ledger!E:E, "&lt;&gt;*RD*") / 1.0936 ))+_xlfn.IFNA(D103,0)</f>
        <v>50787.307973664967</v>
      </c>
      <c r="T24" s="22" cm="1">
        <f t="array" ref="T24">(_xlfn.BYROW(B68,_xlfn.LAMBDA(_xlpm.party,SUMIFS(ledger!G:G,ledger!B:B,_xlpm.party,ledger!E:E,"&lt;&gt;*RD*",ledger!D:D,"Chamki")+SUMIFS(ledger!G:G, ledger!B:B, _xlpm.party, ledger!E:E, "&lt;&gt;*RD*", ledger!D:D, "Crinkle")))/1.0936)+_xlfn.IFNA(E103,0)</f>
        <v>14355.340160936359</v>
      </c>
      <c r="U24" s="70" cm="1">
        <f t="array" ref="U24">(_xlfn.BYROW(B68,_xlfn.LAMBDA(_xlpm.party,SUMIFS(ledger!G:G,ledger!B:B,_xlpm.party,ledger!E:E,"&lt;&gt;*RD*",ledger!D:D,"Silky")))/1.0936)+_xlfn.IFNA(F103,0)</f>
        <v>31409.107534747625</v>
      </c>
      <c r="V24" s="22" cm="1">
        <f t="array" ref="V24">(_xlfn.BYROW(B68,_xlfn.LAMBDA(_xlpm.party,
(SUMIFS(ledger!J:J,ledger!B:B,_xlpm.party,ledger!E:E,"&lt;&gt;*RD*",ledger!D:D,"Chamki",ledger!C:C,"&lt;&gt;October Closing CF")+
SUMIFS(ledger!J:J,ledger!B:B,_xlpm.party,ledger!E:E,"&lt;&gt;*RD*",ledger!D:D,"Crinkle",ledger!C:C,"&lt;&gt;October Closing CF")
)+_xlfn.IFNA(G103,0))))</f>
        <v>143553.40160936359</v>
      </c>
      <c r="W24" s="70" cm="1">
        <f t="array" ref="W24">_xlfn.BYROW(B68, _xlfn.LAMBDA(_xlpm.party,
   SUMIFS(ledger!J:J, ledger!B:B, _xlpm.party, ledger!E:E, "&lt;&gt;*RD*", ledger!D:D, "Silky", ledger!C:C, "&lt;&gt;October Closing CF")
)) + _xlfn.IFNA(H103, 0)</f>
        <v>408318.39795171918</v>
      </c>
      <c r="X24" s="70" cm="1">
        <f t="array" ref="X24">_xlfn.BYROW(B68, _xlfn.LAMBDA(_xlpm.party,
   SUMIFS(ledger!J:J, ledger!B:B, _xlpm.party, ledger!E:E, "&lt;&gt;*RD*", ledger!D:D, "Slub", ledger!C:C, "&lt;&gt;October Closing CF")
))+ _xlfn.IFNA(I103, 0)</f>
        <v>0</v>
      </c>
      <c r="Y24" s="70" cm="1">
        <f t="array" ref="Y24">_xlfn.BYROW(B68, _xlfn.LAMBDA(_xlpm.party,
   SUMIFS(ledger!J:J, ledger!B:B, _xlpm.party, ledger!E:E, "&lt;&gt;*RD*", ledger!D:D, "Satin", ledger!C:C, "&lt;&gt;October Closing CF")
))+ _xlfn.IFNA(J103, 0)</f>
        <v>0</v>
      </c>
      <c r="Z24" s="70" cm="1">
        <f t="array" ref="Z24">_xlfn.BYROW(B68, _xlfn.LAMBDA(_xlpm.party,
   SUMIFS(ledger!J:J, ledger!B:B, _xlpm.party, ledger!E:E, "&lt;&gt;*RD*", ledger!D:D, "Black-Chamki", ledger!C:C, "&lt;&gt;October Closing CF")
))</f>
        <v>60274.323335771769</v>
      </c>
      <c r="AA24" s="70" cm="1">
        <f t="array" ref="AA24">_xlfn.BYROW(B68, _xlfn.LAMBDA(_xlpm.party,
   SUMIFS(ledger!J:J, ledger!B:B, _xlpm.party, ledger!E:E, "&lt;&gt;*RD*", ledger!D:D, "Kataan", ledger!C:C, "&lt;&gt;October Closing CF")
))</f>
        <v>0</v>
      </c>
      <c r="AB24" s="39">
        <f t="shared" si="1"/>
        <v>612146.12289685453</v>
      </c>
      <c r="AC24" s="22">
        <f>(SUMIF(Table14[Party],Q24,Table14[Credit]))+_xlfn.IFNA(L103,0)</f>
        <v>0</v>
      </c>
      <c r="AD24" s="33">
        <f t="shared" si="4"/>
        <v>612146.12289685453</v>
      </c>
      <c r="AE24" s="21">
        <v>10</v>
      </c>
      <c r="AF24" s="21">
        <v>13</v>
      </c>
    </row>
    <row r="25" spans="2:32" x14ac:dyDescent="0.3">
      <c r="Q25" t="str">
        <v>Shahid Qasayi</v>
      </c>
      <c r="R25" s="22" cm="1">
        <f t="array" ref="R25">_xlfn.BYROW(B69,_xlfn.LAMBDA(_xlpm.party,SUMIFS(ledger!G:G,ledger!B:B,_xlpm.party,ledger!E:E,"&lt;&gt;*RD*")))+_xlfn.IFNA(C104,0)</f>
        <v>165343</v>
      </c>
      <c r="S25" s="22" cm="1">
        <f t="array" ref="S25">_xlfn.BYROW(B69, _xlfn.LAMBDA(_xlpm.party, SUMIFS(ledger!G:G, ledger!B:B, _xlpm.party, ledger!E:E, "&lt;&gt;*RD*") / 1.0936 ))+_xlfn.IFNA(D104,0)</f>
        <v>151191.4776883687</v>
      </c>
      <c r="T25" s="22" cm="1">
        <f t="array" ref="T25">(_xlfn.BYROW(B69,_xlfn.LAMBDA(_xlpm.party,SUMIFS(ledger!G:G,ledger!B:B,_xlpm.party,ledger!E:E,"&lt;&gt;*RD*",ledger!D:D,"Chamki")+SUMIFS(ledger!G:G, ledger!B:B, _xlpm.party, ledger!E:E, "&lt;&gt;*RD*", ledger!D:D, "Crinkle")))/1.0936)+_xlfn.IFNA(E104,0)</f>
        <v>113495.7937088515</v>
      </c>
      <c r="U25" s="70" cm="1">
        <f t="array" ref="U25">(_xlfn.BYROW(B69,_xlfn.LAMBDA(_xlpm.party,SUMIFS(ledger!G:G,ledger!B:B,_xlpm.party,ledger!E:E,"&lt;&gt;*RD*",ledger!D:D,"Silky")))/1.0936)+_xlfn.IFNA(F104,0)</f>
        <v>0</v>
      </c>
      <c r="V25" s="22" cm="1">
        <f t="array" ref="V25">(_xlfn.BYROW(B69,_xlfn.LAMBDA(_xlpm.party,
(SUMIFS(ledger!J:J,ledger!B:B,_xlpm.party,ledger!E:E,"&lt;&gt;*RD*",ledger!D:D,"Chamki",ledger!C:C,"&lt;&gt;October Closing CF")+
SUMIFS(ledger!J:J,ledger!B:B,_xlpm.party,ledger!E:E,"&lt;&gt;*RD*",ledger!D:D,"Crinkle",ledger!C:C,"&lt;&gt;October Closing CF")
)+_xlfn.IFNA(G104,0))))</f>
        <v>1134957.9370885149</v>
      </c>
      <c r="W25" s="70" cm="1">
        <f t="array" ref="W25">_xlfn.BYROW(B69, _xlfn.LAMBDA(_xlpm.party,
   SUMIFS(ledger!J:J, ledger!B:B, _xlpm.party, ledger!E:E, "&lt;&gt;*RD*", ledger!D:D, "Silky", ledger!C:C, "&lt;&gt;October Closing CF")
)) + _xlfn.IFNA(H104, 0)</f>
        <v>0</v>
      </c>
      <c r="X25" s="70" cm="1">
        <f t="array" ref="X25">_xlfn.BYROW(B69, _xlfn.LAMBDA(_xlpm.party,
   SUMIFS(ledger!J:J, ledger!B:B, _xlpm.party, ledger!E:E, "&lt;&gt;*RD*", ledger!D:D, "Slub", ledger!C:C, "&lt;&gt;October Closing CF")
))+ _xlfn.IFNA(I104, 0)</f>
        <v>0</v>
      </c>
      <c r="Y25" s="70" cm="1">
        <f t="array" ref="Y25">_xlfn.BYROW(B69, _xlfn.LAMBDA(_xlpm.party,
   SUMIFS(ledger!J:J, ledger!B:B, _xlpm.party, ledger!E:E, "&lt;&gt;*RD*", ledger!D:D, "Satin", ledger!C:C, "&lt;&gt;October Closing CF")
))+ _xlfn.IFNA(J104, 0)</f>
        <v>0</v>
      </c>
      <c r="Z25" s="70" cm="1">
        <f t="array" ref="Z25">_xlfn.BYROW(B69, _xlfn.LAMBDA(_xlpm.party,
   SUMIFS(ledger!J:J, ledger!B:B, _xlpm.party, ledger!E:E, "&lt;&gt;*RD*", ledger!D:D, "Black-Chamki", ledger!C:C, "&lt;&gt;October Closing CF")
))</f>
        <v>0</v>
      </c>
      <c r="AA25" s="70" cm="1">
        <f t="array" ref="AA25">_xlfn.BYROW(B69, _xlfn.LAMBDA(_xlpm.party,
   SUMIFS(ledger!J:J, ledger!B:B, _xlpm.party, ledger!E:E, "&lt;&gt;*RD*", ledger!D:D, "Kataan", ledger!C:C, "&lt;&gt;October Closing CF")
))</f>
        <v>414652.52377468906</v>
      </c>
      <c r="AB25" s="39">
        <f t="shared" si="1"/>
        <v>1549610.460863204</v>
      </c>
      <c r="AC25" s="22">
        <f>(SUMIF(Table14[Party],Q25,Table14[Credit]))+_xlfn.IFNA(L104,0)</f>
        <v>1103325</v>
      </c>
      <c r="AD25" s="33">
        <f t="shared" si="4"/>
        <v>446285.46086320397</v>
      </c>
      <c r="AE25" s="21">
        <v>10</v>
      </c>
      <c r="AF25" s="21">
        <v>13</v>
      </c>
    </row>
    <row r="26" spans="2:32" x14ac:dyDescent="0.3">
      <c r="Q26" t="str">
        <v>Hameed corporation</v>
      </c>
      <c r="R26" s="22" cm="1">
        <f t="array" ref="R26">_xlfn.BYROW(B70,_xlfn.LAMBDA(_xlpm.party,SUMIFS(ledger!G:G,ledger!B:B,_xlpm.party,ledger!E:E,"&lt;&gt;*RD*")))+_xlfn.IFNA(C105,0)</f>
        <v>46404</v>
      </c>
      <c r="S26" s="22" cm="1">
        <f t="array" ref="S26">_xlfn.BYROW(B70, _xlfn.LAMBDA(_xlpm.party, SUMIFS(ledger!G:G, ledger!B:B, _xlpm.party, ledger!E:E, "&lt;&gt;*RD*") / 1.0936 ))+_xlfn.IFNA(D105,0)</f>
        <v>42432.333577176301</v>
      </c>
      <c r="T26" s="22" cm="1">
        <f t="array" ref="T26">(_xlfn.BYROW(B70,_xlfn.LAMBDA(_xlpm.party,SUMIFS(ledger!G:G,ledger!B:B,_xlpm.party,ledger!E:E,"&lt;&gt;*RD*",ledger!D:D,"Chamki")+SUMIFS(ledger!G:G, ledger!B:B, _xlpm.party, ledger!E:E, "&lt;&gt;*RD*", ledger!D:D, "Crinkle")))/1.0936)+_xlfn.IFNA(E105,0)</f>
        <v>42432.333577176301</v>
      </c>
      <c r="U26" s="70" cm="1">
        <f t="array" ref="U26">(_xlfn.BYROW(B70,_xlfn.LAMBDA(_xlpm.party,SUMIFS(ledger!G:G,ledger!B:B,_xlpm.party,ledger!E:E,"&lt;&gt;*RD*",ledger!D:D,"Silky")))/1.0936)+_xlfn.IFNA(F105,0)</f>
        <v>0</v>
      </c>
      <c r="V26" s="22" cm="1">
        <f t="array" ref="V26">(_xlfn.BYROW(B70,_xlfn.LAMBDA(_xlpm.party,
(SUMIFS(ledger!J:J,ledger!B:B,_xlpm.party,ledger!E:E,"&lt;&gt;*RD*",ledger!D:D,"Chamki",ledger!C:C,"&lt;&gt;October Closing CF")+
SUMIFS(ledger!J:J,ledger!B:B,_xlpm.party,ledger!E:E,"&lt;&gt;*RD*",ledger!D:D,"Crinkle",ledger!C:C,"&lt;&gt;October Closing CF")
)+_xlfn.IFNA(G105,0))))</f>
        <v>424323.335771763</v>
      </c>
      <c r="W26" s="70" cm="1">
        <f t="array" ref="W26">_xlfn.BYROW(B70, _xlfn.LAMBDA(_xlpm.party,
   SUMIFS(ledger!J:J, ledger!B:B, _xlpm.party, ledger!E:E, "&lt;&gt;*RD*", ledger!D:D, "Silky", ledger!C:C, "&lt;&gt;October Closing CF")
)) + _xlfn.IFNA(H105, 0)</f>
        <v>0</v>
      </c>
      <c r="X26" s="70" cm="1">
        <f t="array" ref="X26">_xlfn.BYROW(B70, _xlfn.LAMBDA(_xlpm.party,
   SUMIFS(ledger!J:J, ledger!B:B, _xlpm.party, ledger!E:E, "&lt;&gt;*RD*", ledger!D:D, "Slub", ledger!C:C, "&lt;&gt;October Closing CF")
))+ _xlfn.IFNA(I105, 0)</f>
        <v>0</v>
      </c>
      <c r="Y26" s="70" cm="1">
        <f t="array" ref="Y26">_xlfn.BYROW(B70, _xlfn.LAMBDA(_xlpm.party,
   SUMIFS(ledger!J:J, ledger!B:B, _xlpm.party, ledger!E:E, "&lt;&gt;*RD*", ledger!D:D, "Satin", ledger!C:C, "&lt;&gt;October Closing CF")
))+ _xlfn.IFNA(J105, 0)</f>
        <v>0</v>
      </c>
      <c r="Z26" s="70" cm="1">
        <f t="array" ref="Z26">_xlfn.BYROW(B70, _xlfn.LAMBDA(_xlpm.party,
   SUMIFS(ledger!J:J, ledger!B:B, _xlpm.party, ledger!E:E, "&lt;&gt;*RD*", ledger!D:D, "Black-Chamki", ledger!C:C, "&lt;&gt;October Closing CF")
))</f>
        <v>0</v>
      </c>
      <c r="AA26" s="70" cm="1">
        <f t="array" ref="AA26">_xlfn.BYROW(B70, _xlfn.LAMBDA(_xlpm.party,
   SUMIFS(ledger!J:J, ledger!B:B, _xlpm.party, ledger!E:E, "&lt;&gt;*RD*", ledger!D:D, "Kataan", ledger!C:C, "&lt;&gt;October Closing CF")
))</f>
        <v>0</v>
      </c>
      <c r="AB26" s="39">
        <f t="shared" si="1"/>
        <v>424323.335771763</v>
      </c>
      <c r="AC26" s="22">
        <f>(SUMIF(Table14[Party],Q26,Table14[Credit]))+_xlfn.IFNA(L105,0)</f>
        <v>424323</v>
      </c>
      <c r="AD26" s="33">
        <f t="shared" si="4"/>
        <v>0.33577176299877465</v>
      </c>
      <c r="AE26" s="21">
        <v>10</v>
      </c>
      <c r="AF26" s="21">
        <v>13</v>
      </c>
    </row>
    <row r="27" spans="2:32" x14ac:dyDescent="0.3">
      <c r="Q27" t="str">
        <v>ibraheem behraam</v>
      </c>
      <c r="R27" s="22" cm="1">
        <f t="array" ref="R27">_xlfn.BYROW(B71,_xlfn.LAMBDA(_xlpm.party,SUMIFS(ledger!G:G,ledger!B:B,_xlpm.party,ledger!E:E,"&lt;&gt;*RD*")))+_xlfn.IFNA(C106,0)</f>
        <v>35948</v>
      </c>
      <c r="S27" s="22" cm="1">
        <f t="array" ref="S27">_xlfn.BYROW(B71, _xlfn.LAMBDA(_xlpm.party, SUMIFS(ledger!G:G, ledger!B:B, _xlpm.party, ledger!E:E, "&lt;&gt;*RD*") / 1.0936 ))+_xlfn.IFNA(D106,0)</f>
        <v>32871.250914411125</v>
      </c>
      <c r="T27" s="22" cm="1">
        <f t="array" ref="T27">(_xlfn.BYROW(B71,_xlfn.LAMBDA(_xlpm.party,SUMIFS(ledger!G:G,ledger!B:B,_xlpm.party,ledger!E:E,"&lt;&gt;*RD*",ledger!D:D,"Chamki")+SUMIFS(ledger!G:G, ledger!B:B, _xlpm.party, ledger!E:E, "&lt;&gt;*RD*", ledger!D:D, "Crinkle")))/1.0936)+_xlfn.IFNA(E106,0)</f>
        <v>0</v>
      </c>
      <c r="U27" s="70" cm="1">
        <f t="array" ref="U27">(_xlfn.BYROW(B71,_xlfn.LAMBDA(_xlpm.party,SUMIFS(ledger!G:G,ledger!B:B,_xlpm.party,ledger!E:E,"&lt;&gt;*RD*",ledger!D:D,"Silky")))/1.0936)+_xlfn.IFNA(F106,0)</f>
        <v>32871.250914411125</v>
      </c>
      <c r="V27" s="22" cm="1">
        <f t="array" ref="V27">(_xlfn.BYROW(B71,_xlfn.LAMBDA(_xlpm.party,
(SUMIFS(ledger!J:J,ledger!B:B,_xlpm.party,ledger!E:E,"&lt;&gt;*RD*",ledger!D:D,"Chamki",ledger!C:C,"&lt;&gt;October Closing CF")+
SUMIFS(ledger!J:J,ledger!B:B,_xlpm.party,ledger!E:E,"&lt;&gt;*RD*",ledger!D:D,"Crinkle",ledger!C:C,"&lt;&gt;October Closing CF")
)+_xlfn.IFNA(G106,0))))</f>
        <v>0</v>
      </c>
      <c r="W27" s="70" cm="1">
        <f t="array" ref="W27">_xlfn.BYROW(B71, _xlfn.LAMBDA(_xlpm.party,
   SUMIFS(ledger!J:J, ledger!B:B, _xlpm.party, ledger!E:E, "&lt;&gt;*RD*", ledger!D:D, "Silky", ledger!C:C, "&lt;&gt;October Closing CF")
)) + _xlfn.IFNA(H106, 0)</f>
        <v>427326.26188734459</v>
      </c>
      <c r="X27" s="70" cm="1">
        <f t="array" ref="X27">_xlfn.BYROW(B71, _xlfn.LAMBDA(_xlpm.party,
   SUMIFS(ledger!J:J, ledger!B:B, _xlpm.party, ledger!E:E, "&lt;&gt;*RD*", ledger!D:D, "Slub", ledger!C:C, "&lt;&gt;October Closing CF")
))+ _xlfn.IFNA(I106, 0)</f>
        <v>0</v>
      </c>
      <c r="Y27" s="70" cm="1">
        <f t="array" ref="Y27">_xlfn.BYROW(B71, _xlfn.LAMBDA(_xlpm.party,
   SUMIFS(ledger!J:J, ledger!B:B, _xlpm.party, ledger!E:E, "&lt;&gt;*RD*", ledger!D:D, "Satin", ledger!C:C, "&lt;&gt;October Closing CF")
))+ _xlfn.IFNA(J106, 0)</f>
        <v>0</v>
      </c>
      <c r="Z27" s="70" cm="1">
        <f t="array" ref="Z27">_xlfn.BYROW(B71, _xlfn.LAMBDA(_xlpm.party,
   SUMIFS(ledger!J:J, ledger!B:B, _xlpm.party, ledger!E:E, "&lt;&gt;*RD*", ledger!D:D, "Black-Chamki", ledger!C:C, "&lt;&gt;October Closing CF")
))</f>
        <v>0</v>
      </c>
      <c r="AA27" s="70" cm="1">
        <f t="array" ref="AA27">_xlfn.BYROW(B71, _xlfn.LAMBDA(_xlpm.party,
   SUMIFS(ledger!J:J, ledger!B:B, _xlpm.party, ledger!E:E, "&lt;&gt;*RD*", ledger!D:D, "Kataan", ledger!C:C, "&lt;&gt;October Closing CF")
))</f>
        <v>0</v>
      </c>
      <c r="AB27" s="39">
        <f t="shared" si="1"/>
        <v>427326.26188734459</v>
      </c>
      <c r="AC27" s="22">
        <f>(SUMIF(Table14[Party],Q27,Table14[Credit]))+_xlfn.IFNA(L106,0)</f>
        <v>437000</v>
      </c>
      <c r="AD27" s="33">
        <f t="shared" si="4"/>
        <v>-9673.7381126554101</v>
      </c>
      <c r="AE27" s="21">
        <v>10</v>
      </c>
      <c r="AF27" s="21">
        <v>13</v>
      </c>
    </row>
    <row r="28" spans="2:32" x14ac:dyDescent="0.3">
      <c r="Q28" t="str">
        <v>Zia-ullah karachi</v>
      </c>
      <c r="R28" s="22" cm="1">
        <f t="array" ref="R28">_xlfn.BYROW(B72,_xlfn.LAMBDA(_xlpm.party,SUMIFS(ledger!G:G,ledger!B:B,_xlpm.party,ledger!E:E,"&lt;&gt;*RD*")))+_xlfn.IFNA(C107,0)</f>
        <v>13622</v>
      </c>
      <c r="S28" s="22" cm="1">
        <f t="array" ref="S28">_xlfn.BYROW(B72, _xlfn.LAMBDA(_xlpm.party, SUMIFS(ledger!G:G, ledger!B:B, _xlpm.party, ledger!E:E, "&lt;&gt;*RD*") / 1.0936 ))+_xlfn.IFNA(D107,0)</f>
        <v>12456.108266276518</v>
      </c>
      <c r="T28" s="22" cm="1">
        <f t="array" ref="T28">(_xlfn.BYROW(B72,_xlfn.LAMBDA(_xlpm.party,SUMIFS(ledger!G:G,ledger!B:B,_xlpm.party,ledger!E:E,"&lt;&gt;*RD*",ledger!D:D,"Chamki")+SUMIFS(ledger!G:G, ledger!B:B, _xlpm.party, ledger!E:E, "&lt;&gt;*RD*", ledger!D:D, "Crinkle")))/1.0936)+_xlfn.IFNA(E107,0)</f>
        <v>12456.108266276518</v>
      </c>
      <c r="U28" s="70" cm="1">
        <f t="array" ref="U28">(_xlfn.BYROW(B72,_xlfn.LAMBDA(_xlpm.party,SUMIFS(ledger!G:G,ledger!B:B,_xlpm.party,ledger!E:E,"&lt;&gt;*RD*",ledger!D:D,"Silky")))/1.0936)+_xlfn.IFNA(F107,0)</f>
        <v>0</v>
      </c>
      <c r="V28" s="22" cm="1">
        <f t="array" ref="V28">(_xlfn.BYROW(B72,_xlfn.LAMBDA(_xlpm.party,
(SUMIFS(ledger!J:J,ledger!B:B,_xlpm.party,ledger!E:E,"&lt;&gt;*RD*",ledger!D:D,"Chamki",ledger!C:C,"&lt;&gt;October Closing CF")+
SUMIFS(ledger!J:J,ledger!B:B,_xlpm.party,ledger!E:E,"&lt;&gt;*RD*",ledger!D:D,"Crinkle",ledger!C:C,"&lt;&gt;October Closing CF")
)+_xlfn.IFNA(G107,0))))</f>
        <v>124561.08266276518</v>
      </c>
      <c r="W28" s="70" cm="1">
        <f t="array" ref="W28">_xlfn.BYROW(B72, _xlfn.LAMBDA(_xlpm.party,
   SUMIFS(ledger!J:J, ledger!B:B, _xlpm.party, ledger!E:E, "&lt;&gt;*RD*", ledger!D:D, "Silky", ledger!C:C, "&lt;&gt;October Closing CF")
)) + _xlfn.IFNA(H107, 0)</f>
        <v>0</v>
      </c>
      <c r="X28" s="70" cm="1">
        <f t="array" ref="X28">_xlfn.BYROW(B72, _xlfn.LAMBDA(_xlpm.party,
   SUMIFS(ledger!J:J, ledger!B:B, _xlpm.party, ledger!E:E, "&lt;&gt;*RD*", ledger!D:D, "Slub", ledger!C:C, "&lt;&gt;October Closing CF")
))+ _xlfn.IFNA(I107, 0)</f>
        <v>0</v>
      </c>
      <c r="Y28" s="70" cm="1">
        <f t="array" ref="Y28">_xlfn.BYROW(B72, _xlfn.LAMBDA(_xlpm.party,
   SUMIFS(ledger!J:J, ledger!B:B, _xlpm.party, ledger!E:E, "&lt;&gt;*RD*", ledger!D:D, "Satin", ledger!C:C, "&lt;&gt;October Closing CF")
))+ _xlfn.IFNA(J107, 0)</f>
        <v>0</v>
      </c>
      <c r="Z28" s="70" cm="1">
        <f t="array" ref="Z28">_xlfn.BYROW(B72, _xlfn.LAMBDA(_xlpm.party,
   SUMIFS(ledger!J:J, ledger!B:B, _xlpm.party, ledger!E:E, "&lt;&gt;*RD*", ledger!D:D, "Black-Chamki", ledger!C:C, "&lt;&gt;October Closing CF")
))</f>
        <v>0</v>
      </c>
      <c r="AA28" s="70" cm="1">
        <f t="array" ref="AA28">_xlfn.BYROW(B72, _xlfn.LAMBDA(_xlpm.party,
   SUMIFS(ledger!J:J, ledger!B:B, _xlpm.party, ledger!E:E, "&lt;&gt;*RD*", ledger!D:D, "Kataan", ledger!C:C, "&lt;&gt;October Closing CF")
))</f>
        <v>0</v>
      </c>
      <c r="AB28" s="39">
        <f t="shared" si="1"/>
        <v>124561.08266276518</v>
      </c>
      <c r="AC28" s="22">
        <f>(SUMIF(Table14[Party],Q28,Table14[Credit]))+_xlfn.IFNA(L107,0)</f>
        <v>137260</v>
      </c>
      <c r="AD28" s="33">
        <f t="shared" si="4"/>
        <v>-12698.917337234816</v>
      </c>
      <c r="AE28" s="21">
        <v>10</v>
      </c>
      <c r="AF28" s="21">
        <v>13</v>
      </c>
    </row>
    <row r="29" spans="2:32" x14ac:dyDescent="0.3">
      <c r="R29" s="22" cm="1">
        <f t="array" ref="R29">_xlfn.BYROW(B73,_xlfn.LAMBDA(_xlpm.party,SUMIFS(ledger!G:G,ledger!B:B,_xlpm.party,ledger!E:E,"&lt;&gt;*RD*")))+_xlfn.IFNA(C108,0)</f>
        <v>0</v>
      </c>
      <c r="S29" s="22" cm="1">
        <f t="array" ref="S29">_xlfn.BYROW(B73, _xlfn.LAMBDA(_xlpm.party, SUMIFS(ledger!G:G, ledger!B:B, _xlpm.party, ledger!E:E, "&lt;&gt;*RD*") / 1.0936 ))+_xlfn.IFNA(D108,0)</f>
        <v>0</v>
      </c>
      <c r="T29" s="22" cm="1">
        <f t="array" ref="T29">(_xlfn.BYROW(B73,_xlfn.LAMBDA(_xlpm.party,SUMIFS(ledger!G:G,ledger!B:B,_xlpm.party,ledger!E:E,"&lt;&gt;*RD*",ledger!D:D,"Chamki")+SUMIFS(ledger!G:G, ledger!B:B, _xlpm.party, ledger!E:E, "&lt;&gt;*RD*", ledger!D:D, "Crinkle")))/1.0936)+_xlfn.IFNA(E108,0)</f>
        <v>0</v>
      </c>
      <c r="U29" s="70" cm="1">
        <f t="array" ref="U29">(_xlfn.BYROW(B73,_xlfn.LAMBDA(_xlpm.party,SUMIFS(ledger!G:G,ledger!B:B,_xlpm.party,ledger!E:E,"&lt;&gt;*RD*",ledger!D:D,"Silky")))/1.0936)+_xlfn.IFNA(F108,0)</f>
        <v>0</v>
      </c>
      <c r="V29" s="22" cm="1">
        <f t="array" ref="V29">(_xlfn.BYROW(B73,_xlfn.LAMBDA(_xlpm.party,
(SUMIFS(ledger!J:J,ledger!B:B,_xlpm.party,ledger!E:E,"&lt;&gt;*RD*",ledger!D:D,"Chamki",ledger!C:C,"&lt;&gt;October Closing CF")+
SUMIFS(ledger!J:J,ledger!B:B,_xlpm.party,ledger!E:E,"&lt;&gt;*RD*",ledger!D:D,"Crinkle",ledger!C:C,"&lt;&gt;October Closing CF")
)+_xlfn.IFNA(G108,0))))</f>
        <v>0</v>
      </c>
      <c r="W29" s="70" cm="1">
        <f t="array" ref="W29">_xlfn.BYROW(B73, _xlfn.LAMBDA(_xlpm.party,
   SUMIFS(ledger!J:J, ledger!B:B, _xlpm.party, ledger!E:E, "&lt;&gt;*RD*", ledger!D:D, "Silky", ledger!C:C, "&lt;&gt;October Closing CF")
)) + _xlfn.IFNA(H108, 0)</f>
        <v>0</v>
      </c>
      <c r="X29" s="70" cm="1">
        <f t="array" ref="X29">_xlfn.BYROW(B73, _xlfn.LAMBDA(_xlpm.party,
   SUMIFS(ledger!J:J, ledger!B:B, _xlpm.party, ledger!E:E, "&lt;&gt;*RD*", ledger!D:D, "Slub", ledger!C:C, "&lt;&gt;October Closing CF")
))+ _xlfn.IFNA(I108, 0)</f>
        <v>0</v>
      </c>
      <c r="Y29" s="70" cm="1">
        <f t="array" ref="Y29">_xlfn.BYROW(B73, _xlfn.LAMBDA(_xlpm.party,
   SUMIFS(ledger!J:J, ledger!B:B, _xlpm.party, ledger!E:E, "&lt;&gt;*RD*", ledger!D:D, "Satin", ledger!C:C, "&lt;&gt;October Closing CF")
))+ _xlfn.IFNA(J108, 0)</f>
        <v>0</v>
      </c>
      <c r="Z29" s="70" cm="1">
        <f t="array" ref="Z29">_xlfn.BYROW(B73, _xlfn.LAMBDA(_xlpm.party,
   SUMIFS(ledger!J:J, ledger!B:B, _xlpm.party, ledger!E:E, "&lt;&gt;*RD*", ledger!D:D, "Black-Chamki", ledger!C:C, "&lt;&gt;October Closing CF")
))</f>
        <v>0</v>
      </c>
      <c r="AA29" s="70" cm="1">
        <f t="array" ref="AA29">_xlfn.BYROW(B73, _xlfn.LAMBDA(_xlpm.party,
   SUMIFS(ledger!J:J, ledger!B:B, _xlpm.party, ledger!E:E, "&lt;&gt;*RD*", ledger!D:D, "Kataan", ledger!C:C, "&lt;&gt;October Closing CF")
))</f>
        <v>0</v>
      </c>
      <c r="AB29" s="39">
        <f t="shared" si="1"/>
        <v>0</v>
      </c>
      <c r="AC29" s="22">
        <f>(SUMIF(Table14[Party],Q29,Table14[Credit]))+_xlfn.IFNA(L108,0)</f>
        <v>0</v>
      </c>
      <c r="AD29" s="33">
        <f t="shared" si="4"/>
        <v>0</v>
      </c>
      <c r="AE29" s="21">
        <v>10</v>
      </c>
      <c r="AF29" s="21">
        <v>13</v>
      </c>
    </row>
    <row r="30" spans="2:32" x14ac:dyDescent="0.3">
      <c r="R30" s="22" cm="1">
        <f t="array" ref="R30">_xlfn.BYROW(B74,_xlfn.LAMBDA(_xlpm.party,SUMIFS(ledger!G:G,ledger!B:B,_xlpm.party,ledger!E:E,"&lt;&gt;*RD*")))+_xlfn.IFNA(C109,0)</f>
        <v>0</v>
      </c>
      <c r="S30" s="22" cm="1">
        <f t="array" ref="S30">_xlfn.BYROW(B74, _xlfn.LAMBDA(_xlpm.party, SUMIFS(ledger!G:G, ledger!B:B, _xlpm.party, ledger!E:E, "&lt;&gt;*RD*") / 1.0936 ))+_xlfn.IFNA(D109,0)</f>
        <v>0</v>
      </c>
      <c r="T30" s="22" cm="1">
        <f t="array" ref="T30">(_xlfn.BYROW(B74,_xlfn.LAMBDA(_xlpm.party,SUMIFS(ledger!G:G,ledger!B:B,_xlpm.party,ledger!E:E,"&lt;&gt;*RD*",ledger!D:D,"Chamki")+SUMIFS(ledger!G:G, ledger!B:B, _xlpm.party, ledger!E:E, "&lt;&gt;*RD*", ledger!D:D, "Crinkle")))/1.0936)+_xlfn.IFNA(E109,0)</f>
        <v>0</v>
      </c>
      <c r="U30" s="70" cm="1">
        <f t="array" ref="U30">(_xlfn.BYROW(B74,_xlfn.LAMBDA(_xlpm.party,SUMIFS(ledger!G:G,ledger!B:B,_xlpm.party,ledger!E:E,"&lt;&gt;*RD*",ledger!D:D,"Silky")))/1.0936)+_xlfn.IFNA(F109,0)</f>
        <v>0</v>
      </c>
      <c r="V30" s="22" cm="1">
        <f t="array" ref="V30">(_xlfn.BYROW(B74,_xlfn.LAMBDA(_xlpm.party,
(SUMIFS(ledger!J:J,ledger!B:B,_xlpm.party,ledger!E:E,"&lt;&gt;*RD*",ledger!D:D,"Chamki",ledger!C:C,"&lt;&gt;October Closing CF")+
SUMIFS(ledger!J:J,ledger!B:B,_xlpm.party,ledger!E:E,"&lt;&gt;*RD*",ledger!D:D,"Crinkle",ledger!C:C,"&lt;&gt;October Closing CF")
)+_xlfn.IFNA(G109,0))))</f>
        <v>0</v>
      </c>
      <c r="W30" s="70" cm="1">
        <f t="array" ref="W30">_xlfn.BYROW(B74, _xlfn.LAMBDA(_xlpm.party,
   SUMIFS(ledger!J:J, ledger!B:B, _xlpm.party, ledger!E:E, "&lt;&gt;*RD*", ledger!D:D, "Silky", ledger!C:C, "&lt;&gt;October Closing CF")
)) + _xlfn.IFNA(H109, 0)</f>
        <v>0</v>
      </c>
      <c r="X30" s="70" cm="1">
        <f t="array" ref="X30">_xlfn.BYROW(B74, _xlfn.LAMBDA(_xlpm.party,
   SUMIFS(ledger!J:J, ledger!B:B, _xlpm.party, ledger!E:E, "&lt;&gt;*RD*", ledger!D:D, "Slub", ledger!C:C, "&lt;&gt;October Closing CF")
))</f>
        <v>0</v>
      </c>
      <c r="Y30" s="70" cm="1">
        <f t="array" ref="Y30">_xlfn.BYROW(B74, _xlfn.LAMBDA(_xlpm.party,
   SUMIFS(ledger!J:J, ledger!B:B, _xlpm.party, ledger!E:E, "&lt;&gt;*RD*", ledger!D:D, "Satin", ledger!C:C, "&lt;&gt;October Closing CF")
))</f>
        <v>0</v>
      </c>
      <c r="Z30" s="70" cm="1">
        <f t="array" ref="Z30">_xlfn.BYROW(B74, _xlfn.LAMBDA(_xlpm.party,
   SUMIFS(ledger!J:J, ledger!B:B, _xlpm.party, ledger!E:E, "&lt;&gt;*RD*", ledger!D:D, "Black-Chamki", ledger!C:C, "&lt;&gt;October Closing CF")
))</f>
        <v>0</v>
      </c>
      <c r="AA30" s="70" cm="1">
        <f t="array" ref="AA30">_xlfn.BYROW(B74, _xlfn.LAMBDA(_xlpm.party,
   SUMIFS(ledger!J:J, ledger!B:B, _xlpm.party, ledger!E:E, "&lt;&gt;*RD*", ledger!D:D, "Kataan", ledger!C:C, "&lt;&gt;October Closing CF")
))</f>
        <v>0</v>
      </c>
      <c r="AB30" s="39">
        <f t="shared" si="1"/>
        <v>0</v>
      </c>
      <c r="AC30" s="22">
        <f>(SUMIF(Table14[Party],Q30,Table14[Credit]))+_xlfn.IFNA(L109,0)</f>
        <v>0</v>
      </c>
      <c r="AD30" s="33">
        <f t="shared" si="4"/>
        <v>0</v>
      </c>
      <c r="AE30" s="21">
        <v>10</v>
      </c>
      <c r="AF30" s="21">
        <v>13</v>
      </c>
    </row>
    <row r="31" spans="2:32" x14ac:dyDescent="0.3">
      <c r="R31" s="22" cm="1">
        <f t="array" ref="R31">_xlfn.BYROW(B75,_xlfn.LAMBDA(_xlpm.party,SUMIFS(ledger!G:G,ledger!B:B,_xlpm.party,ledger!E:E,"&lt;&gt;*RD*")))+_xlfn.IFNA(C110,0)</f>
        <v>0</v>
      </c>
      <c r="S31" s="22" cm="1">
        <f t="array" ref="S31">_xlfn.BYROW(B75, _xlfn.LAMBDA(_xlpm.party, SUMIFS(ledger!G:G, ledger!B:B, _xlpm.party, ledger!E:E, "&lt;&gt;*RD*") / 1.0936 ))+_xlfn.IFNA(D110,0)</f>
        <v>0</v>
      </c>
      <c r="T31" s="22" cm="1">
        <f t="array" ref="T31">(_xlfn.BYROW(B75,_xlfn.LAMBDA(_xlpm.party,SUMIFS(ledger!G:G,ledger!B:B,_xlpm.party,ledger!E:E,"&lt;&gt;*RD*",ledger!D:D,"Chamki")+SUMIFS(ledger!G:G, ledger!B:B, _xlpm.party, ledger!E:E, "&lt;&gt;*RD*", ledger!D:D, "Crinkle")))/1.0936)+_xlfn.IFNA(E110,0)</f>
        <v>0</v>
      </c>
      <c r="U31" s="70" cm="1">
        <f t="array" ref="U31">(_xlfn.BYROW(B75,_xlfn.LAMBDA(_xlpm.party,SUMIFS(ledger!G:G,ledger!B:B,_xlpm.party,ledger!E:E,"&lt;&gt;*RD*",ledger!D:D,"Silky")))/1.0936)+_xlfn.IFNA(F110,0)</f>
        <v>0</v>
      </c>
      <c r="V31" s="22" cm="1">
        <f t="array" ref="V31">(_xlfn.BYROW(B75,_xlfn.LAMBDA(_xlpm.party,
(SUMIFS(ledger!J:J,ledger!B:B,_xlpm.party,ledger!E:E,"&lt;&gt;*RD*",ledger!D:D,"Chamki",ledger!C:C,"&lt;&gt;October Closing CF")+
SUMIFS(ledger!J:J,ledger!B:B,_xlpm.party,ledger!E:E,"&lt;&gt;*RD*",ledger!D:D,"Crinkle",ledger!C:C,"&lt;&gt;October Closing CF")
)+_xlfn.IFNA(G110,0))))</f>
        <v>0</v>
      </c>
      <c r="W31" s="70" cm="1">
        <f t="array" ref="W31">_xlfn.BYROW(B75, _xlfn.LAMBDA(_xlpm.party,
   SUMIFS(ledger!J:J, ledger!B:B, _xlpm.party, ledger!E:E, "&lt;&gt;*RD*", ledger!D:D, "Silky", ledger!C:C, "&lt;&gt;October Closing CF")
)) + _xlfn.IFNA(H110, 0)</f>
        <v>0</v>
      </c>
      <c r="X31" s="70" cm="1">
        <f t="array" ref="X31">_xlfn.BYROW(B75, _xlfn.LAMBDA(_xlpm.party,
   SUMIFS(ledger!J:J, ledger!B:B, _xlpm.party, ledger!E:E, "&lt;&gt;*RD*", ledger!D:D, "Slub", ledger!C:C, "&lt;&gt;October Closing CF")
))</f>
        <v>0</v>
      </c>
      <c r="Y31" s="70" cm="1">
        <f t="array" ref="Y31">_xlfn.BYROW(B75, _xlfn.LAMBDA(_xlpm.party,
   SUMIFS(ledger!J:J, ledger!B:B, _xlpm.party, ledger!E:E, "&lt;&gt;*RD*", ledger!D:D, "Satin", ledger!C:C, "&lt;&gt;October Closing CF")
))</f>
        <v>0</v>
      </c>
      <c r="Z31" s="70" cm="1">
        <f t="array" ref="Z31">_xlfn.BYROW(B75, _xlfn.LAMBDA(_xlpm.party,
   SUMIFS(ledger!J:J, ledger!B:B, _xlpm.party, ledger!E:E, "&lt;&gt;*RD*", ledger!D:D, "Black-Chamki", ledger!C:C, "&lt;&gt;October Closing CF")
))</f>
        <v>0</v>
      </c>
      <c r="AA31" s="70" cm="1">
        <f t="array" ref="AA31">_xlfn.BYROW(B75, _xlfn.LAMBDA(_xlpm.party,
   SUMIFS(ledger!J:J, ledger!B:B, _xlpm.party, ledger!E:E, "&lt;&gt;*RD*", ledger!D:D, "Kataan", ledger!C:C, "&lt;&gt;October Closing CF")
))</f>
        <v>0</v>
      </c>
      <c r="AB31" s="39">
        <f t="shared" si="1"/>
        <v>0</v>
      </c>
      <c r="AC31" s="22">
        <f>(SUMIF(Table14[Party],Q31,Table14[Credit]))+_xlfn.IFNA(L110,0)</f>
        <v>0</v>
      </c>
      <c r="AD31" s="33">
        <f t="shared" si="4"/>
        <v>0</v>
      </c>
      <c r="AE31" s="21">
        <v>10</v>
      </c>
      <c r="AF31" s="21">
        <v>13</v>
      </c>
    </row>
    <row r="32" spans="2:32" x14ac:dyDescent="0.3">
      <c r="R32" s="22" cm="1">
        <f t="array" ref="R32">_xlfn.BYROW(B76,_xlfn.LAMBDA(_xlpm.party,SUMIFS(ledger!G:G,ledger!B:B,_xlpm.party,ledger!E:E,"&lt;&gt;*RD*")))+_xlfn.IFNA(C111,0)</f>
        <v>0</v>
      </c>
      <c r="S32" s="22" cm="1">
        <f t="array" ref="S32">_xlfn.BYROW(B76, _xlfn.LAMBDA(_xlpm.party, SUMIFS(ledger!G:G, ledger!B:B, _xlpm.party, ledger!E:E, "&lt;&gt;*RD*") / 1.0936 ))+_xlfn.IFNA(D111,0)</f>
        <v>0</v>
      </c>
      <c r="T32" s="22" cm="1">
        <f t="array" ref="T32">(_xlfn.BYROW(B76,_xlfn.LAMBDA(_xlpm.party,SUMIFS(ledger!G:G,ledger!B:B,_xlpm.party,ledger!E:E,"&lt;&gt;*RD*",ledger!D:D,"Chamki")+SUMIFS(ledger!G:G, ledger!B:B, _xlpm.party, ledger!E:E, "&lt;&gt;*RD*", ledger!D:D, "Crinkle")))/1.0936)+_xlfn.IFNA(E111,0)</f>
        <v>0</v>
      </c>
      <c r="U32" s="70" cm="1">
        <f t="array" ref="U32">(_xlfn.BYROW(B76,_xlfn.LAMBDA(_xlpm.party,SUMIFS(ledger!G:G,ledger!B:B,_xlpm.party,ledger!E:E,"&lt;&gt;*RD*",ledger!D:D,"Silky")))/1.0936)+_xlfn.IFNA(F111,0)</f>
        <v>0</v>
      </c>
      <c r="V32" s="22" cm="1">
        <f t="array" ref="V32">(_xlfn.BYROW(B76,_xlfn.LAMBDA(_xlpm.party,
(SUMIFS(ledger!J:J,ledger!B:B,_xlpm.party,ledger!E:E,"&lt;&gt;*RD*",ledger!D:D,"Chamki",ledger!C:C,"&lt;&gt;October Closing CF")+
SUMIFS(ledger!J:J,ledger!B:B,_xlpm.party,ledger!E:E,"&lt;&gt;*RD*",ledger!D:D,"Crinkle",ledger!C:C,"&lt;&gt;October Closing CF")
)+_xlfn.IFNA(G111,0))))</f>
        <v>0</v>
      </c>
      <c r="W32" s="70" cm="1">
        <f t="array" ref="W32">_xlfn.BYROW(B76, _xlfn.LAMBDA(_xlpm.party,
   SUMIFS(ledger!J:J, ledger!B:B, _xlpm.party, ledger!E:E, "&lt;&gt;*RD*", ledger!D:D, "Silky", ledger!C:C, "&lt;&gt;October Closing CF")
)) + _xlfn.IFNA(H111, 0)</f>
        <v>0</v>
      </c>
      <c r="X32" s="70" cm="1">
        <f t="array" ref="X32">_xlfn.BYROW(B76, _xlfn.LAMBDA(_xlpm.party,
   SUMIFS(ledger!J:J, ledger!B:B, _xlpm.party, ledger!E:E, "&lt;&gt;*RD*", ledger!D:D, "Slub", ledger!C:C, "&lt;&gt;October Closing CF")
))</f>
        <v>0</v>
      </c>
      <c r="Y32" s="70" cm="1">
        <f t="array" ref="Y32">_xlfn.BYROW(B76, _xlfn.LAMBDA(_xlpm.party,
   SUMIFS(ledger!J:J, ledger!B:B, _xlpm.party, ledger!E:E, "&lt;&gt;*RD*", ledger!D:D, "Satin", ledger!C:C, "&lt;&gt;October Closing CF")
))</f>
        <v>0</v>
      </c>
      <c r="Z32" s="70" cm="1">
        <f t="array" ref="Z32">_xlfn.BYROW(B76, _xlfn.LAMBDA(_xlpm.party,
   SUMIFS(ledger!J:J, ledger!B:B, _xlpm.party, ledger!E:E, "&lt;&gt;*RD*", ledger!D:D, "Black-Chamki", ledger!C:C, "&lt;&gt;October Closing CF")
))</f>
        <v>0</v>
      </c>
      <c r="AA32" s="70" cm="1">
        <f t="array" ref="AA32">_xlfn.BYROW(B76, _xlfn.LAMBDA(_xlpm.party,
   SUMIFS(ledger!J:J, ledger!B:B, _xlpm.party, ledger!E:E, "&lt;&gt;*RD*", ledger!D:D, "Kataan", ledger!C:C, "&lt;&gt;October Closing CF")
))</f>
        <v>0</v>
      </c>
      <c r="AB32" s="39">
        <f t="shared" si="1"/>
        <v>0</v>
      </c>
      <c r="AC32" s="22">
        <f>(SUMIF(Table14[Party],Q32,Table14[Credit]))+_xlfn.IFNA(L111,0)</f>
        <v>0</v>
      </c>
      <c r="AD32" s="33">
        <f t="shared" si="4"/>
        <v>0</v>
      </c>
      <c r="AE32" s="21">
        <v>10</v>
      </c>
      <c r="AF32" s="21">
        <v>13</v>
      </c>
    </row>
    <row r="33" spans="2:32" x14ac:dyDescent="0.3">
      <c r="R33" s="22" cm="1">
        <f t="array" ref="R33">_xlfn.BYROW(B77,_xlfn.LAMBDA(_xlpm.party,SUMIFS(ledger!G:G,ledger!B:B,_xlpm.party,ledger!E:E,"&lt;&gt;*RD*")))+_xlfn.IFNA(C112,0)</f>
        <v>0</v>
      </c>
      <c r="S33" s="22" cm="1">
        <f t="array" ref="S33">_xlfn.BYROW(B77, _xlfn.LAMBDA(_xlpm.party, SUMIFS(ledger!G:G, ledger!B:B, _xlpm.party, ledger!E:E, "&lt;&gt;*RD*") / 1.0936 ))+_xlfn.IFNA(D112,0)</f>
        <v>0</v>
      </c>
      <c r="T33" s="22" cm="1">
        <f t="array" ref="T33">(_xlfn.BYROW(B77,_xlfn.LAMBDA(_xlpm.party,SUMIFS(ledger!G:G,ledger!B:B,_xlpm.party,ledger!E:E,"&lt;&gt;*RD*",ledger!D:D,"Chamki")+SUMIFS(ledger!G:G, ledger!B:B, _xlpm.party, ledger!E:E, "&lt;&gt;*RD*", ledger!D:D, "Crinkle")))/1.0936)+_xlfn.IFNA(E112,0)</f>
        <v>0</v>
      </c>
      <c r="U33" s="70" cm="1">
        <f t="array" ref="U33">(_xlfn.BYROW(B77,_xlfn.LAMBDA(_xlpm.party,SUMIFS(ledger!G:G,ledger!B:B,_xlpm.party,ledger!E:E,"&lt;&gt;*RD*",ledger!D:D,"Silky")))/1.0936)+_xlfn.IFNA(F112,0)</f>
        <v>0</v>
      </c>
      <c r="V33" s="22" cm="1">
        <f t="array" ref="V33">(_xlfn.BYROW(B77,_xlfn.LAMBDA(_xlpm.party,
(SUMIFS(ledger!J:J,ledger!B:B,_xlpm.party,ledger!E:E,"&lt;&gt;*RD*",ledger!D:D,"Chamki",ledger!C:C,"&lt;&gt;October Closing CF")+
SUMIFS(ledger!J:J,ledger!B:B,_xlpm.party,ledger!E:E,"&lt;&gt;*RD*",ledger!D:D,"Crinkle",ledger!C:C,"&lt;&gt;October Closing CF")
)+_xlfn.IFNA(G112,0))))</f>
        <v>0</v>
      </c>
      <c r="W33" s="70" cm="1">
        <f t="array" ref="W33">_xlfn.BYROW(B77, _xlfn.LAMBDA(_xlpm.party,
   SUMIFS(ledger!J:J, ledger!B:B, _xlpm.party, ledger!E:E, "&lt;&gt;*RD*", ledger!D:D, "Silky", ledger!C:C, "&lt;&gt;October Closing CF")
)) + _xlfn.IFNA(H112, 0)</f>
        <v>0</v>
      </c>
      <c r="X33" s="70" cm="1">
        <f t="array" ref="X33">_xlfn.BYROW(B77, _xlfn.LAMBDA(_xlpm.party,
   SUMIFS(ledger!J:J, ledger!B:B, _xlpm.party, ledger!E:E, "&lt;&gt;*RD*", ledger!D:D, "Slub", ledger!C:C, "&lt;&gt;October Closing CF")
))</f>
        <v>0</v>
      </c>
      <c r="Y33" s="70" cm="1">
        <f t="array" ref="Y33">_xlfn.BYROW(B77, _xlfn.LAMBDA(_xlpm.party,
   SUMIFS(ledger!J:J, ledger!B:B, _xlpm.party, ledger!E:E, "&lt;&gt;*RD*", ledger!D:D, "Satin", ledger!C:C, "&lt;&gt;October Closing CF")
))</f>
        <v>0</v>
      </c>
      <c r="Z33" s="70" cm="1">
        <f t="array" ref="Z33">_xlfn.BYROW(B77, _xlfn.LAMBDA(_xlpm.party,
   SUMIFS(ledger!J:J, ledger!B:B, _xlpm.party, ledger!E:E, "&lt;&gt;*RD*", ledger!D:D, "Black-Chamki", ledger!C:C, "&lt;&gt;October Closing CF")
))</f>
        <v>0</v>
      </c>
      <c r="AA33" s="70" cm="1">
        <f t="array" ref="AA33">_xlfn.BYROW(B77, _xlfn.LAMBDA(_xlpm.party,
   SUMIFS(ledger!J:J, ledger!B:B, _xlpm.party, ledger!E:E, "&lt;&gt;*RD*", ledger!D:D, "Kataan", ledger!C:C, "&lt;&gt;October Closing CF")
))</f>
        <v>0</v>
      </c>
      <c r="AB33" s="39">
        <f t="shared" si="1"/>
        <v>0</v>
      </c>
      <c r="AC33" s="22">
        <f>(SUMIF(Table14[Party],Q33,Table14[Credit]))+_xlfn.IFNA(L112,0)</f>
        <v>0</v>
      </c>
      <c r="AD33" s="33">
        <f t="shared" si="4"/>
        <v>0</v>
      </c>
      <c r="AE33" s="21">
        <v>10</v>
      </c>
      <c r="AF33" s="21">
        <v>13</v>
      </c>
    </row>
    <row r="34" spans="2:32" x14ac:dyDescent="0.3">
      <c r="R34" s="22" cm="1">
        <f t="array" ref="R34">_xlfn.BYROW(B78,_xlfn.LAMBDA(_xlpm.party,SUMIFS(ledger!G:G,ledger!B:B,_xlpm.party,ledger!E:E,"&lt;&gt;*RD*")))+_xlfn.IFNA(C113,0)</f>
        <v>0</v>
      </c>
      <c r="S34" s="22" cm="1">
        <f t="array" ref="S34">_xlfn.BYROW(B78, _xlfn.LAMBDA(_xlpm.party, SUMIFS(ledger!G:G, ledger!B:B, _xlpm.party, ledger!E:E, "&lt;&gt;*RD*") / 1.0936 ))+_xlfn.IFNA(D113,0)</f>
        <v>0</v>
      </c>
      <c r="T34" s="22" cm="1">
        <f t="array" ref="T34">(_xlfn.BYROW(B78,_xlfn.LAMBDA(_xlpm.party,SUMIFS(ledger!G:G,ledger!B:B,_xlpm.party,ledger!E:E,"&lt;&gt;*RD*",ledger!D:D,"Chamki")+SUMIFS(ledger!G:G, ledger!B:B, _xlpm.party, ledger!E:E, "&lt;&gt;*RD*", ledger!D:D, "Crinkle")))/1.0936)+_xlfn.IFNA(E113,0)</f>
        <v>0</v>
      </c>
      <c r="U34" s="70" cm="1">
        <f t="array" ref="U34">(_xlfn.BYROW(B78,_xlfn.LAMBDA(_xlpm.party,SUMIFS(ledger!G:G,ledger!B:B,_xlpm.party,ledger!E:E,"&lt;&gt;*RD*",ledger!D:D,"Silky")))/1.0936)+_xlfn.IFNA(F113,0)</f>
        <v>0</v>
      </c>
      <c r="V34" s="22" cm="1">
        <f t="array" ref="V34">(_xlfn.BYROW(B78,_xlfn.LAMBDA(_xlpm.party,
(SUMIFS(ledger!J:J,ledger!B:B,_xlpm.party,ledger!E:E,"&lt;&gt;*RD*",ledger!D:D,"Chamki",ledger!C:C,"&lt;&gt;October Closing CF")+
SUMIFS(ledger!J:J,ledger!B:B,_xlpm.party,ledger!E:E,"&lt;&gt;*RD*",ledger!D:D,"Crinkle",ledger!C:C,"&lt;&gt;October Closing CF")
)+_xlfn.IFNA(G113,0))))</f>
        <v>0</v>
      </c>
      <c r="W34" s="70" cm="1">
        <f t="array" ref="W34">_xlfn.BYROW(B78, _xlfn.LAMBDA(_xlpm.party,
   SUMIFS(ledger!J:J, ledger!B:B, _xlpm.party, ledger!E:E, "&lt;&gt;*RD*", ledger!D:D, "Silky", ledger!C:C, "&lt;&gt;October Closing CF")
)) + _xlfn.IFNA(H113, 0)</f>
        <v>0</v>
      </c>
      <c r="X34" s="70" cm="1">
        <f t="array" ref="X34">_xlfn.BYROW(B78, _xlfn.LAMBDA(_xlpm.party,
   SUMIFS(ledger!J:J, ledger!B:B, _xlpm.party, ledger!E:E, "&lt;&gt;*RD*", ledger!D:D, "Slub", ledger!C:C, "&lt;&gt;October Closing CF")
))</f>
        <v>0</v>
      </c>
      <c r="Y34" s="70" cm="1">
        <f t="array" ref="Y34">_xlfn.BYROW(B78, _xlfn.LAMBDA(_xlpm.party,
   SUMIFS(ledger!J:J, ledger!B:B, _xlpm.party, ledger!E:E, "&lt;&gt;*RD*", ledger!D:D, "Satin", ledger!C:C, "&lt;&gt;October Closing CF")
))</f>
        <v>0</v>
      </c>
      <c r="Z34" s="70" cm="1">
        <f t="array" ref="Z34">_xlfn.BYROW(B78, _xlfn.LAMBDA(_xlpm.party,
   SUMIFS(ledger!J:J, ledger!B:B, _xlpm.party, ledger!E:E, "&lt;&gt;*RD*", ledger!D:D, "Black-Chamki", ledger!C:C, "&lt;&gt;October Closing CF")
))</f>
        <v>0</v>
      </c>
      <c r="AA34" s="70" cm="1">
        <f t="array" ref="AA34">_xlfn.BYROW(B78, _xlfn.LAMBDA(_xlpm.party,
   SUMIFS(ledger!J:J, ledger!B:B, _xlpm.party, ledger!E:E, "&lt;&gt;*RD*", ledger!D:D, "Kataan", ledger!C:C, "&lt;&gt;October Closing CF")
))</f>
        <v>0</v>
      </c>
      <c r="AB34" s="39">
        <f t="shared" si="1"/>
        <v>0</v>
      </c>
      <c r="AC34" s="22">
        <f>(SUMIF(Table14[Party],Q34,Table14[Credit]))+_xlfn.IFNA(L113,0)</f>
        <v>0</v>
      </c>
      <c r="AD34" s="33">
        <f t="shared" si="4"/>
        <v>0</v>
      </c>
      <c r="AE34" s="21">
        <v>10</v>
      </c>
      <c r="AF34" s="21">
        <v>13</v>
      </c>
    </row>
    <row r="35" spans="2:32" x14ac:dyDescent="0.3">
      <c r="R35" s="22" cm="1">
        <f t="array" ref="R35">_xlfn.BYROW(B79,_xlfn.LAMBDA(_xlpm.party,SUMIFS(ledger!G:G,ledger!B:B,_xlpm.party,ledger!E:E,"&lt;&gt;*RD*")))+_xlfn.IFNA(C114,0)</f>
        <v>0</v>
      </c>
      <c r="S35" s="22" cm="1">
        <f t="array" ref="S35">_xlfn.BYROW(B79, _xlfn.LAMBDA(_xlpm.party, SUMIFS(ledger!G:G, ledger!B:B, _xlpm.party, ledger!E:E, "&lt;&gt;*RD*") / 1.0936 ))+_xlfn.IFNA(D114,0)</f>
        <v>0</v>
      </c>
      <c r="T35" s="22" cm="1">
        <f t="array" ref="T35">(_xlfn.BYROW(B79,_xlfn.LAMBDA(_xlpm.party,SUMIFS(ledger!G:G,ledger!B:B,_xlpm.party,ledger!E:E,"&lt;&gt;*RD*",ledger!D:D,"Chamki")+SUMIFS(ledger!G:G, ledger!B:B, _xlpm.party, ledger!E:E, "&lt;&gt;*RD*", ledger!D:D, "Crinkle")))/1.0936)+_xlfn.IFNA(E114,0)</f>
        <v>0</v>
      </c>
      <c r="U35" s="70" cm="1">
        <f t="array" ref="U35">(_xlfn.BYROW(B79,_xlfn.LAMBDA(_xlpm.party,SUMIFS(ledger!G:G,ledger!B:B,_xlpm.party,ledger!E:E,"&lt;&gt;*RD*",ledger!D:D,"Silky")))/1.0936)+_xlfn.IFNA(F114,0)</f>
        <v>0</v>
      </c>
      <c r="V35" s="22" cm="1">
        <f t="array" ref="V35">(_xlfn.BYROW(B79,_xlfn.LAMBDA(_xlpm.party,
(SUMIFS(ledger!J:J,ledger!B:B,_xlpm.party,ledger!E:E,"&lt;&gt;*RD*",ledger!D:D,"Chamki",ledger!C:C,"&lt;&gt;October Closing CF")+
SUMIFS(ledger!J:J,ledger!B:B,_xlpm.party,ledger!E:E,"&lt;&gt;*RD*",ledger!D:D,"Crinkle",ledger!C:C,"&lt;&gt;October Closing CF")
)+_xlfn.IFNA(G114,0))))</f>
        <v>0</v>
      </c>
      <c r="W35" s="70" cm="1">
        <f t="array" ref="W35">_xlfn.BYROW(B79, _xlfn.LAMBDA(_xlpm.party,
   SUMIFS(ledger!J:J, ledger!B:B, _xlpm.party, ledger!E:E, "&lt;&gt;*RD*", ledger!D:D, "Silky", ledger!C:C, "&lt;&gt;October Closing CF")
)) + _xlfn.IFNA(H114, 0)</f>
        <v>0</v>
      </c>
      <c r="X35" s="70" cm="1">
        <f t="array" ref="X35">_xlfn.BYROW(B79, _xlfn.LAMBDA(_xlpm.party,
   SUMIFS(ledger!J:J, ledger!B:B, _xlpm.party, ledger!E:E, "&lt;&gt;*RD*", ledger!D:D, "Slub", ledger!C:C, "&lt;&gt;October Closing CF")
))</f>
        <v>0</v>
      </c>
      <c r="Y35" s="70" cm="1">
        <f t="array" ref="Y35">_xlfn.BYROW(B79, _xlfn.LAMBDA(_xlpm.party,
   SUMIFS(ledger!J:J, ledger!B:B, _xlpm.party, ledger!E:E, "&lt;&gt;*RD*", ledger!D:D, "Satin", ledger!C:C, "&lt;&gt;October Closing CF")
))</f>
        <v>0</v>
      </c>
      <c r="Z35" s="70"/>
      <c r="AA35" s="70" cm="1">
        <f t="array" ref="AA35">_xlfn.BYROW(B79, _xlfn.LAMBDA(_xlpm.party,
   SUMIFS(ledger!J:J, ledger!B:B, _xlpm.party, ledger!E:E, "&lt;&gt;*RD*", ledger!D:D, "Kataan", ledger!C:C, "&lt;&gt;October Closing CF")
))</f>
        <v>0</v>
      </c>
      <c r="AB35" s="39">
        <f t="shared" si="1"/>
        <v>0</v>
      </c>
      <c r="AC35" s="22">
        <f>(SUMIF(Table14[Party],Q35,Table14[Credit]))+_xlfn.IFNA(L114,0)</f>
        <v>0</v>
      </c>
      <c r="AD35" s="33">
        <f t="shared" si="4"/>
        <v>0</v>
      </c>
      <c r="AE35" s="21">
        <v>10</v>
      </c>
      <c r="AF35" s="21">
        <v>13</v>
      </c>
    </row>
    <row r="47" spans="2:32" x14ac:dyDescent="0.3">
      <c r="B47" t="s">
        <v>156</v>
      </c>
    </row>
    <row r="48" spans="2:32" x14ac:dyDescent="0.3">
      <c r="B48" s="21"/>
      <c r="C48" s="23" t="s">
        <v>10</v>
      </c>
      <c r="D48" s="23" t="s">
        <v>11</v>
      </c>
      <c r="E48" s="23" t="s">
        <v>12</v>
      </c>
      <c r="F48" s="23" t="s">
        <v>13</v>
      </c>
      <c r="G48" s="23" t="s">
        <v>14</v>
      </c>
      <c r="H48" s="23" t="s">
        <v>15</v>
      </c>
      <c r="I48" s="23" t="s">
        <v>190</v>
      </c>
      <c r="J48" s="23" t="s">
        <v>191</v>
      </c>
      <c r="K48" s="23" t="s">
        <v>16</v>
      </c>
      <c r="L48" s="23" t="s">
        <v>17</v>
      </c>
      <c r="M48" s="23" t="s">
        <v>18</v>
      </c>
      <c r="N48" s="23" t="s">
        <v>19</v>
      </c>
      <c r="O48" s="23" t="s">
        <v>20</v>
      </c>
    </row>
    <row r="49" spans="1:23" x14ac:dyDescent="0.3">
      <c r="A49" t="s">
        <v>33</v>
      </c>
      <c r="B49" s="24" t="str" cm="1">
        <f t="array" ref="B49:B72">_xlfn.UNIQUE(Table1[Party Name])</f>
        <v>BSC</v>
      </c>
      <c r="C49" s="22" cm="1">
        <f t="array" ref="C49:C72">_xlfn.BYROW(_xlfn.ANCHORARRAY(B49),_xlfn.LAMBDA(_xlpm.party,SUMIFS(ledger!G:G,ledger!B:B,_xlpm.party,ledger!E:E,"&lt;&gt;*RD*")))</f>
        <v>254101</v>
      </c>
      <c r="D49" s="22" cm="1">
        <f t="array" ref="D49:D72">_xlfn.BYROW(_xlfn.ANCHORARRAY(B49), _xlfn.LAMBDA(_xlpm.party, SUMIFS(ledger!G:G, ledger!B:B, _xlpm.party, ledger!E:E, "&lt;&gt;*RD*") / 1.0936 ))</f>
        <v>232352.77980980251</v>
      </c>
      <c r="E49" s="63" cm="1">
        <f t="array" ref="E49:E72">(_xlfn.BYROW(_xlfn.ANCHORARRAY(B49),_xlfn.LAMBDA(_xlpm.party,SUMIFS(ledger!G:G,ledger!B:B,_xlpm.party,ledger!E:E,"&lt;&gt;*RD*",ledger!D:D,"Chamki")+SUMIFS(ledger!G:G, ledger!B:B, _xlpm.party, ledger!E:E, "&lt;&gt;*RD*", ledger!D:D, "Crinkle")))/1.0936)</f>
        <v>132090.34381858085</v>
      </c>
      <c r="F49" s="63" cm="1">
        <f t="array" ref="F49:F72">(_xlfn.BYROW(_xlfn.ANCHORARRAY(B49),_xlfn.LAMBDA(_xlpm.party,SUMIFS(ledger!G:G,ledger!B:B,_xlpm.party,ledger!E:E,"&lt;&gt;*RD*",ledger!D:D,"Silky")))/1.0936)</f>
        <v>100262.43599122166</v>
      </c>
      <c r="G49" s="22" cm="1">
        <f t="array" ref="G49">(_xlfn.BYROW(B49,_xlfn.LAMBDA(_xlpm.party,
(SUMIFS(ledger!J:J,ledger!B:B,_xlpm.party,ledger!E:E,"&lt;&gt;*RD*",ledger!D:D,"Chamki",ledger!C:C,"&lt;&gt;October Closing CF")+
SUMIFS(ledger!J:J,ledger!B:B,_xlpm.party,ledger!E:E,"&lt;&gt;*RD*",ledger!D:D,"Crinkle",ledger!C:C,"&lt;&gt;October Closing CF")
))))</f>
        <v>1320903.4381858089</v>
      </c>
      <c r="H49" s="22" cm="1">
        <f t="array" ref="H49">_xlfn.BYROW(B49, _xlfn.LAMBDA(_xlpm.party,
   SUMIFS(ledger!J:J, ledger!B:B, _xlpm.party, ledger!E:E, "&lt;&gt;*RD*", ledger!D:D, "Silky", ledger!C:C, "&lt;&gt;October Closing CF")
))</f>
        <v>1303411.6678858816</v>
      </c>
      <c r="I49" s="22" cm="1">
        <f t="array" ref="I49">_xlfn.BYROW(B49, _xlfn.LAMBDA(_xlpm.party,
   SUMIFS(ledger!J:J, ledger!B:B, _xlpm.party, ledger!E:E, "&lt;&gt;*RD*", ledger!D:D, "Slub", ledger!C:C, "&lt;&gt;October Closing CF")
))</f>
        <v>0</v>
      </c>
      <c r="J49" s="22" cm="1">
        <f t="array" ref="J49">_xlfn.BYROW(B49, _xlfn.LAMBDA(_xlpm.party,
   SUMIFS(ledger!J:J, ledger!B:B, _xlpm.party, ledger!E:E, "&lt;&gt;*RD*", ledger!D:D, "Satin", ledger!C:C, "&lt;&gt;October Closing CF")
))</f>
        <v>0</v>
      </c>
      <c r="K49" s="39">
        <f>G49+H49+I49+J49</f>
        <v>2624315.1060716906</v>
      </c>
      <c r="L49" s="22">
        <f>(SUMIF(Table14[Party],B49,Table14[Credit]))</f>
        <v>1339058</v>
      </c>
      <c r="M49" s="37">
        <f>K49-L49</f>
        <v>1285257.1060716906</v>
      </c>
      <c r="N49" s="21">
        <v>10</v>
      </c>
      <c r="O49" s="21">
        <v>12</v>
      </c>
    </row>
    <row r="50" spans="1:23" x14ac:dyDescent="0.3">
      <c r="B50" s="24" t="str">
        <v>Ejaz Sahab</v>
      </c>
      <c r="C50" s="22">
        <v>115553</v>
      </c>
      <c r="D50" s="22">
        <v>105662.94806144843</v>
      </c>
      <c r="E50" s="63">
        <v>0</v>
      </c>
      <c r="F50" s="63">
        <v>105662.94806144843</v>
      </c>
      <c r="G50" s="22" cm="1">
        <f t="array" ref="G50">(_xlfn.BYROW(B50,_xlfn.LAMBDA(_xlpm.party,
(SUMIFS(ledger!J:J,ledger!B:B,_xlpm.party,ledger!E:E,"&lt;&gt;*RD*",ledger!D:D,"Chamki",ledger!C:C,"&lt;&gt;October Closing CF")+
SUMIFS(ledger!J:J,ledger!B:B,_xlpm.party,ledger!E:E,"&lt;&gt;*RD*",ledger!D:D,"Crinkle",ledger!C:C,"&lt;&gt;October Closing CF")
))))</f>
        <v>0</v>
      </c>
      <c r="H50" s="22" cm="1">
        <f t="array" ref="H50">_xlfn.BYROW(B50, _xlfn.LAMBDA(_xlpm.party,
   SUMIFS(ledger!J:J, ledger!B:B, _xlpm.party, ledger!E:E, "&lt;&gt;*RD*", ledger!D:D, "Silky", ledger!C:C, "&lt;&gt;October Closing CF")
))</f>
        <v>1373618.3247988296</v>
      </c>
      <c r="I50" s="22" cm="1">
        <f t="array" ref="I50">_xlfn.BYROW(B50, _xlfn.LAMBDA(_xlpm.party,
   SUMIFS(ledger!J:J, ledger!B:B, _xlpm.party, ledger!E:E, "&lt;&gt;*RD*", ledger!D:D, "Slub", ledger!C:C, "&lt;&gt;October Closing CF")
))</f>
        <v>0</v>
      </c>
      <c r="J50" s="22" cm="1">
        <f t="array" ref="J50">_xlfn.BYROW(B50, _xlfn.LAMBDA(_xlpm.party,
   SUMIFS(ledger!J:J, ledger!B:B, _xlpm.party, ledger!E:E, "&lt;&gt;*RD*", ledger!D:D, "Satin", ledger!C:C, "&lt;&gt;October Closing CF")
))</f>
        <v>0</v>
      </c>
      <c r="K50" s="39">
        <f t="shared" ref="K50:K78" si="5">G50+H50+I50+J50</f>
        <v>1373618.3247988296</v>
      </c>
      <c r="L50" s="22">
        <f>(SUMIF(Table14[Party],B50,Table14[Credit]))</f>
        <v>500000</v>
      </c>
      <c r="M50" s="37">
        <f>K50-L50</f>
        <v>873618.32479882962</v>
      </c>
      <c r="N50" s="21">
        <v>10</v>
      </c>
      <c r="O50" s="21">
        <v>12</v>
      </c>
    </row>
    <row r="51" spans="1:23" x14ac:dyDescent="0.3">
      <c r="B51" s="24" t="str">
        <v>Arshad</v>
      </c>
      <c r="C51" s="22">
        <v>211642</v>
      </c>
      <c r="D51" s="22">
        <v>193527.79809802488</v>
      </c>
      <c r="E51" s="63">
        <v>130209.40014630579</v>
      </c>
      <c r="F51" s="63">
        <v>63318.397951719096</v>
      </c>
      <c r="G51" s="22" cm="1">
        <f t="array" ref="G51">(_xlfn.BYROW(B51,_xlfn.LAMBDA(_xlpm.party,
(SUMIFS(ledger!J:J,ledger!B:B,_xlpm.party,ledger!E:E,"&lt;&gt;*RD*",ledger!D:D,"Chamki",ledger!C:C,"&lt;&gt;October Closing CF")+
SUMIFS(ledger!J:J,ledger!B:B,_xlpm.party,ledger!E:E,"&lt;&gt;*RD*",ledger!D:D,"Crinkle",ledger!C:C,"&lt;&gt;October Closing CF")
))))</f>
        <v>1302094.0014630579</v>
      </c>
      <c r="H51" s="22" cm="1">
        <f t="array" ref="H51">_xlfn.BYROW(B51, _xlfn.LAMBDA(_xlpm.party,
   SUMIFS(ledger!J:J, ledger!B:B, _xlpm.party, ledger!E:E, "&lt;&gt;*RD*", ledger!D:D, "Silky", ledger!C:C, "&lt;&gt;October Closing CF")
))</f>
        <v>823139.1733723483</v>
      </c>
      <c r="I51" s="22" cm="1">
        <f t="array" ref="I51">_xlfn.BYROW(B51, _xlfn.LAMBDA(_xlpm.party,
   SUMIFS(ledger!J:J, ledger!B:B, _xlpm.party, ledger!E:E, "&lt;&gt;*RD*", ledger!D:D, "Slub", ledger!C:C, "&lt;&gt;October Closing CF")
))</f>
        <v>0</v>
      </c>
      <c r="J51" s="22" cm="1">
        <f t="array" ref="J51">_xlfn.BYROW(B51, _xlfn.LAMBDA(_xlpm.party,
   SUMIFS(ledger!J:J, ledger!B:B, _xlpm.party, ledger!E:E, "&lt;&gt;*RD*", ledger!D:D, "Satin", ledger!C:C, "&lt;&gt;October Closing CF")
))</f>
        <v>0</v>
      </c>
      <c r="K51" s="39">
        <f t="shared" si="5"/>
        <v>2125233.1748354062</v>
      </c>
      <c r="L51" s="22">
        <f>(SUMIF(Table14[Party],B51,Table14[Credit]))</f>
        <v>1700000</v>
      </c>
      <c r="M51" s="37">
        <f>K51-L51</f>
        <v>425233.17483540624</v>
      </c>
      <c r="N51" s="21">
        <v>10</v>
      </c>
      <c r="O51" s="21">
        <v>12</v>
      </c>
    </row>
    <row r="52" spans="1:23" x14ac:dyDescent="0.3">
      <c r="B52" s="24" t="str">
        <v>Shehzad Kamoki</v>
      </c>
      <c r="C52" s="22">
        <v>0</v>
      </c>
      <c r="D52" s="22">
        <v>0</v>
      </c>
      <c r="E52" s="63">
        <v>0</v>
      </c>
      <c r="F52" s="63">
        <v>0</v>
      </c>
      <c r="G52" s="22" cm="1">
        <f t="array" ref="G52">(_xlfn.BYROW(B52,_xlfn.LAMBDA(_xlpm.party,
(SUMIFS(ledger!J:J,ledger!B:B,_xlpm.party,ledger!E:E,"&lt;&gt;*RD*",ledger!D:D,"Chamki",ledger!C:C,"&lt;&gt;October Closing CF")+
SUMIFS(ledger!J:J,ledger!B:B,_xlpm.party,ledger!E:E,"&lt;&gt;*RD*",ledger!D:D,"Crinkle",ledger!C:C,"&lt;&gt;October Closing CF")
))))</f>
        <v>0</v>
      </c>
      <c r="H52" s="22" cm="1">
        <f t="array" ref="H52">_xlfn.BYROW(B52, _xlfn.LAMBDA(_xlpm.party,
   SUMIFS(ledger!J:J, ledger!B:B, _xlpm.party, ledger!E:E, "&lt;&gt;*RD*", ledger!D:D, "Silky", ledger!C:C, "&lt;&gt;October Closing CF")
))</f>
        <v>0</v>
      </c>
      <c r="I52" s="22" cm="1">
        <f t="array" ref="I52">_xlfn.BYROW(B52, _xlfn.LAMBDA(_xlpm.party,
   SUMIFS(ledger!J:J, ledger!B:B, _xlpm.party, ledger!E:E, "&lt;&gt;*RD*", ledger!D:D, "Slub", ledger!C:C, "&lt;&gt;October Closing CF")
))</f>
        <v>0</v>
      </c>
      <c r="J52" s="22" cm="1">
        <f t="array" ref="J52">_xlfn.BYROW(B52, _xlfn.LAMBDA(_xlpm.party,
   SUMIFS(ledger!J:J, ledger!B:B, _xlpm.party, ledger!E:E, "&lt;&gt;*RD*", ledger!D:D, "Satin", ledger!C:C, "&lt;&gt;October Closing CF")
))</f>
        <v>0</v>
      </c>
      <c r="K52" s="39">
        <f t="shared" si="5"/>
        <v>0</v>
      </c>
      <c r="L52" s="22">
        <f>(SUMIF(Table14[Party],B52,Table14[Credit]))</f>
        <v>0</v>
      </c>
      <c r="M52" s="37">
        <f t="shared" ref="M52:M55" si="6">K52-L52</f>
        <v>0</v>
      </c>
      <c r="N52" s="21">
        <v>10.5</v>
      </c>
      <c r="O52" s="21">
        <v>13</v>
      </c>
    </row>
    <row r="53" spans="1:23" x14ac:dyDescent="0.3">
      <c r="B53" s="24" t="str">
        <v>Sufi Nawaz Sahab</v>
      </c>
      <c r="C53" s="22">
        <v>0</v>
      </c>
      <c r="D53" s="22">
        <v>0</v>
      </c>
      <c r="E53" s="63">
        <v>0</v>
      </c>
      <c r="F53" s="63">
        <v>0</v>
      </c>
      <c r="G53" s="22" cm="1">
        <f t="array" ref="G53">(_xlfn.BYROW(B53,_xlfn.LAMBDA(_xlpm.party,
(SUMIFS(ledger!J:J,ledger!B:B,_xlpm.party,ledger!E:E,"&lt;&gt;*RD*",ledger!D:D,"Chamki",ledger!C:C,"&lt;&gt;October Closing CF")+
SUMIFS(ledger!J:J,ledger!B:B,_xlpm.party,ledger!E:E,"&lt;&gt;*RD*",ledger!D:D,"Crinkle",ledger!C:C,"&lt;&gt;October Closing CF")
))))</f>
        <v>0</v>
      </c>
      <c r="H53" s="22" cm="1">
        <f t="array" ref="H53">_xlfn.BYROW(B53, _xlfn.LAMBDA(_xlpm.party,
   SUMIFS(ledger!J:J, ledger!B:B, _xlpm.party, ledger!E:E, "&lt;&gt;*RD*", ledger!D:D, "Silky", ledger!C:C, "&lt;&gt;October Closing CF")
))</f>
        <v>0</v>
      </c>
      <c r="I53" s="22" cm="1">
        <f t="array" ref="I53">_xlfn.BYROW(B53, _xlfn.LAMBDA(_xlpm.party,
   SUMIFS(ledger!J:J, ledger!B:B, _xlpm.party, ledger!E:E, "&lt;&gt;*RD*", ledger!D:D, "Slub", ledger!C:C, "&lt;&gt;October Closing CF")
))</f>
        <v>0</v>
      </c>
      <c r="J53" s="22" cm="1">
        <f t="array" ref="J53">_xlfn.BYROW(B53, _xlfn.LAMBDA(_xlpm.party,
   SUMIFS(ledger!J:J, ledger!B:B, _xlpm.party, ledger!E:E, "&lt;&gt;*RD*", ledger!D:D, "Satin", ledger!C:C, "&lt;&gt;October Closing CF")
))</f>
        <v>0</v>
      </c>
      <c r="K53" s="39">
        <f t="shared" si="5"/>
        <v>0</v>
      </c>
      <c r="L53" s="22">
        <f>(SUMIF(Table14[Party],B53,Table14[Credit]))</f>
        <v>0</v>
      </c>
      <c r="M53" s="37">
        <f t="shared" si="6"/>
        <v>0</v>
      </c>
      <c r="N53" s="21">
        <v>10</v>
      </c>
      <c r="O53" s="21">
        <v>12</v>
      </c>
    </row>
    <row r="54" spans="1:23" x14ac:dyDescent="0.3">
      <c r="B54" s="24" t="str">
        <v>Sajad Khan</v>
      </c>
      <c r="C54" s="22">
        <v>188107</v>
      </c>
      <c r="D54" s="22">
        <v>172007.13240673009</v>
      </c>
      <c r="E54" s="63">
        <v>172007.13240673009</v>
      </c>
      <c r="F54" s="63">
        <v>0</v>
      </c>
      <c r="G54" s="22" cm="1">
        <f t="array" ref="G54">(_xlfn.BYROW(B54,_xlfn.LAMBDA(_xlpm.party,
(SUMIFS(ledger!J:J,ledger!B:B,_xlpm.party,ledger!E:E,"&lt;&gt;*RD*",ledger!D:D,"Chamki",ledger!C:C,"&lt;&gt;October Closing CF")+
SUMIFS(ledger!J:J,ledger!B:B,_xlpm.party,ledger!E:E,"&lt;&gt;*RD*",ledger!D:D,"Crinkle",ledger!C:C,"&lt;&gt;October Closing CF")
))))</f>
        <v>1720071.3240673009</v>
      </c>
      <c r="H54" s="22" cm="1">
        <f t="array" ref="H54">_xlfn.BYROW(B54, _xlfn.LAMBDA(_xlpm.party,
   SUMIFS(ledger!J:J, ledger!B:B, _xlpm.party, ledger!E:E, "&lt;&gt;*RD*", ledger!D:D, "Silky", ledger!C:C, "&lt;&gt;October Closing CF")
))</f>
        <v>0</v>
      </c>
      <c r="I54" s="22" cm="1">
        <f t="array" ref="I54">_xlfn.BYROW(B54, _xlfn.LAMBDA(_xlpm.party,
   SUMIFS(ledger!J:J, ledger!B:B, _xlpm.party, ledger!E:E, "&lt;&gt;*RD*", ledger!D:D, "Slub", ledger!C:C, "&lt;&gt;October Closing CF")
))</f>
        <v>0</v>
      </c>
      <c r="J54" s="22" cm="1">
        <f t="array" ref="J54">_xlfn.BYROW(B54, _xlfn.LAMBDA(_xlpm.party,
   SUMIFS(ledger!J:J, ledger!B:B, _xlpm.party, ledger!E:E, "&lt;&gt;*RD*", ledger!D:D, "Satin", ledger!C:C, "&lt;&gt;October Closing CF")
))</f>
        <v>0</v>
      </c>
      <c r="K54" s="39">
        <f t="shared" si="5"/>
        <v>1720071.3240673009</v>
      </c>
      <c r="L54" s="22">
        <f>(SUMIF(Table14[Party],B54,Table14[Credit]))</f>
        <v>1353061</v>
      </c>
      <c r="M54" s="37">
        <f t="shared" si="6"/>
        <v>367010.32406730088</v>
      </c>
      <c r="N54" s="21">
        <v>10</v>
      </c>
      <c r="O54" s="21">
        <v>12</v>
      </c>
    </row>
    <row r="55" spans="1:23" x14ac:dyDescent="0.3">
      <c r="B55" s="24" t="str">
        <v>Raaz Fabrics</v>
      </c>
      <c r="C55" s="22">
        <v>51518</v>
      </c>
      <c r="D55" s="22">
        <v>47108.632040965625</v>
      </c>
      <c r="E55" s="63">
        <v>47108.632040965625</v>
      </c>
      <c r="F55" s="63">
        <v>0</v>
      </c>
      <c r="G55" s="22" cm="1">
        <f t="array" ref="G55">(_xlfn.BYROW(B55,_xlfn.LAMBDA(_xlpm.party,
(SUMIFS(ledger!J:J,ledger!B:B,_xlpm.party,ledger!E:E,"&lt;&gt;*RD*",ledger!D:D,"Chamki",ledger!C:C,"&lt;&gt;October Closing CF")+
SUMIFS(ledger!J:J,ledger!B:B,_xlpm.party,ledger!E:E,"&lt;&gt;*RD*",ledger!D:D,"Crinkle",ledger!C:C,"&lt;&gt;October Closing CF")
))))</f>
        <v>471086.32040965627</v>
      </c>
      <c r="H55" s="22" cm="1">
        <f t="array" ref="H55">_xlfn.BYROW(B55, _xlfn.LAMBDA(_xlpm.party,
   SUMIFS(ledger!J:J, ledger!B:B, _xlpm.party, ledger!E:E, "&lt;&gt;*RD*", ledger!D:D, "Silky", ledger!C:C, "&lt;&gt;October Closing CF")
))</f>
        <v>0</v>
      </c>
      <c r="I55" s="22" cm="1">
        <f t="array" ref="I55">_xlfn.BYROW(B55, _xlfn.LAMBDA(_xlpm.party,
   SUMIFS(ledger!J:J, ledger!B:B, _xlpm.party, ledger!E:E, "&lt;&gt;*RD*", ledger!D:D, "Slub", ledger!C:C, "&lt;&gt;October Closing CF")
))</f>
        <v>0</v>
      </c>
      <c r="J55" s="22" cm="1">
        <f t="array" ref="J55">_xlfn.BYROW(B55, _xlfn.LAMBDA(_xlpm.party,
   SUMIFS(ledger!J:J, ledger!B:B, _xlpm.party, ledger!E:E, "&lt;&gt;*RD*", ledger!D:D, "Satin", ledger!C:C, "&lt;&gt;October Closing CF")
))</f>
        <v>0</v>
      </c>
      <c r="K55" s="39">
        <f t="shared" si="5"/>
        <v>471086.32040965627</v>
      </c>
      <c r="L55" s="22">
        <f>(SUMIF(Table14[Party],B55,Table14[Credit]))</f>
        <v>100000</v>
      </c>
      <c r="M55" s="37">
        <f t="shared" si="6"/>
        <v>371086.32040965627</v>
      </c>
      <c r="N55" s="21">
        <v>10</v>
      </c>
      <c r="O55" s="21">
        <v>12</v>
      </c>
    </row>
    <row r="56" spans="1:23" x14ac:dyDescent="0.3">
      <c r="B56" s="24" t="str">
        <v>Azam</v>
      </c>
      <c r="C56" s="22">
        <v>152757</v>
      </c>
      <c r="D56" s="22">
        <v>139682.69934162401</v>
      </c>
      <c r="E56" s="63">
        <v>139682.69934162401</v>
      </c>
      <c r="F56" s="63">
        <v>0</v>
      </c>
      <c r="G56" s="22" cm="1">
        <f t="array" ref="G56">(_xlfn.BYROW(B56,_xlfn.LAMBDA(_xlpm.party,
(SUMIFS(ledger!J:J,ledger!B:B,_xlpm.party,ledger!E:E,"&lt;&gt;*RD*",ledger!D:D,"Chamki",ledger!C:C,"&lt;&gt;October Closing CF")+
SUMIFS(ledger!J:J,ledger!B:B,_xlpm.party,ledger!E:E,"&lt;&gt;*RD*",ledger!D:D,"Crinkle",ledger!C:C,"&lt;&gt;October Closing CF")
))))</f>
        <v>1396826.99341624</v>
      </c>
      <c r="H56" s="22" cm="1">
        <f t="array" ref="H56">_xlfn.BYROW(B56, _xlfn.LAMBDA(_xlpm.party,
   SUMIFS(ledger!J:J, ledger!B:B, _xlpm.party, ledger!E:E, "&lt;&gt;*RD*", ledger!D:D, "Silky", ledger!C:C, "&lt;&gt;October Closing CF")
))</f>
        <v>0</v>
      </c>
      <c r="I56" s="22" cm="1">
        <f t="array" ref="I56">_xlfn.BYROW(B56, _xlfn.LAMBDA(_xlpm.party,
   SUMIFS(ledger!J:J, ledger!B:B, _xlpm.party, ledger!E:E, "&lt;&gt;*RD*", ledger!D:D, "Slub", ledger!C:C, "&lt;&gt;October Closing CF")
))</f>
        <v>0</v>
      </c>
      <c r="J56" s="22" cm="1">
        <f t="array" ref="J56">_xlfn.BYROW(B56, _xlfn.LAMBDA(_xlpm.party,
   SUMIFS(ledger!J:J, ledger!B:B, _xlpm.party, ledger!E:E, "&lt;&gt;*RD*", ledger!D:D, "Satin", ledger!C:C, "&lt;&gt;October Closing CF")
))</f>
        <v>0</v>
      </c>
      <c r="K56" s="39">
        <f t="shared" si="5"/>
        <v>1396826.99341624</v>
      </c>
      <c r="L56" s="22">
        <f>(SUMIF(Table14[Party],B56,Table14[Credit]))</f>
        <v>1705000</v>
      </c>
      <c r="M56" s="37">
        <f t="shared" ref="M56:M78" si="7">K56-L56</f>
        <v>-308173.00658376003</v>
      </c>
      <c r="N56" s="21">
        <v>10</v>
      </c>
      <c r="O56" s="21">
        <v>12</v>
      </c>
    </row>
    <row r="57" spans="1:23" x14ac:dyDescent="0.3">
      <c r="B57" s="24" t="str">
        <v>Ubaidullah</v>
      </c>
      <c r="C57" s="22">
        <v>0</v>
      </c>
      <c r="D57" s="22">
        <v>0</v>
      </c>
      <c r="E57" s="63">
        <v>0</v>
      </c>
      <c r="F57" s="63">
        <v>0</v>
      </c>
      <c r="G57" s="22" cm="1">
        <f t="array" ref="G57">(_xlfn.BYROW(B57,_xlfn.LAMBDA(_xlpm.party,
(SUMIFS(ledger!J:J,ledger!B:B,_xlpm.party,ledger!E:E,"&lt;&gt;*RD*",ledger!D:D,"Chamki",ledger!C:C,"&lt;&gt;October Closing CF")+
SUMIFS(ledger!J:J,ledger!B:B,_xlpm.party,ledger!E:E,"&lt;&gt;*RD*",ledger!D:D,"Crinkle",ledger!C:C,"&lt;&gt;October Closing CF")
))))</f>
        <v>0</v>
      </c>
      <c r="H57" s="22" cm="1">
        <f t="array" ref="H57">_xlfn.BYROW(B57, _xlfn.LAMBDA(_xlpm.party,
   SUMIFS(ledger!J:J, ledger!B:B, _xlpm.party, ledger!E:E, "&lt;&gt;*RD*", ledger!D:D, "Silky", ledger!C:C, "&lt;&gt;October Closing CF")
))</f>
        <v>0</v>
      </c>
      <c r="I57" s="22" cm="1">
        <f t="array" ref="I57">_xlfn.BYROW(B57, _xlfn.LAMBDA(_xlpm.party,
   SUMIFS(ledger!J:J, ledger!B:B, _xlpm.party, ledger!E:E, "&lt;&gt;*RD*", ledger!D:D, "Slub", ledger!C:C, "&lt;&gt;October Closing CF")
))</f>
        <v>0</v>
      </c>
      <c r="J57" s="22" cm="1">
        <f t="array" ref="J57">_xlfn.BYROW(B57, _xlfn.LAMBDA(_xlpm.party,
   SUMIFS(ledger!J:J, ledger!B:B, _xlpm.party, ledger!E:E, "&lt;&gt;*RD*", ledger!D:D, "Satin", ledger!C:C, "&lt;&gt;October Closing CF")
))</f>
        <v>0</v>
      </c>
      <c r="K57" s="39">
        <f t="shared" si="5"/>
        <v>0</v>
      </c>
      <c r="L57" s="22">
        <f>SUMIF(Table14[Party], B57, Table14[Credit])</f>
        <v>10040</v>
      </c>
      <c r="M57" s="37">
        <f t="shared" si="7"/>
        <v>-10040</v>
      </c>
      <c r="N57" s="21">
        <v>10</v>
      </c>
      <c r="O57" s="21">
        <v>12</v>
      </c>
      <c r="U57" s="3" t="s">
        <v>6</v>
      </c>
      <c r="V57" t="s">
        <v>7</v>
      </c>
      <c r="W57" t="s">
        <v>8</v>
      </c>
    </row>
    <row r="58" spans="1:23" x14ac:dyDescent="0.3">
      <c r="B58" s="24" t="str">
        <v>Ashraf Zia</v>
      </c>
      <c r="C58" s="22">
        <v>0</v>
      </c>
      <c r="D58" s="22">
        <v>0</v>
      </c>
      <c r="E58" s="63">
        <v>0</v>
      </c>
      <c r="F58" s="63">
        <v>0</v>
      </c>
      <c r="G58" s="22" cm="1">
        <f t="array" ref="G58">(_xlfn.BYROW(B58,_xlfn.LAMBDA(_xlpm.party,
(SUMIFS(ledger!J:J,ledger!B:B,_xlpm.party,ledger!E:E,"&lt;&gt;*RD*",ledger!D:D,"Chamki",ledger!C:C,"&lt;&gt;October Closing CF")+
SUMIFS(ledger!J:J,ledger!B:B,_xlpm.party,ledger!E:E,"&lt;&gt;*RD*",ledger!D:D,"Crinkle",ledger!C:C,"&lt;&gt;October Closing CF")
))))</f>
        <v>0</v>
      </c>
      <c r="H58" s="22" cm="1">
        <f t="array" ref="H58">_xlfn.BYROW(B58, _xlfn.LAMBDA(_xlpm.party,
   SUMIFS(ledger!J:J, ledger!B:B, _xlpm.party, ledger!E:E, "&lt;&gt;*RD*", ledger!D:D, "Silky", ledger!C:C, "&lt;&gt;October Closing CF")
))</f>
        <v>0</v>
      </c>
      <c r="I58" s="22" cm="1">
        <f t="array" ref="I58">_xlfn.BYROW(B58, _xlfn.LAMBDA(_xlpm.party,
   SUMIFS(ledger!J:J, ledger!B:B, _xlpm.party, ledger!E:E, "&lt;&gt;*RD*", ledger!D:D, "Slub", ledger!C:C, "&lt;&gt;October Closing CF")
))</f>
        <v>0</v>
      </c>
      <c r="J58" s="22" cm="1">
        <f t="array" ref="J58">_xlfn.BYROW(B58, _xlfn.LAMBDA(_xlpm.party,
   SUMIFS(ledger!J:J, ledger!B:B, _xlpm.party, ledger!E:E, "&lt;&gt;*RD*", ledger!D:D, "Satin", ledger!C:C, "&lt;&gt;October Closing CF")
))</f>
        <v>0</v>
      </c>
      <c r="K58" s="39">
        <f t="shared" si="5"/>
        <v>0</v>
      </c>
      <c r="L58" s="22">
        <f>SUMIF(Table14[Party], B58, Table14[Credit])</f>
        <v>130000</v>
      </c>
      <c r="M58" s="37">
        <f t="shared" si="7"/>
        <v>-130000</v>
      </c>
      <c r="N58" s="21">
        <v>12</v>
      </c>
      <c r="O58" s="21">
        <v>12</v>
      </c>
      <c r="U58" s="4" t="s">
        <v>21</v>
      </c>
      <c r="V58" s="5">
        <v>232352.77980980251</v>
      </c>
      <c r="W58" s="18">
        <v>2524052.6700804681</v>
      </c>
    </row>
    <row r="59" spans="1:23" x14ac:dyDescent="0.3">
      <c r="B59" s="24" t="str">
        <v>Hafiz Qureshi</v>
      </c>
      <c r="C59" s="22">
        <v>70324</v>
      </c>
      <c r="D59" s="22">
        <v>64305.047549378207</v>
      </c>
      <c r="E59" s="63">
        <v>64305.047549378207</v>
      </c>
      <c r="F59" s="63">
        <v>0</v>
      </c>
      <c r="G59" s="22" cm="1">
        <f t="array" ref="G59">(_xlfn.BYROW(B59,_xlfn.LAMBDA(_xlpm.party,
(SUMIFS(ledger!J:J,ledger!B:B,_xlpm.party,ledger!E:E,"&lt;&gt;*RD*",ledger!D:D,"Chamki",ledger!C:C,"&lt;&gt;October Closing CF")+
SUMIFS(ledger!J:J,ledger!B:B,_xlpm.party,ledger!E:E,"&lt;&gt;*RD*",ledger!D:D,"Crinkle",ledger!C:C,"&lt;&gt;October Closing CF")
))))</f>
        <v>643050.47549378208</v>
      </c>
      <c r="H59" s="22" cm="1">
        <f t="array" ref="H59">_xlfn.BYROW(B59, _xlfn.LAMBDA(_xlpm.party,
   SUMIFS(ledger!J:J, ledger!B:B, _xlpm.party, ledger!E:E, "&lt;&gt;*RD*", ledger!D:D, "Silky", ledger!C:C, "&lt;&gt;October Closing CF")
))</f>
        <v>0</v>
      </c>
      <c r="I59" s="22" cm="1">
        <f t="array" ref="I59">_xlfn.BYROW(B59, _xlfn.LAMBDA(_xlpm.party,
   SUMIFS(ledger!J:J, ledger!B:B, _xlpm.party, ledger!E:E, "&lt;&gt;*RD*", ledger!D:D, "Slub", ledger!C:C, "&lt;&gt;October Closing CF")
))</f>
        <v>0</v>
      </c>
      <c r="J59" s="22" cm="1">
        <f t="array" ref="J59">_xlfn.BYROW(B59, _xlfn.LAMBDA(_xlpm.party,
   SUMIFS(ledger!J:J, ledger!B:B, _xlpm.party, ledger!E:E, "&lt;&gt;*RD*", ledger!D:D, "Satin", ledger!C:C, "&lt;&gt;October Closing CF")
))</f>
        <v>0</v>
      </c>
      <c r="K59" s="39">
        <f t="shared" si="5"/>
        <v>643050.47549378208</v>
      </c>
      <c r="L59" s="22">
        <f>SUMIF(Table14[Party], B59, Table14[Credit])</f>
        <v>605980</v>
      </c>
      <c r="M59" s="37">
        <f t="shared" si="7"/>
        <v>37070.475493782084</v>
      </c>
      <c r="N59" s="21">
        <v>10</v>
      </c>
      <c r="O59" s="21">
        <v>12</v>
      </c>
      <c r="U59" s="4" t="s">
        <v>22</v>
      </c>
      <c r="V59" s="5">
        <v>105662.94806144843</v>
      </c>
      <c r="W59" s="18">
        <v>1267955.3767373813</v>
      </c>
    </row>
    <row r="60" spans="1:23" x14ac:dyDescent="0.3">
      <c r="B60" s="24" t="str">
        <v>Badshah Fabrics</v>
      </c>
      <c r="C60" s="22">
        <v>74560</v>
      </c>
      <c r="D60" s="22">
        <v>68178.493050475503</v>
      </c>
      <c r="E60" s="63">
        <v>14119.422092172643</v>
      </c>
      <c r="F60" s="63">
        <v>54059.070958302858</v>
      </c>
      <c r="G60" s="22" cm="1">
        <f t="array" ref="G60">(_xlfn.BYROW(B60,_xlfn.LAMBDA(_xlpm.party,
(SUMIFS(ledger!J:J,ledger!B:B,_xlpm.party,ledger!E:E,"&lt;&gt;*RD*",ledger!D:D,"Chamki",ledger!C:C,"&lt;&gt;October Closing CF")+
SUMIFS(ledger!J:J,ledger!B:B,_xlpm.party,ledger!E:E,"&lt;&gt;*RD*",ledger!D:D,"Crinkle",ledger!C:C,"&lt;&gt;October Closing CF")
))))</f>
        <v>141194.22092172643</v>
      </c>
      <c r="H60" s="22" cm="1">
        <f t="array" ref="H60">_xlfn.BYROW(B60, _xlfn.LAMBDA(_xlpm.party,
   SUMIFS(ledger!J:J, ledger!B:B, _xlpm.party, ledger!E:E, "&lt;&gt;*RD*", ledger!D:D, "Silky", ledger!C:C, "&lt;&gt;October Closing CF")
))</f>
        <v>702767.92245793715</v>
      </c>
      <c r="I60" s="22" cm="1">
        <f t="array" ref="I60">_xlfn.BYROW(B60, _xlfn.LAMBDA(_xlpm.party,
   SUMIFS(ledger!J:J, ledger!B:B, _xlpm.party, ledger!E:E, "&lt;&gt;*RD*", ledger!D:D, "Slub", ledger!C:C, "&lt;&gt;October Closing CF")
))</f>
        <v>0</v>
      </c>
      <c r="J60" s="22" cm="1">
        <f t="array" ref="J60">_xlfn.BYROW(B60, _xlfn.LAMBDA(_xlpm.party,
   SUMIFS(ledger!J:J, ledger!B:B, _xlpm.party, ledger!E:E, "&lt;&gt;*RD*", ledger!D:D, "Satin", ledger!C:C, "&lt;&gt;October Closing CF")
))</f>
        <v>0</v>
      </c>
      <c r="K60" s="39">
        <f t="shared" si="5"/>
        <v>843962.14337966358</v>
      </c>
      <c r="L60" s="22">
        <f>SUMIF(Table14[Party], B60, Table14[Credit])</f>
        <v>925217</v>
      </c>
      <c r="M60" s="37">
        <f t="shared" si="7"/>
        <v>-81254.856620336417</v>
      </c>
      <c r="N60" s="21">
        <v>10</v>
      </c>
      <c r="O60" s="21">
        <v>12</v>
      </c>
      <c r="U60" s="4" t="s">
        <v>9</v>
      </c>
      <c r="V60" s="5">
        <v>193527.79809802488</v>
      </c>
      <c r="W60" s="18">
        <v>2061914.7768836871</v>
      </c>
    </row>
    <row r="61" spans="1:23" x14ac:dyDescent="0.3">
      <c r="B61" s="24" t="str">
        <v>Reject</v>
      </c>
      <c r="C61" s="22">
        <v>0</v>
      </c>
      <c r="D61" s="22">
        <v>0</v>
      </c>
      <c r="E61" s="63">
        <v>0</v>
      </c>
      <c r="F61" s="63">
        <v>0</v>
      </c>
      <c r="G61" s="22" cm="1">
        <f t="array" ref="G61">(_xlfn.BYROW(B61,_xlfn.LAMBDA(_xlpm.party,
(SUMIFS(ledger!J:J,ledger!B:B,_xlpm.party,ledger!E:E,"&lt;&gt;*RD*",ledger!D:D,"Chamki",ledger!C:C,"&lt;&gt;October Closing CF")+
SUMIFS(ledger!J:J,ledger!B:B,_xlpm.party,ledger!E:E,"&lt;&gt;*RD*",ledger!D:D,"Crinkle",ledger!C:C,"&lt;&gt;October Closing CF")
))))</f>
        <v>0</v>
      </c>
      <c r="H61" s="22" cm="1">
        <f t="array" ref="H61">_xlfn.BYROW(B61, _xlfn.LAMBDA(_xlpm.party,
   SUMIFS(ledger!J:J, ledger!B:B, _xlpm.party, ledger!E:E, "&lt;&gt;*RD*", ledger!D:D, "Silky", ledger!C:C, "&lt;&gt;October Closing CF")
))</f>
        <v>0</v>
      </c>
      <c r="I61" s="22" cm="1">
        <f t="array" ref="I61">_xlfn.BYROW(B61, _xlfn.LAMBDA(_xlpm.party,
   SUMIFS(ledger!J:J, ledger!B:B, _xlpm.party, ledger!E:E, "&lt;&gt;*RD*", ledger!D:D, "Slub", ledger!C:C, "&lt;&gt;October Closing CF")
))</f>
        <v>0</v>
      </c>
      <c r="J61" s="22" cm="1">
        <f t="array" ref="J61">_xlfn.BYROW(B61, _xlfn.LAMBDA(_xlpm.party,
   SUMIFS(ledger!J:J, ledger!B:B, _xlpm.party, ledger!E:E, "&lt;&gt;*RD*", ledger!D:D, "Satin", ledger!C:C, "&lt;&gt;October Closing CF")
))</f>
        <v>0</v>
      </c>
      <c r="K61" s="39">
        <f t="shared" si="5"/>
        <v>0</v>
      </c>
      <c r="L61" s="22">
        <f>SUMIF(Table14[Party], B61, Table14[Credit])</f>
        <v>0</v>
      </c>
      <c r="M61" s="37">
        <f t="shared" si="7"/>
        <v>0</v>
      </c>
      <c r="N61" s="21">
        <v>10</v>
      </c>
      <c r="O61" s="21">
        <v>12</v>
      </c>
      <c r="U61" s="4" t="s">
        <v>23</v>
      </c>
      <c r="V61" s="5">
        <v>0</v>
      </c>
      <c r="W61" s="18">
        <v>0</v>
      </c>
    </row>
    <row r="62" spans="1:23" x14ac:dyDescent="0.3">
      <c r="B62" t="str">
        <v>Amjad 7up</v>
      </c>
      <c r="C62" s="22">
        <v>0</v>
      </c>
      <c r="D62" s="22">
        <v>0</v>
      </c>
      <c r="E62" s="63">
        <v>0</v>
      </c>
      <c r="F62" s="63">
        <v>0</v>
      </c>
      <c r="G62" s="22" cm="1">
        <f t="array" ref="G62">(_xlfn.BYROW(B62,_xlfn.LAMBDA(_xlpm.party,
(SUMIFS(ledger!J:J,ledger!B:B,_xlpm.party,ledger!E:E,"&lt;&gt;*RD*",ledger!D:D,"Chamki",ledger!C:C,"&lt;&gt;October Closing CF")+
SUMIFS(ledger!J:J,ledger!B:B,_xlpm.party,ledger!E:E,"&lt;&gt;*RD*",ledger!D:D,"Crinkle",ledger!C:C,"&lt;&gt;October Closing CF")
))))</f>
        <v>0</v>
      </c>
      <c r="H62" s="22" cm="1">
        <f t="array" ref="H62">_xlfn.BYROW(B62, _xlfn.LAMBDA(_xlpm.party,
   SUMIFS(ledger!J:J, ledger!B:B, _xlpm.party, ledger!E:E, "&lt;&gt;*RD*", ledger!D:D, "Silky", ledger!C:C, "&lt;&gt;October Closing CF")
))</f>
        <v>0</v>
      </c>
      <c r="I62" s="22" cm="1">
        <f t="array" ref="I62">_xlfn.BYROW(B62, _xlfn.LAMBDA(_xlpm.party,
   SUMIFS(ledger!J:J, ledger!B:B, _xlpm.party, ledger!E:E, "&lt;&gt;*RD*", ledger!D:D, "Slub", ledger!C:C, "&lt;&gt;October Closing CF")
))</f>
        <v>0</v>
      </c>
      <c r="J62" s="22" cm="1">
        <f t="array" ref="J62">_xlfn.BYROW(B62, _xlfn.LAMBDA(_xlpm.party,
   SUMIFS(ledger!J:J, ledger!B:B, _xlpm.party, ledger!E:E, "&lt;&gt;*RD*", ledger!D:D, "Satin", ledger!C:C, "&lt;&gt;October Closing CF")
))</f>
        <v>0</v>
      </c>
      <c r="K62" s="39">
        <f t="shared" si="5"/>
        <v>0</v>
      </c>
      <c r="L62" s="22">
        <f>SUMIF(Table14[Party], B62, Table14[Credit])</f>
        <v>0</v>
      </c>
      <c r="M62" s="37">
        <f t="shared" si="7"/>
        <v>0</v>
      </c>
      <c r="N62" s="21">
        <v>10</v>
      </c>
      <c r="O62" s="21">
        <v>12</v>
      </c>
      <c r="U62" s="4" t="s">
        <v>24</v>
      </c>
      <c r="V62" s="5">
        <v>0</v>
      </c>
      <c r="W62" s="18">
        <v>0</v>
      </c>
    </row>
    <row r="63" spans="1:23" x14ac:dyDescent="0.3">
      <c r="B63" t="str">
        <v>Hazrat Khan</v>
      </c>
      <c r="C63" s="22">
        <v>0</v>
      </c>
      <c r="D63" s="22">
        <v>0</v>
      </c>
      <c r="E63" s="63">
        <v>0</v>
      </c>
      <c r="F63" s="63">
        <v>0</v>
      </c>
      <c r="G63" s="22" cm="1">
        <f t="array" ref="G63">(_xlfn.BYROW(B63,_xlfn.LAMBDA(_xlpm.party,
(SUMIFS(ledger!J:J,ledger!B:B,_xlpm.party,ledger!E:E,"&lt;&gt;*RD*",ledger!D:D,"Chamki",ledger!C:C,"&lt;&gt;October Closing CF")+
SUMIFS(ledger!J:J,ledger!B:B,_xlpm.party,ledger!E:E,"&lt;&gt;*RD*",ledger!D:D,"Crinkle",ledger!C:C,"&lt;&gt;October Closing CF")
))))</f>
        <v>0</v>
      </c>
      <c r="H63" s="22" cm="1">
        <f t="array" ref="H63">_xlfn.BYROW(B63, _xlfn.LAMBDA(_xlpm.party,
   SUMIFS(ledger!J:J, ledger!B:B, _xlpm.party, ledger!E:E, "&lt;&gt;*RD*", ledger!D:D, "Silky", ledger!C:C, "&lt;&gt;October Closing CF")
))</f>
        <v>0</v>
      </c>
      <c r="I63" s="22" cm="1">
        <f t="array" ref="I63">_xlfn.BYROW(B63, _xlfn.LAMBDA(_xlpm.party,
   SUMIFS(ledger!J:J, ledger!B:B, _xlpm.party, ledger!E:E, "&lt;&gt;*RD*", ledger!D:D, "Slub", ledger!C:C, "&lt;&gt;October Closing CF")
))</f>
        <v>0</v>
      </c>
      <c r="J63" s="22" cm="1">
        <f t="array" ref="J63">_xlfn.BYROW(B63, _xlfn.LAMBDA(_xlpm.party,
   SUMIFS(ledger!J:J, ledger!B:B, _xlpm.party, ledger!E:E, "&lt;&gt;*RD*", ledger!D:D, "Satin", ledger!C:C, "&lt;&gt;October Closing CF")
))</f>
        <v>0</v>
      </c>
      <c r="K63" s="39">
        <f t="shared" si="5"/>
        <v>0</v>
      </c>
      <c r="L63" s="22">
        <f>SUMIF(Table14[Party], B63, Table14[Credit])</f>
        <v>0</v>
      </c>
      <c r="M63" s="37">
        <f t="shared" si="7"/>
        <v>0</v>
      </c>
      <c r="N63" s="21">
        <v>10</v>
      </c>
      <c r="O63" s="21">
        <v>12</v>
      </c>
      <c r="U63" s="4" t="s">
        <v>25</v>
      </c>
      <c r="V63" s="5">
        <v>172007.13240673009</v>
      </c>
      <c r="W63" s="18">
        <v>1720071.3240673009</v>
      </c>
    </row>
    <row r="64" spans="1:23" x14ac:dyDescent="0.3">
      <c r="B64" t="str">
        <v>Haseeb Shamsi</v>
      </c>
      <c r="C64" s="22">
        <v>0</v>
      </c>
      <c r="D64" s="22">
        <v>0</v>
      </c>
      <c r="E64" s="63">
        <v>0</v>
      </c>
      <c r="F64" s="63">
        <v>0</v>
      </c>
      <c r="G64" s="22" cm="1">
        <f t="array" ref="G64">(_xlfn.BYROW(B64,_xlfn.LAMBDA(_xlpm.party,
(SUMIFS(ledger!J:J,ledger!B:B,_xlpm.party,ledger!E:E,"&lt;&gt;*RD*",ledger!D:D,"Chamki",ledger!C:C,"&lt;&gt;October Closing CF")+
SUMIFS(ledger!J:J,ledger!B:B,_xlpm.party,ledger!E:E,"&lt;&gt;*RD*",ledger!D:D,"Crinkle",ledger!C:C,"&lt;&gt;October Closing CF")
))))</f>
        <v>0</v>
      </c>
      <c r="H64" s="22" cm="1">
        <f t="array" ref="H64">_xlfn.BYROW(B64, _xlfn.LAMBDA(_xlpm.party,
   SUMIFS(ledger!J:J, ledger!B:B, _xlpm.party, ledger!E:E, "&lt;&gt;*RD*", ledger!D:D, "Silky", ledger!C:C, "&lt;&gt;October Closing CF")
))</f>
        <v>0</v>
      </c>
      <c r="I64" s="22" cm="1">
        <f t="array" ref="I64">_xlfn.BYROW(B64, _xlfn.LAMBDA(_xlpm.party,
   SUMIFS(ledger!J:J, ledger!B:B, _xlpm.party, ledger!E:E, "&lt;&gt;*RD*", ledger!D:D, "Slub", ledger!C:C, "&lt;&gt;October Closing CF")
))</f>
        <v>0</v>
      </c>
      <c r="J64" s="22" cm="1">
        <f t="array" ref="J64">_xlfn.BYROW(B64, _xlfn.LAMBDA(_xlpm.party,
   SUMIFS(ledger!J:J, ledger!B:B, _xlpm.party, ledger!E:E, "&lt;&gt;*RD*", ledger!D:D, "Satin", ledger!C:C, "&lt;&gt;October Closing CF")
))</f>
        <v>0</v>
      </c>
      <c r="K64" s="39">
        <f t="shared" si="5"/>
        <v>0</v>
      </c>
      <c r="L64" s="22">
        <f>SUMIF(Table14[Party], B81, Table14[Credit])</f>
        <v>0</v>
      </c>
      <c r="M64" s="37">
        <f t="shared" si="7"/>
        <v>0</v>
      </c>
      <c r="N64" s="21">
        <v>10</v>
      </c>
      <c r="O64" s="21">
        <v>12</v>
      </c>
      <c r="U64" s="4" t="s">
        <v>26</v>
      </c>
      <c r="V64" s="5">
        <v>47108.632040965625</v>
      </c>
      <c r="W64" s="18">
        <v>471086.32040965627</v>
      </c>
    </row>
    <row r="65" spans="2:23" x14ac:dyDescent="0.3">
      <c r="B65" t="str">
        <v>Faizan</v>
      </c>
      <c r="C65" s="22">
        <v>216790</v>
      </c>
      <c r="D65" s="22">
        <v>198235.18653986833</v>
      </c>
      <c r="E65" s="63">
        <v>0</v>
      </c>
      <c r="F65" s="63">
        <v>198235.18653986833</v>
      </c>
      <c r="G65" s="22" cm="1">
        <f t="array" ref="G65">(_xlfn.BYROW(B65,_xlfn.LAMBDA(_xlpm.party,
(SUMIFS(ledger!J:J,ledger!B:B,_xlpm.party,ledger!E:E,"&lt;&gt;*RD*",ledger!D:D,"Chamki",ledger!C:C,"&lt;&gt;October Closing CF")+
SUMIFS(ledger!J:J,ledger!B:B,_xlpm.party,ledger!E:E,"&lt;&gt;*RD*",ledger!D:D,"Crinkle",ledger!C:C,"&lt;&gt;October Closing CF")
))))</f>
        <v>0</v>
      </c>
      <c r="H65" s="22" cm="1">
        <f t="array" ref="H65">_xlfn.BYROW(B65, _xlfn.LAMBDA(_xlpm.party,
   SUMIFS(ledger!J:J, ledger!B:B, _xlpm.party, ledger!E:E, "&lt;&gt;*RD*", ledger!D:D, "Silky", ledger!C:C, "&lt;&gt;October Closing CF")
))</f>
        <v>2577057.4250182887</v>
      </c>
      <c r="I65" s="22" cm="1">
        <f t="array" ref="I65">_xlfn.BYROW(B65, _xlfn.LAMBDA(_xlpm.party,
   SUMIFS(ledger!J:J, ledger!B:B, _xlpm.party, ledger!E:E, "&lt;&gt;*RD*", ledger!D:D, "Slub", ledger!C:C, "&lt;&gt;October Closing CF")
))</f>
        <v>0</v>
      </c>
      <c r="J65" s="22" cm="1">
        <f t="array" ref="J65">_xlfn.BYROW(B65, _xlfn.LAMBDA(_xlpm.party,
   SUMIFS(ledger!J:J, ledger!B:B, _xlpm.party, ledger!E:E, "&lt;&gt;*RD*", ledger!D:D, "Satin", ledger!C:C, "&lt;&gt;October Closing CF")
))</f>
        <v>0</v>
      </c>
      <c r="K65" s="39">
        <f t="shared" si="5"/>
        <v>2577057.4250182887</v>
      </c>
      <c r="L65" s="22">
        <f>SUMIF(Table14[Party], B65, Table14[Credit])</f>
        <v>2000000</v>
      </c>
      <c r="M65" s="37">
        <f t="shared" si="7"/>
        <v>577057.42501828866</v>
      </c>
      <c r="N65" s="21">
        <v>10</v>
      </c>
      <c r="O65" s="21">
        <v>13</v>
      </c>
      <c r="U65" s="4" t="s">
        <v>153</v>
      </c>
      <c r="V65" s="5">
        <v>139682.69934162401</v>
      </c>
      <c r="W65" s="18">
        <v>1396826.9934162402</v>
      </c>
    </row>
    <row r="66" spans="2:23" x14ac:dyDescent="0.3">
      <c r="B66" t="str">
        <v>Shafique Ansari</v>
      </c>
      <c r="C66" s="22">
        <v>0</v>
      </c>
      <c r="D66" s="22">
        <v>0</v>
      </c>
      <c r="E66" s="63">
        <v>0</v>
      </c>
      <c r="F66" s="63">
        <v>0</v>
      </c>
      <c r="G66" s="22" cm="1">
        <f t="array" ref="G66">(_xlfn.BYROW(B66,_xlfn.LAMBDA(_xlpm.party,
(SUMIFS(ledger!J:J,ledger!B:B,_xlpm.party,ledger!E:E,"&lt;&gt;*RD*",ledger!D:D,"Chamki",ledger!C:C,"&lt;&gt;October Closing CF")+
SUMIFS(ledger!J:J,ledger!B:B,_xlpm.party,ledger!E:E,"&lt;&gt;*RD*",ledger!D:D,"Crinkle",ledger!C:C,"&lt;&gt;October Closing CF")
))))</f>
        <v>0</v>
      </c>
      <c r="H66" s="22" cm="1">
        <f t="array" ref="H66">_xlfn.BYROW(B66, _xlfn.LAMBDA(_xlpm.party,
   SUMIFS(ledger!J:J, ledger!B:B, _xlpm.party, ledger!E:E, "&lt;&gt;*RD*", ledger!D:D, "Silky", ledger!C:C, "&lt;&gt;October Closing CF")
))</f>
        <v>0</v>
      </c>
      <c r="I66" s="22" cm="1">
        <f t="array" ref="I66">_xlfn.BYROW(B66, _xlfn.LAMBDA(_xlpm.party,
   SUMIFS(ledger!J:J, ledger!B:B, _xlpm.party, ledger!E:E, "&lt;&gt;*RD*", ledger!D:D, "Slub", ledger!C:C, "&lt;&gt;October Closing CF")
))</f>
        <v>0</v>
      </c>
      <c r="J66" s="22" cm="1">
        <f t="array" ref="J66">_xlfn.BYROW(B66, _xlfn.LAMBDA(_xlpm.party,
   SUMIFS(ledger!J:J, ledger!B:B, _xlpm.party, ledger!E:E, "&lt;&gt;*RD*", ledger!D:D, "Satin", ledger!C:C, "&lt;&gt;October Closing CF")
))</f>
        <v>0</v>
      </c>
      <c r="K66" s="39">
        <f t="shared" si="5"/>
        <v>0</v>
      </c>
      <c r="L66" s="22">
        <f>SUMIF(Table14[Party], B66, Table14[Credit])</f>
        <v>0</v>
      </c>
      <c r="M66" s="37">
        <f t="shared" si="7"/>
        <v>0</v>
      </c>
      <c r="N66" s="21">
        <v>10</v>
      </c>
      <c r="O66" s="21">
        <v>12</v>
      </c>
      <c r="U66" s="4" t="s">
        <v>35</v>
      </c>
      <c r="V66" s="5">
        <v>0</v>
      </c>
      <c r="W66" s="18">
        <v>0</v>
      </c>
    </row>
    <row r="67" spans="2:23" x14ac:dyDescent="0.3">
      <c r="B67" t="str">
        <v>Amjad sohail</v>
      </c>
      <c r="C67" s="22">
        <v>173560</v>
      </c>
      <c r="D67" s="22">
        <v>158705.1938551573</v>
      </c>
      <c r="E67" s="63">
        <v>158705.1938551573</v>
      </c>
      <c r="F67" s="63">
        <v>0</v>
      </c>
      <c r="G67" s="22" cm="1">
        <f t="array" ref="G67">(_xlfn.BYROW(B67,_xlfn.LAMBDA(_xlpm.party,
(SUMIFS(ledger!J:J,ledger!B:B,_xlpm.party,ledger!E:E,"&lt;&gt;*RD*",ledger!D:D,"Chamki",ledger!C:C,"&lt;&gt;October Closing CF")+
SUMIFS(ledger!J:J,ledger!B:B,_xlpm.party,ledger!E:E,"&lt;&gt;*RD*",ledger!D:D,"Crinkle",ledger!C:C,"&lt;&gt;October Closing CF")
))))</f>
        <v>1587051.9385515728</v>
      </c>
      <c r="H67" s="22" cm="1">
        <f t="array" ref="H67">_xlfn.BYROW(B67, _xlfn.LAMBDA(_xlpm.party,
   SUMIFS(ledger!J:J, ledger!B:B, _xlpm.party, ledger!E:E, "&lt;&gt;*RD*", ledger!D:D, "Silky", ledger!C:C, "&lt;&gt;October Closing CF")
))</f>
        <v>0</v>
      </c>
      <c r="I67" s="22" cm="1">
        <f t="array" ref="I67">_xlfn.BYROW(B67, _xlfn.LAMBDA(_xlpm.party,
   SUMIFS(ledger!J:J, ledger!B:B, _xlpm.party, ledger!E:E, "&lt;&gt;*RD*", ledger!D:D, "Slub", ledger!C:C, "&lt;&gt;October Closing CF")
))</f>
        <v>0</v>
      </c>
      <c r="J67" s="22" cm="1">
        <f t="array" ref="J67">_xlfn.BYROW(B67, _xlfn.LAMBDA(_xlpm.party,
   SUMIFS(ledger!J:J, ledger!B:B, _xlpm.party, ledger!E:E, "&lt;&gt;*RD*", ledger!D:D, "Satin", ledger!C:C, "&lt;&gt;October Closing CF")
))</f>
        <v>0</v>
      </c>
      <c r="K67" s="39">
        <f t="shared" si="5"/>
        <v>1587051.9385515728</v>
      </c>
      <c r="L67" s="22">
        <f>SUMIF(Table14[Party], B67, Table14[Credit])</f>
        <v>1500000</v>
      </c>
      <c r="M67" s="37">
        <f t="shared" si="7"/>
        <v>87051.93855157285</v>
      </c>
      <c r="N67" s="21">
        <v>10</v>
      </c>
      <c r="O67" s="21">
        <v>12</v>
      </c>
      <c r="U67" s="4" t="s">
        <v>149</v>
      </c>
      <c r="V67" s="5">
        <v>0</v>
      </c>
      <c r="W67" s="18">
        <v>0</v>
      </c>
    </row>
    <row r="68" spans="2:23" x14ac:dyDescent="0.3">
      <c r="B68" t="str">
        <v>Salman Zaffar</v>
      </c>
      <c r="C68" s="22">
        <v>55541</v>
      </c>
      <c r="D68" s="22">
        <v>50787.307973664967</v>
      </c>
      <c r="E68" s="63">
        <v>14355.340160936359</v>
      </c>
      <c r="F68" s="63">
        <v>31409.107534747625</v>
      </c>
      <c r="G68" s="22" cm="1">
        <f t="array" ref="G68">(_xlfn.BYROW(B68,_xlfn.LAMBDA(_xlpm.party,
(SUMIFS(ledger!J:J,ledger!B:B,_xlpm.party,ledger!E:E,"&lt;&gt;*RD*",ledger!D:D,"Chamki",ledger!C:C,"&lt;&gt;October Closing CF")+
SUMIFS(ledger!J:J,ledger!B:B,_xlpm.party,ledger!E:E,"&lt;&gt;*RD*",ledger!D:D,"Crinkle",ledger!C:C,"&lt;&gt;October Closing CF")
))))</f>
        <v>143553.40160936359</v>
      </c>
      <c r="H68" s="22" cm="1">
        <f t="array" ref="H68">_xlfn.BYROW(B68, _xlfn.LAMBDA(_xlpm.party,
   SUMIFS(ledger!J:J, ledger!B:B, _xlpm.party, ledger!E:E, "&lt;&gt;*RD*", ledger!D:D, "Silky", ledger!C:C, "&lt;&gt;October Closing CF")
))</f>
        <v>408318.39795171918</v>
      </c>
      <c r="I68" s="22" cm="1">
        <f t="array" ref="I68">_xlfn.BYROW(B68, _xlfn.LAMBDA(_xlpm.party,
   SUMIFS(ledger!J:J, ledger!B:B, _xlpm.party, ledger!E:E, "&lt;&gt;*RD*", ledger!D:D, "Slub", ledger!C:C, "&lt;&gt;October Closing CF")
))</f>
        <v>0</v>
      </c>
      <c r="J68" s="22" cm="1">
        <f t="array" ref="J68">_xlfn.BYROW(B68, _xlfn.LAMBDA(_xlpm.party,
   SUMIFS(ledger!J:J, ledger!B:B, _xlpm.party, ledger!E:E, "&lt;&gt;*RD*", ledger!D:D, "Satin", ledger!C:C, "&lt;&gt;October Closing CF")
))</f>
        <v>0</v>
      </c>
      <c r="K68" s="39">
        <f t="shared" si="5"/>
        <v>551871.79956108273</v>
      </c>
      <c r="L68" s="22">
        <f>SUMIF(Table14[Party], B68, Table14[Credit])</f>
        <v>0</v>
      </c>
      <c r="M68" s="37">
        <f t="shared" si="7"/>
        <v>551871.79956108273</v>
      </c>
      <c r="N68" s="21">
        <v>10</v>
      </c>
      <c r="O68" s="21">
        <v>12</v>
      </c>
      <c r="U68" s="4" t="s">
        <v>27</v>
      </c>
      <c r="V68" s="5">
        <v>64305.047549378207</v>
      </c>
      <c r="W68" s="18">
        <v>643050.47549378208</v>
      </c>
    </row>
    <row r="69" spans="2:23" x14ac:dyDescent="0.3">
      <c r="B69" t="str">
        <v>Shahid Qasayi</v>
      </c>
      <c r="C69" s="22">
        <v>165343</v>
      </c>
      <c r="D69" s="22">
        <v>151191.4776883687</v>
      </c>
      <c r="E69" s="63">
        <v>113495.7937088515</v>
      </c>
      <c r="F69" s="21">
        <v>0</v>
      </c>
      <c r="G69" s="22" cm="1">
        <f t="array" ref="G69">(_xlfn.BYROW(B69,_xlfn.LAMBDA(_xlpm.party,
(SUMIFS(ledger!J:J,ledger!B:B,_xlpm.party,ledger!E:E,"&lt;&gt;*RD*",ledger!D:D,"Chamki",ledger!C:C,"&lt;&gt;October Closing CF")+
SUMIFS(ledger!J:J,ledger!B:B,_xlpm.party,ledger!E:E,"&lt;&gt;*RD*",ledger!D:D,"Crinkle",ledger!C:C,"&lt;&gt;October Closing CF")
))))</f>
        <v>1134957.9370885149</v>
      </c>
      <c r="H69" s="22" cm="1">
        <f t="array" ref="H69">_xlfn.BYROW(B69, _xlfn.LAMBDA(_xlpm.party,
   SUMIFS(ledger!J:J, ledger!B:B, _xlpm.party, ledger!E:E, "&lt;&gt;*RD*", ledger!D:D, "Silky", ledger!C:C, "&lt;&gt;October Closing CF")
))</f>
        <v>0</v>
      </c>
      <c r="I69" s="22" cm="1">
        <f t="array" ref="I69">_xlfn.BYROW(B69, _xlfn.LAMBDA(_xlpm.party,
   SUMIFS(ledger!J:J, ledger!B:B, _xlpm.party, ledger!E:E, "&lt;&gt;*RD*", ledger!D:D, "Slub", ledger!C:C, "&lt;&gt;October Closing CF")
))</f>
        <v>0</v>
      </c>
      <c r="J69" s="22" cm="1">
        <f t="array" ref="J69">_xlfn.BYROW(B69, _xlfn.LAMBDA(_xlpm.party,
   SUMIFS(ledger!J:J, ledger!B:B, _xlpm.party, ledger!E:E, "&lt;&gt;*RD*", ledger!D:D, "Satin", ledger!C:C, "&lt;&gt;October Closing CF")
))</f>
        <v>0</v>
      </c>
      <c r="K69" s="39">
        <f t="shared" si="5"/>
        <v>1134957.9370885149</v>
      </c>
      <c r="L69" s="22">
        <f>SUMIF(Table14[Party], B69, Table14[Credit])</f>
        <v>1103325</v>
      </c>
      <c r="M69" s="37">
        <f t="shared" si="7"/>
        <v>31632.937088514911</v>
      </c>
      <c r="N69" s="21">
        <v>10</v>
      </c>
      <c r="O69" s="21">
        <v>12</v>
      </c>
      <c r="U69" s="4" t="s">
        <v>167</v>
      </c>
      <c r="V69" s="5">
        <v>68178.493050475503</v>
      </c>
      <c r="W69" s="18">
        <v>789903.07242136076</v>
      </c>
    </row>
    <row r="70" spans="2:23" x14ac:dyDescent="0.3">
      <c r="B70" t="str">
        <v>Hameed corporation</v>
      </c>
      <c r="C70">
        <v>46404</v>
      </c>
      <c r="D70">
        <v>42432.333577176301</v>
      </c>
      <c r="E70">
        <v>42432.333577176301</v>
      </c>
      <c r="F70">
        <v>0</v>
      </c>
      <c r="G70" s="22" cm="1">
        <f t="array" ref="G70">(_xlfn.BYROW(B70,_xlfn.LAMBDA(_xlpm.party,
(SUMIFS(ledger!J:J,ledger!B:B,_xlpm.party,ledger!E:E,"&lt;&gt;*RD*",ledger!D:D,"Chamki",ledger!C:C,"&lt;&gt;October Closing CF")+
SUMIFS(ledger!J:J,ledger!B:B,_xlpm.party,ledger!E:E,"&lt;&gt;*RD*",ledger!D:D,"Crinkle",ledger!C:C,"&lt;&gt;October Closing CF")
))))</f>
        <v>424323.335771763</v>
      </c>
      <c r="H70" s="22" cm="1">
        <f t="array" ref="H70">_xlfn.BYROW(B70, _xlfn.LAMBDA(_xlpm.party,
   SUMIFS(ledger!J:J, ledger!B:B, _xlpm.party, ledger!E:E, "&lt;&gt;*RD*", ledger!D:D, "Silky", ledger!C:C, "&lt;&gt;October Closing CF")
))</f>
        <v>0</v>
      </c>
      <c r="I70" s="22" cm="1">
        <f t="array" ref="I70">_xlfn.BYROW(B70, _xlfn.LAMBDA(_xlpm.party,
   SUMIFS(ledger!J:J, ledger!B:B, _xlpm.party, ledger!E:E, "&lt;&gt;*RD*", ledger!D:D, "Slub", ledger!C:C, "&lt;&gt;October Closing CF")
))</f>
        <v>0</v>
      </c>
      <c r="J70" s="22" cm="1">
        <f t="array" ref="J70">_xlfn.BYROW(B70, _xlfn.LAMBDA(_xlpm.party,
   SUMIFS(ledger!J:J, ledger!B:B, _xlpm.party, ledger!E:E, "&lt;&gt;*RD*", ledger!D:D, "Satin", ledger!C:C, "&lt;&gt;October Closing CF")
))</f>
        <v>0</v>
      </c>
      <c r="K70" s="39">
        <f t="shared" si="5"/>
        <v>424323.335771763</v>
      </c>
      <c r="L70" s="22">
        <f>SUMIF(Table14[Party], B70, Table14[Credit])</f>
        <v>424323</v>
      </c>
      <c r="M70" s="37">
        <f t="shared" si="7"/>
        <v>0.33577176299877465</v>
      </c>
      <c r="U70" s="4" t="s">
        <v>169</v>
      </c>
      <c r="V70" s="5">
        <v>0</v>
      </c>
      <c r="W70" s="18">
        <v>0</v>
      </c>
    </row>
    <row r="71" spans="2:23" x14ac:dyDescent="0.3">
      <c r="B71" t="str">
        <v>ibraheem behraam</v>
      </c>
      <c r="C71">
        <v>35948</v>
      </c>
      <c r="D71">
        <v>32871.250914411125</v>
      </c>
      <c r="E71">
        <v>0</v>
      </c>
      <c r="F71">
        <v>32871.250914411125</v>
      </c>
      <c r="G71" s="22" cm="1">
        <f t="array" ref="G71">(_xlfn.BYROW(B71,_xlfn.LAMBDA(_xlpm.party,
(SUMIFS(ledger!J:J,ledger!B:B,_xlpm.party,ledger!E:E,"&lt;&gt;*RD*",ledger!D:D,"Chamki",ledger!C:C,"&lt;&gt;October Closing CF")+
SUMIFS(ledger!J:J,ledger!B:B,_xlpm.party,ledger!E:E,"&lt;&gt;*RD*",ledger!D:D,"Crinkle",ledger!C:C,"&lt;&gt;October Closing CF")
))))</f>
        <v>0</v>
      </c>
      <c r="H71" s="22" cm="1">
        <f t="array" ref="H71">_xlfn.BYROW(B71, _xlfn.LAMBDA(_xlpm.party,
   SUMIFS(ledger!J:J, ledger!B:B, _xlpm.party, ledger!E:E, "&lt;&gt;*RD*", ledger!D:D, "Silky", ledger!C:C, "&lt;&gt;October Closing CF")
))</f>
        <v>427326.26188734459</v>
      </c>
      <c r="I71" s="22" cm="1">
        <f t="array" ref="I71">_xlfn.BYROW(B71, _xlfn.LAMBDA(_xlpm.party,
   SUMIFS(ledger!J:J, ledger!B:B, _xlpm.party, ledger!E:E, "&lt;&gt;*RD*", ledger!D:D, "Slub", ledger!C:C, "&lt;&gt;October Closing CF")
))</f>
        <v>0</v>
      </c>
      <c r="J71" s="22" cm="1">
        <f t="array" ref="J71">_xlfn.BYROW(B71, _xlfn.LAMBDA(_xlpm.party,
   SUMIFS(ledger!J:J, ledger!B:B, _xlpm.party, ledger!E:E, "&lt;&gt;*RD*", ledger!D:D, "Satin", ledger!C:C, "&lt;&gt;October Closing CF")
))</f>
        <v>0</v>
      </c>
      <c r="K71" s="39">
        <f t="shared" si="5"/>
        <v>427326.26188734459</v>
      </c>
      <c r="L71" s="22">
        <f>SUMIF(Table14[Party], B71, Table14[Credit])</f>
        <v>437000</v>
      </c>
      <c r="M71" s="37">
        <f t="shared" si="7"/>
        <v>-9673.7381126554101</v>
      </c>
      <c r="U71" s="4" t="s">
        <v>176</v>
      </c>
      <c r="V71" s="5">
        <v>0</v>
      </c>
      <c r="W71" s="18">
        <v>0</v>
      </c>
    </row>
    <row r="72" spans="2:23" x14ac:dyDescent="0.3">
      <c r="B72" t="str">
        <v>Zia-ullah karachi</v>
      </c>
      <c r="C72">
        <v>13622</v>
      </c>
      <c r="D72">
        <v>12456.108266276518</v>
      </c>
      <c r="E72">
        <v>12456.108266276518</v>
      </c>
      <c r="F72">
        <v>0</v>
      </c>
      <c r="G72" s="22" cm="1">
        <f t="array" ref="G72">(_xlfn.BYROW(B72,_xlfn.LAMBDA(_xlpm.party,
(SUMIFS(ledger!J:J,ledger!B:B,_xlpm.party,ledger!E:E,"&lt;&gt;*RD*",ledger!D:D,"Chamki",ledger!C:C,"&lt;&gt;October Closing CF")+
SUMIFS(ledger!J:J,ledger!B:B,_xlpm.party,ledger!E:E,"&lt;&gt;*RD*",ledger!D:D,"Crinkle",ledger!C:C,"&lt;&gt;October Closing CF")
))))</f>
        <v>124561.08266276518</v>
      </c>
      <c r="H72" s="22" cm="1">
        <f t="array" ref="H72">_xlfn.BYROW(B72, _xlfn.LAMBDA(_xlpm.party,
   SUMIFS(ledger!J:J, ledger!B:B, _xlpm.party, ledger!E:E, "&lt;&gt;*RD*", ledger!D:D, "Silky", ledger!C:C, "&lt;&gt;October Closing CF")
))</f>
        <v>0</v>
      </c>
      <c r="I72" s="22" cm="1">
        <f t="array" ref="I72">_xlfn.BYROW(B72, _xlfn.LAMBDA(_xlpm.party,
   SUMIFS(ledger!J:J, ledger!B:B, _xlpm.party, ledger!E:E, "&lt;&gt;*RD*", ledger!D:D, "Slub", ledger!C:C, "&lt;&gt;October Closing CF")
))</f>
        <v>0</v>
      </c>
      <c r="J72" s="22" cm="1">
        <f t="array" ref="J72">_xlfn.BYROW(B72, _xlfn.LAMBDA(_xlpm.party,
   SUMIFS(ledger!J:J, ledger!B:B, _xlpm.party, ledger!E:E, "&lt;&gt;*RD*", ledger!D:D, "Satin", ledger!C:C, "&lt;&gt;October Closing CF")
))</f>
        <v>0</v>
      </c>
      <c r="K72" s="39">
        <f t="shared" si="5"/>
        <v>124561.08266276518</v>
      </c>
      <c r="L72" s="22">
        <f>SUMIF(Table14[Party], B72, Table14[Credit])</f>
        <v>137260</v>
      </c>
      <c r="M72" s="37">
        <f t="shared" si="7"/>
        <v>-12698.917337234816</v>
      </c>
      <c r="U72" s="4" t="s">
        <v>177</v>
      </c>
      <c r="V72" s="5">
        <v>0</v>
      </c>
      <c r="W72" s="18">
        <v>0</v>
      </c>
    </row>
    <row r="73" spans="2:23" x14ac:dyDescent="0.3">
      <c r="G73" s="22" cm="1">
        <f t="array" ref="G73">(_xlfn.BYROW(B73,_xlfn.LAMBDA(_xlpm.party,
(SUMIFS(ledger!J:J,ledger!B:B,_xlpm.party,ledger!E:E,"&lt;&gt;*RD*",ledger!D:D,"Chamki",ledger!C:C,"&lt;&gt;October Closing CF")+
SUMIFS(ledger!J:J,ledger!B:B,_xlpm.party,ledger!E:E,"&lt;&gt;*RD*",ledger!D:D,"Crinkle",ledger!C:C,"&lt;&gt;October Closing CF")
))))</f>
        <v>0</v>
      </c>
      <c r="H73" s="22" cm="1">
        <f t="array" ref="H73">_xlfn.BYROW(B73, _xlfn.LAMBDA(_xlpm.party,
   SUMIFS(ledger!J:J, ledger!B:B, _xlpm.party, ledger!E:E, "&lt;&gt;*RD*", ledger!D:D, "Silky", ledger!C:C, "&lt;&gt;October Closing CF")
))</f>
        <v>0</v>
      </c>
      <c r="I73" s="22" cm="1">
        <f t="array" ref="I73">_xlfn.BYROW(B73, _xlfn.LAMBDA(_xlpm.party,
   SUMIFS(ledger!J:J, ledger!B:B, _xlpm.party, ledger!E:E, "&lt;&gt;*RD*", ledger!D:D, "Slub", ledger!C:C, "&lt;&gt;October Closing CF")
))</f>
        <v>0</v>
      </c>
      <c r="J73" s="22" cm="1">
        <f t="array" ref="J73">_xlfn.BYROW(B73, _xlfn.LAMBDA(_xlpm.party,
   SUMIFS(ledger!J:J, ledger!B:B, _xlpm.party, ledger!E:E, "&lt;&gt;*RD*", ledger!D:D, "Satin", ledger!C:C, "&lt;&gt;October Closing CF")
))</f>
        <v>0</v>
      </c>
      <c r="K73" s="39">
        <f t="shared" si="5"/>
        <v>0</v>
      </c>
      <c r="L73" s="22">
        <f>SUMIF(Table14[Party], B73, Table14[Credit])</f>
        <v>0</v>
      </c>
      <c r="M73" s="37">
        <f t="shared" si="7"/>
        <v>0</v>
      </c>
      <c r="U73" s="4" t="s">
        <v>179</v>
      </c>
      <c r="V73" s="5">
        <v>0</v>
      </c>
      <c r="W73" s="18">
        <v>0</v>
      </c>
    </row>
    <row r="74" spans="2:23" x14ac:dyDescent="0.3">
      <c r="G74" s="22" cm="1">
        <f t="array" ref="G74">(_xlfn.BYROW(B74,_xlfn.LAMBDA(_xlpm.party,
(SUMIFS(ledger!J:J,ledger!B:B,_xlpm.party,ledger!E:E,"&lt;&gt;*RD*",ledger!D:D,"Chamki",ledger!C:C,"&lt;&gt;October Closing CF")+
SUMIFS(ledger!J:J,ledger!B:B,_xlpm.party,ledger!E:E,"&lt;&gt;*RD*",ledger!D:D,"Crinkle",ledger!C:C,"&lt;&gt;October Closing CF")
))))</f>
        <v>0</v>
      </c>
      <c r="H74" s="22" cm="1">
        <f t="array" ref="H74">_xlfn.BYROW(B74, _xlfn.LAMBDA(_xlpm.party,
   SUMIFS(ledger!J:J, ledger!B:B, _xlpm.party, ledger!E:E, "&lt;&gt;*RD*", ledger!D:D, "Silky", ledger!C:C, "&lt;&gt;October Closing CF")
))</f>
        <v>0</v>
      </c>
      <c r="I74" s="22" cm="1">
        <f t="array" ref="I74">_xlfn.BYROW(B74, _xlfn.LAMBDA(_xlpm.party,
   SUMIFS(ledger!J:J, ledger!B:B, _xlpm.party, ledger!E:E, "&lt;&gt;*RD*", ledger!D:D, "Slub", ledger!C:C, "&lt;&gt;October Closing CF")
))</f>
        <v>0</v>
      </c>
      <c r="J74" s="22" cm="1">
        <f t="array" ref="J74">_xlfn.BYROW(B74, _xlfn.LAMBDA(_xlpm.party,
   SUMIFS(ledger!J:J, ledger!B:B, _xlpm.party, ledger!E:E, "&lt;&gt;*RD*", ledger!D:D, "Satin", ledger!C:C, "&lt;&gt;October Closing CF")
))</f>
        <v>0</v>
      </c>
      <c r="K74" s="39">
        <f t="shared" si="5"/>
        <v>0</v>
      </c>
      <c r="L74" s="22">
        <f>SUMIF(Table14[Party], B74, Table14[Credit])</f>
        <v>0</v>
      </c>
      <c r="M74" s="37">
        <f t="shared" si="7"/>
        <v>0</v>
      </c>
      <c r="U74" s="4" t="s">
        <v>184</v>
      </c>
      <c r="V74" s="5">
        <v>198235.18653986833</v>
      </c>
      <c r="W74" s="18">
        <v>2378822.2384784198</v>
      </c>
    </row>
    <row r="75" spans="2:23" x14ac:dyDescent="0.3">
      <c r="G75" s="22" cm="1">
        <f t="array" ref="G75">(_xlfn.BYROW(B75,_xlfn.LAMBDA(_xlpm.party,
(SUMIFS(ledger!J:J,ledger!B:B,_xlpm.party,ledger!E:E,"&lt;&gt;*RD*",ledger!D:D,"Chamki",ledger!C:C,"&lt;&gt;October Closing CF")+
SUMIFS(ledger!J:J,ledger!B:B,_xlpm.party,ledger!E:E,"&lt;&gt;*RD*",ledger!D:D,"Crinkle",ledger!C:C,"&lt;&gt;October Closing CF")
))))</f>
        <v>0</v>
      </c>
      <c r="H75" s="22" cm="1">
        <f t="array" ref="H75">_xlfn.BYROW(B75, _xlfn.LAMBDA(_xlpm.party,
   SUMIFS(ledger!J:J, ledger!B:B, _xlpm.party, ledger!E:E, "&lt;&gt;*RD*", ledger!D:D, "Silky", ledger!C:C, "&lt;&gt;October Closing CF")
))</f>
        <v>0</v>
      </c>
      <c r="I75" s="22" cm="1">
        <f t="array" ref="I75">_xlfn.BYROW(B75, _xlfn.LAMBDA(_xlpm.party,
   SUMIFS(ledger!J:J, ledger!B:B, _xlpm.party, ledger!E:E, "&lt;&gt;*RD*", ledger!D:D, "Slub", ledger!C:C, "&lt;&gt;October Closing CF")
))</f>
        <v>0</v>
      </c>
      <c r="J75" s="22" cm="1">
        <f t="array" ref="J75">_xlfn.BYROW(B75, _xlfn.LAMBDA(_xlpm.party,
   SUMIFS(ledger!J:J, ledger!B:B, _xlpm.party, ledger!E:E, "&lt;&gt;*RD*", ledger!D:D, "Satin", ledger!C:C, "&lt;&gt;October Closing CF")
))</f>
        <v>0</v>
      </c>
      <c r="K75" s="39">
        <f t="shared" si="5"/>
        <v>0</v>
      </c>
      <c r="L75" s="22">
        <f>SUMIF(Table14[Party], B75, Table14[Credit])</f>
        <v>0</v>
      </c>
      <c r="M75" s="37">
        <f t="shared" si="7"/>
        <v>0</v>
      </c>
      <c r="U75" s="4" t="s">
        <v>28</v>
      </c>
      <c r="V75" s="14">
        <v>1221060.7168983177</v>
      </c>
      <c r="W75" s="14">
        <v>13253683.247988297</v>
      </c>
    </row>
    <row r="76" spans="2:23" x14ac:dyDescent="0.3">
      <c r="G76" s="22" cm="1">
        <f t="array" ref="G76">(_xlfn.BYROW(B76,_xlfn.LAMBDA(_xlpm.party,
(SUMIFS(ledger!J:J,ledger!B:B,_xlpm.party,ledger!E:E,"&lt;&gt;*RD*",ledger!D:D,"Chamki",ledger!C:C,"&lt;&gt;October Closing CF")+
SUMIFS(ledger!J:J,ledger!B:B,_xlpm.party,ledger!E:E,"&lt;&gt;*RD*",ledger!D:D,"Crinkle",ledger!C:C,"&lt;&gt;October Closing CF")
))))</f>
        <v>0</v>
      </c>
      <c r="H76" s="22" cm="1">
        <f t="array" ref="H76">_xlfn.BYROW(B76, _xlfn.LAMBDA(_xlpm.party,
   SUMIFS(ledger!J:J, ledger!B:B, _xlpm.party, ledger!E:E, "&lt;&gt;*RD*", ledger!D:D, "Silky", ledger!C:C, "&lt;&gt;October Closing CF")
))</f>
        <v>0</v>
      </c>
      <c r="I76" s="22" cm="1">
        <f t="array" ref="I76">_xlfn.BYROW(B76, _xlfn.LAMBDA(_xlpm.party,
   SUMIFS(ledger!J:J, ledger!B:B, _xlpm.party, ledger!E:E, "&lt;&gt;*RD*", ledger!D:D, "Slub", ledger!C:C, "&lt;&gt;October Closing CF")
))</f>
        <v>0</v>
      </c>
      <c r="J76" s="22" cm="1">
        <f t="array" ref="J76">_xlfn.BYROW(B76, _xlfn.LAMBDA(_xlpm.party,
   SUMIFS(ledger!J:J, ledger!B:B, _xlpm.party, ledger!E:E, "&lt;&gt;*RD*", ledger!D:D, "Satin", ledger!C:C, "&lt;&gt;October Closing CF")
))</f>
        <v>0</v>
      </c>
      <c r="K76" s="39">
        <f t="shared" si="5"/>
        <v>0</v>
      </c>
      <c r="L76" s="22">
        <f>SUMIF(Table14[Party], B76, Table14[Credit])</f>
        <v>0</v>
      </c>
      <c r="M76" s="37">
        <f t="shared" si="7"/>
        <v>0</v>
      </c>
    </row>
    <row r="77" spans="2:23" x14ac:dyDescent="0.3">
      <c r="G77" s="22" cm="1">
        <f t="array" ref="G77">(_xlfn.BYROW(B77,_xlfn.LAMBDA(_xlpm.party,
(SUMIFS(ledger!J:J,ledger!B:B,_xlpm.party,ledger!E:E,"&lt;&gt;*RD*",ledger!D:D,"Chamki",ledger!C:C,"&lt;&gt;October Closing CF")+
SUMIFS(ledger!J:J,ledger!B:B,_xlpm.party,ledger!E:E,"&lt;&gt;*RD*",ledger!D:D,"Crinkle",ledger!C:C,"&lt;&gt;October Closing CF")
))))</f>
        <v>0</v>
      </c>
      <c r="H77" s="22" cm="1">
        <f t="array" ref="H77">_xlfn.BYROW(B77, _xlfn.LAMBDA(_xlpm.party,
   SUMIFS(ledger!J:J, ledger!B:B, _xlpm.party, ledger!E:E, "&lt;&gt;*RD*", ledger!D:D, "Silky", ledger!C:C, "&lt;&gt;October Closing CF")
))</f>
        <v>0</v>
      </c>
      <c r="I77" s="22" cm="1">
        <f t="array" ref="I77">_xlfn.BYROW(B77, _xlfn.LAMBDA(_xlpm.party,
   SUMIFS(ledger!J:J, ledger!B:B, _xlpm.party, ledger!E:E, "&lt;&gt;*RD*", ledger!D:D, "Slub", ledger!C:C, "&lt;&gt;October Closing CF")
))</f>
        <v>0</v>
      </c>
      <c r="J77" s="22" cm="1">
        <f t="array" ref="J77">_xlfn.BYROW(B77, _xlfn.LAMBDA(_xlpm.party,
   SUMIFS(ledger!J:J, ledger!B:B, _xlpm.party, ledger!E:E, "&lt;&gt;*RD*", ledger!D:D, "Satin", ledger!C:C, "&lt;&gt;October Closing CF")
))</f>
        <v>0</v>
      </c>
      <c r="K77" s="39">
        <f t="shared" si="5"/>
        <v>0</v>
      </c>
      <c r="L77" s="22">
        <f>SUMIF(Table14[Party], B77, Table14[Credit])</f>
        <v>0</v>
      </c>
      <c r="M77" s="37">
        <f t="shared" si="7"/>
        <v>0</v>
      </c>
    </row>
    <row r="78" spans="2:23" x14ac:dyDescent="0.3">
      <c r="G78" s="22" cm="1">
        <f t="array" ref="G78">(_xlfn.BYROW(B78,_xlfn.LAMBDA(_xlpm.party,
(SUMIFS(ledger!J:J,ledger!B:B,_xlpm.party,ledger!E:E,"&lt;&gt;*RD*",ledger!D:D,"Chamki",ledger!C:C,"&lt;&gt;October Closing CF")+
SUMIFS(ledger!J:J,ledger!B:B,_xlpm.party,ledger!E:E,"&lt;&gt;*RD*",ledger!D:D,"Crinkle",ledger!C:C,"&lt;&gt;October Closing CF")
))))</f>
        <v>0</v>
      </c>
      <c r="H78" s="22" cm="1">
        <f t="array" ref="H78">_xlfn.BYROW(B78, _xlfn.LAMBDA(_xlpm.party,
   SUMIFS(ledger!J:J, ledger!B:B, _xlpm.party, ledger!E:E, "&lt;&gt;*RD*", ledger!D:D, "Silky", ledger!C:C, "&lt;&gt;October Closing CF")
))</f>
        <v>0</v>
      </c>
      <c r="I78" s="22" cm="1">
        <f t="array" ref="I78">_xlfn.BYROW(B78, _xlfn.LAMBDA(_xlpm.party,
   SUMIFS(ledger!J:J, ledger!B:B, _xlpm.party, ledger!E:E, "&lt;&gt;*RD*", ledger!D:D, "Slub", ledger!C:C, "&lt;&gt;October Closing CF")
))</f>
        <v>0</v>
      </c>
      <c r="J78" s="22" cm="1">
        <f t="array" ref="J78">_xlfn.BYROW(B78, _xlfn.LAMBDA(_xlpm.party,
   SUMIFS(ledger!J:J, ledger!B:B, _xlpm.party, ledger!E:E, "&lt;&gt;*RD*", ledger!D:D, "Satin", ledger!C:C, "&lt;&gt;October Closing CF")
))</f>
        <v>0</v>
      </c>
      <c r="K78" s="39">
        <f t="shared" si="5"/>
        <v>0</v>
      </c>
      <c r="L78" s="22">
        <f>SUMIF(Table14[Party], B78, Table14[Credit])</f>
        <v>0</v>
      </c>
      <c r="M78" s="37">
        <f t="shared" si="7"/>
        <v>0</v>
      </c>
    </row>
    <row r="81" spans="2:15" x14ac:dyDescent="0.3">
      <c r="B81" t="s">
        <v>155</v>
      </c>
    </row>
    <row r="83" spans="2:15" x14ac:dyDescent="0.3">
      <c r="B83" t="s">
        <v>33</v>
      </c>
      <c r="C83" s="23" t="s">
        <v>10</v>
      </c>
      <c r="D83" s="23" t="s">
        <v>11</v>
      </c>
      <c r="E83" s="23" t="s">
        <v>12</v>
      </c>
      <c r="F83" s="23" t="s">
        <v>13</v>
      </c>
      <c r="G83" s="23" t="s">
        <v>14</v>
      </c>
      <c r="H83" s="23" t="s">
        <v>15</v>
      </c>
      <c r="I83" s="23"/>
      <c r="J83" s="23"/>
      <c r="K83" s="23" t="s">
        <v>16</v>
      </c>
      <c r="L83" s="23" t="s">
        <v>17</v>
      </c>
      <c r="M83" s="23" t="s">
        <v>18</v>
      </c>
      <c r="N83" s="23" t="s">
        <v>19</v>
      </c>
      <c r="O83" s="23" t="s">
        <v>20</v>
      </c>
    </row>
    <row r="84" spans="2:15" x14ac:dyDescent="0.3">
      <c r="B84" s="24" t="str" cm="1">
        <f t="array" ref="B84:B107">_xlfn.UNIQUE(Table1[Party Name])</f>
        <v>BSC</v>
      </c>
      <c r="C84" s="22">
        <f>_xlfn.XLOOKUP($B49,[1]Billing!$Q$5:$Q$29,[1]Billing!$R$5:$R$29)</f>
        <v>2205408</v>
      </c>
      <c r="D84" s="22">
        <f>_xlfn.XLOOKUP($B49,[1]Billing!$Q$5:$Q$29,[1]Billing!$S$5:$S$29)</f>
        <v>2016649.5976591078</v>
      </c>
      <c r="E84" s="22">
        <f>_xlfn.XLOOKUP($B49,[1]Billing!$Q$5:$Q$29,[1]Billing!$T$5:$T$29)</f>
        <v>1895402.3408924653</v>
      </c>
      <c r="F84" s="22">
        <f>_xlfn.XLOOKUP($B49,[1]Billing!$Q$5:$Q$29,[1]Billing!$U$5:$U$29)</f>
        <v>121247.2567666423</v>
      </c>
      <c r="G84" s="22">
        <f>_xlfn.XLOOKUP($B49,[1]Billing!$Q$5:$Q$29,[1]Billing!$V$5:$V$29)</f>
        <v>18954023.408924658</v>
      </c>
      <c r="H84" s="22">
        <f>_xlfn.XLOOKUP($B49,[1]Billing!$Q$5:$Q$29,[1]Billing!$W$5:$W$29)</f>
        <v>1487858.4491587421</v>
      </c>
      <c r="I84" s="22">
        <f>_xlfn.XLOOKUP($B49,[1]Billing!$Q$5:$Q$29,[1]Billing!$X$5:$X$29)</f>
        <v>0</v>
      </c>
      <c r="J84" s="22">
        <f>_xlfn.XLOOKUP($B49,[1]Billing!$Q$5:$Q$29,[1]Billing!$Y$5:$Y$29)</f>
        <v>0</v>
      </c>
      <c r="K84" s="39">
        <f>G84+H84+I84+J84</f>
        <v>20441881.858083401</v>
      </c>
      <c r="L84" s="22">
        <f>_xlfn.XLOOKUP($B49,[1]Billing!$Q$5:$Q$29,[1]Billing!$AA$5:$AA$29)</f>
        <v>18411676</v>
      </c>
      <c r="M84" s="37">
        <f>K84-L84</f>
        <v>2030205.8580834009</v>
      </c>
      <c r="N84" s="21">
        <v>10</v>
      </c>
      <c r="O84" s="21">
        <v>13</v>
      </c>
    </row>
    <row r="85" spans="2:15" x14ac:dyDescent="0.3">
      <c r="B85" s="24" t="str">
        <v>Ejaz Sahab</v>
      </c>
      <c r="C85" s="22">
        <f>_xlfn.XLOOKUP($B50,[1]Billing!$Q$5:$Q$29,[1]Billing!$R$5:$R$29)</f>
        <v>277841</v>
      </c>
      <c r="D85" s="22">
        <f>_xlfn.XLOOKUP($B50,[1]Billing!$Q$5:$Q$29,[1]Billing!$S$5:$S$29)</f>
        <v>254060.89978054137</v>
      </c>
      <c r="E85" s="22">
        <f>_xlfn.XLOOKUP($B50,[1]Billing!$Q$5:$Q$29,[1]Billing!$T$5:$T$29)</f>
        <v>148145.57425018289</v>
      </c>
      <c r="F85" s="22">
        <f>_xlfn.XLOOKUP($B50,[1]Billing!$Q$5:$Q$29,[1]Billing!$U$5:$U$29)</f>
        <v>105915.32553035846</v>
      </c>
      <c r="G85" s="22">
        <f>_xlfn.XLOOKUP($B50,[1]Billing!$Q$5:$Q$29,[1]Billing!$V$5:$V$29)</f>
        <v>1481455.7425018288</v>
      </c>
      <c r="H85" s="22">
        <f>_xlfn.XLOOKUP($B50,[1]Billing!$Q$5:$Q$29,[1]Billing!$W$5:$W$29)</f>
        <v>1317755.1207022679</v>
      </c>
      <c r="I85" s="22">
        <f>_xlfn.XLOOKUP($B50,[1]Billing!$Q$5:$Q$29,[1]Billing!$X$5:$X$29)</f>
        <v>0</v>
      </c>
      <c r="J85" s="22">
        <f>_xlfn.XLOOKUP($B50,[1]Billing!$Q$5:$Q$29,[1]Billing!$Y$5:$Y$29)</f>
        <v>0</v>
      </c>
      <c r="K85" s="39">
        <f t="shared" ref="K85:K103" si="8">G85+H85+I85+J85</f>
        <v>2799210.8632040964</v>
      </c>
      <c r="L85" s="22">
        <f>_xlfn.XLOOKUP($B50,[1]Billing!$Q$5:$Q$29,[1]Billing!$AA$5:$AA$29)</f>
        <v>3163904</v>
      </c>
      <c r="M85" s="37">
        <f>K85-L85</f>
        <v>-364693.13679590356</v>
      </c>
      <c r="N85" s="21">
        <v>10</v>
      </c>
      <c r="O85" s="21">
        <v>13</v>
      </c>
    </row>
    <row r="86" spans="2:15" x14ac:dyDescent="0.3">
      <c r="B86" s="24" t="str">
        <v>Arshad</v>
      </c>
      <c r="C86" s="22">
        <f>_xlfn.XLOOKUP($B51,[1]Billing!$Q$5:$Q$29,[1]Billing!$R$5:$R$29)</f>
        <v>445506</v>
      </c>
      <c r="D86" s="22">
        <f>_xlfn.XLOOKUP($B51,[1]Billing!$Q$5:$Q$29,[1]Billing!$S$5:$S$29)</f>
        <v>407375.64008778351</v>
      </c>
      <c r="E86" s="22">
        <f>_xlfn.XLOOKUP($B51,[1]Billing!$Q$5:$Q$29,[1]Billing!$T$5:$T$29)</f>
        <v>392581.38258961233</v>
      </c>
      <c r="F86" s="22">
        <f>_xlfn.XLOOKUP($B51,[1]Billing!$Q$5:$Q$29,[1]Billing!$U$5:$U$29)</f>
        <v>14794.257498171179</v>
      </c>
      <c r="G86" s="22">
        <f>_xlfn.XLOOKUP($B51,[1]Billing!$Q$5:$Q$29,[1]Billing!$V$5:$V$29)</f>
        <v>3925813.8258961234</v>
      </c>
      <c r="H86" s="22">
        <f>_xlfn.XLOOKUP($B51,[1]Billing!$Q$5:$Q$29,[1]Billing!$W$5:$W$29)</f>
        <v>177531.08997805414</v>
      </c>
      <c r="I86" s="22">
        <f>_xlfn.XLOOKUP($B51,[1]Billing!$Q$5:$Q$29,[1]Billing!$X$5:$X$29)</f>
        <v>0</v>
      </c>
      <c r="J86" s="22">
        <f>_xlfn.XLOOKUP($B51,[1]Billing!$Q$5:$Q$29,[1]Billing!$Y$5:$Y$29)</f>
        <v>0</v>
      </c>
      <c r="K86" s="39">
        <f t="shared" si="8"/>
        <v>4103344.9158741776</v>
      </c>
      <c r="L86" s="22">
        <f>_xlfn.XLOOKUP($B51,[1]Billing!$Q$5:$Q$29,[1]Billing!$AA$5:$AA$29)</f>
        <v>4102935</v>
      </c>
      <c r="M86" s="37">
        <f>K86-L86</f>
        <v>409.91587417759001</v>
      </c>
      <c r="N86" s="21">
        <v>10</v>
      </c>
      <c r="O86" s="21">
        <v>13</v>
      </c>
    </row>
    <row r="87" spans="2:15" x14ac:dyDescent="0.3">
      <c r="B87" s="24" t="str">
        <v>Shehzad Kamoki</v>
      </c>
      <c r="C87" s="22">
        <f>_xlfn.XLOOKUP($B52,[1]Billing!$Q$5:$Q$29,[1]Billing!$R$5:$R$29)</f>
        <v>134607</v>
      </c>
      <c r="D87" s="22">
        <f>_xlfn.XLOOKUP($B52,[1]Billing!$Q$5:$Q$29,[1]Billing!$S$5:$S$29)</f>
        <v>123086.13752743235</v>
      </c>
      <c r="E87" s="22">
        <f>_xlfn.XLOOKUP($B52,[1]Billing!$Q$5:$Q$29,[1]Billing!$T$5:$T$29)</f>
        <v>123086.13752743235</v>
      </c>
      <c r="F87" s="22">
        <f>_xlfn.XLOOKUP($B52,[1]Billing!$Q$5:$Q$29,[1]Billing!$U$5:$U$29)</f>
        <v>0</v>
      </c>
      <c r="G87" s="22">
        <f>_xlfn.XLOOKUP($B52,[1]Billing!$Q$5:$Q$29,[1]Billing!$V$5:$V$29)</f>
        <v>1269270.3440380397</v>
      </c>
      <c r="H87" s="22">
        <f>_xlfn.XLOOKUP($B52,[1]Billing!$Q$5:$Q$29,[1]Billing!$W$5:$W$29)</f>
        <v>0</v>
      </c>
      <c r="I87" s="22">
        <f>_xlfn.XLOOKUP($B52,[1]Billing!$Q$5:$Q$29,[1]Billing!$X$5:$X$29)</f>
        <v>0</v>
      </c>
      <c r="J87" s="22">
        <f>_xlfn.XLOOKUP($B52,[1]Billing!$Q$5:$Q$29,[1]Billing!$Y$5:$Y$29)</f>
        <v>0</v>
      </c>
      <c r="K87" s="39">
        <f t="shared" si="8"/>
        <v>1269270.3440380397</v>
      </c>
      <c r="L87" s="22">
        <f>_xlfn.XLOOKUP($B52,[1]Billing!$Q$5:$Q$29,[1]Billing!$AA$5:$AA$29)</f>
        <v>1268740</v>
      </c>
      <c r="M87" s="37">
        <f t="shared" ref="M87:M103" si="9">K87-L87</f>
        <v>530.34403803967871</v>
      </c>
      <c r="N87" s="21">
        <v>10.5</v>
      </c>
      <c r="O87" s="21">
        <v>13</v>
      </c>
    </row>
    <row r="88" spans="2:15" x14ac:dyDescent="0.3">
      <c r="B88" s="24" t="str">
        <v>Sufi Nawaz Sahab</v>
      </c>
      <c r="C88" s="22">
        <f>_xlfn.XLOOKUP($B53,[1]Billing!$Q$5:$Q$29,[1]Billing!$R$5:$R$29)</f>
        <v>1186725</v>
      </c>
      <c r="D88" s="22">
        <f>_xlfn.XLOOKUP($B53,[1]Billing!$Q$5:$Q$29,[1]Billing!$S$5:$S$29)</f>
        <v>1085154.5354791514</v>
      </c>
      <c r="E88" s="22">
        <f>_xlfn.XLOOKUP($B53,[1]Billing!$Q$5:$Q$29,[1]Billing!$T$5:$T$29)</f>
        <v>599330.65106071695</v>
      </c>
      <c r="F88" s="22">
        <f>_xlfn.XLOOKUP($B53,[1]Billing!$Q$5:$Q$29,[1]Billing!$U$5:$U$29)</f>
        <v>485823.88441843458</v>
      </c>
      <c r="G88" s="22">
        <f>_xlfn.XLOOKUP($B53,[1]Billing!$Q$5:$Q$29,[1]Billing!$V$5:$V$29)</f>
        <v>5408917.8595464528</v>
      </c>
      <c r="H88" s="22">
        <f>_xlfn.XLOOKUP($B53,[1]Billing!$Q$5:$Q$29,[1]Billing!$W$5:$W$29)</f>
        <v>5829886.6130212145</v>
      </c>
      <c r="I88" s="22">
        <f>_xlfn.XLOOKUP($B53,[1]Billing!$Q$5:$Q$29,[1]Billing!$X$5:$X$29)</f>
        <v>0</v>
      </c>
      <c r="J88" s="22">
        <f>_xlfn.XLOOKUP($B53,[1]Billing!$Q$5:$Q$29,[1]Billing!$Y$5:$Y$29)</f>
        <v>0</v>
      </c>
      <c r="K88" s="39">
        <f t="shared" si="8"/>
        <v>11238804.472567666</v>
      </c>
      <c r="L88" s="22">
        <f>_xlfn.XLOOKUP($B53,[1]Billing!$Q$5:$Q$29,[1]Billing!$AA$5:$AA$29)</f>
        <v>10629100</v>
      </c>
      <c r="M88" s="37">
        <f t="shared" si="9"/>
        <v>609704.47256766632</v>
      </c>
      <c r="N88" s="21">
        <v>10</v>
      </c>
      <c r="O88" s="21">
        <v>13</v>
      </c>
    </row>
    <row r="89" spans="2:15" x14ac:dyDescent="0.3">
      <c r="B89" s="24" t="str">
        <v>Sajad Khan</v>
      </c>
      <c r="C89" s="22">
        <f>_xlfn.XLOOKUP($B54,[1]Billing!$Q$5:$Q$29,[1]Billing!$R$5:$R$29)</f>
        <v>604680</v>
      </c>
      <c r="D89" s="22">
        <f>_xlfn.XLOOKUP($B54,[1]Billing!$Q$5:$Q$29,[1]Billing!$S$5:$S$29)</f>
        <v>552926.11558156554</v>
      </c>
      <c r="E89" s="22">
        <f>_xlfn.XLOOKUP($B54,[1]Billing!$Q$5:$Q$29,[1]Billing!$T$5:$T$29)</f>
        <v>547436.90563277248</v>
      </c>
      <c r="F89" s="22">
        <f>_xlfn.XLOOKUP($B54,[1]Billing!$Q$5:$Q$29,[1]Billing!$U$5:$U$29)</f>
        <v>0</v>
      </c>
      <c r="G89" s="22">
        <f>_xlfn.XLOOKUP($B54,[1]Billing!$Q$5:$Q$29,[1]Billing!$V$5:$V$29)</f>
        <v>5474369.0563277248</v>
      </c>
      <c r="H89" s="22">
        <f>_xlfn.XLOOKUP($B54,[1]Billing!$Q$5:$Q$29,[1]Billing!$W$5:$W$29)</f>
        <v>0</v>
      </c>
      <c r="I89" s="22">
        <f>_xlfn.XLOOKUP($B54,[1]Billing!$Q$5:$Q$29,[1]Billing!$X$5:$X$29)</f>
        <v>71359.729334308722</v>
      </c>
      <c r="J89" s="22">
        <f>_xlfn.XLOOKUP($B54,[1]Billing!$Q$5:$Q$29,[1]Billing!$Y$5:$Y$29)</f>
        <v>0</v>
      </c>
      <c r="K89" s="39">
        <f t="shared" si="8"/>
        <v>5545728.7856620336</v>
      </c>
      <c r="L89" s="22">
        <f>_xlfn.XLOOKUP($B54,[1]Billing!$Q$5:$Q$29,[1]Billing!$AA$5:$AA$29)</f>
        <v>5544810</v>
      </c>
      <c r="M89" s="37">
        <f t="shared" si="9"/>
        <v>918.78566203359514</v>
      </c>
      <c r="N89" s="21">
        <v>10</v>
      </c>
      <c r="O89" s="21">
        <v>13</v>
      </c>
    </row>
    <row r="90" spans="2:15" x14ac:dyDescent="0.3">
      <c r="B90" s="24" t="str">
        <v>Raaz Fabrics</v>
      </c>
      <c r="C90" s="22">
        <f>_xlfn.XLOOKUP($B55,[1]Billing!$Q$5:$Q$29,[1]Billing!$R$5:$R$29)</f>
        <v>100916</v>
      </c>
      <c r="D90" s="22">
        <f>_xlfn.XLOOKUP($B55,[1]Billing!$Q$5:$Q$29,[1]Billing!$S$5:$S$29)</f>
        <v>92278.712509144127</v>
      </c>
      <c r="E90" s="22">
        <f>_xlfn.XLOOKUP($B55,[1]Billing!$Q$5:$Q$29,[1]Billing!$T$5:$T$29)</f>
        <v>92278.712509144127</v>
      </c>
      <c r="F90" s="22">
        <f>_xlfn.XLOOKUP($B55,[1]Billing!$Q$5:$Q$29,[1]Billing!$U$5:$U$29)</f>
        <v>0</v>
      </c>
      <c r="G90" s="22">
        <f>_xlfn.XLOOKUP($B55,[1]Billing!$Q$5:$Q$29,[1]Billing!$V$5:$V$29)</f>
        <v>922787.12509144121</v>
      </c>
      <c r="H90" s="22">
        <f>_xlfn.XLOOKUP($B55,[1]Billing!$Q$5:$Q$29,[1]Billing!$W$5:$W$29)</f>
        <v>0</v>
      </c>
      <c r="I90" s="22">
        <f>_xlfn.XLOOKUP($B55,[1]Billing!$Q$5:$Q$29,[1]Billing!$X$5:$X$29)</f>
        <v>0</v>
      </c>
      <c r="J90" s="22">
        <f>_xlfn.XLOOKUP($B55,[1]Billing!$Q$5:$Q$29,[1]Billing!$Y$5:$Y$29)</f>
        <v>0</v>
      </c>
      <c r="K90" s="39">
        <f t="shared" si="8"/>
        <v>922787.12509144121</v>
      </c>
      <c r="L90" s="22">
        <f>_xlfn.XLOOKUP($B55,[1]Billing!$Q$5:$Q$29,[1]Billing!$AA$5:$AA$29)</f>
        <v>900000</v>
      </c>
      <c r="M90" s="37">
        <f t="shared" si="9"/>
        <v>22787.125091441208</v>
      </c>
      <c r="N90" s="21">
        <v>10</v>
      </c>
      <c r="O90" s="21">
        <v>13</v>
      </c>
    </row>
    <row r="91" spans="2:15" x14ac:dyDescent="0.3">
      <c r="B91" s="24" t="str">
        <v>Azam</v>
      </c>
      <c r="C91" s="22">
        <f>_xlfn.XLOOKUP($B56,[1]Billing!$Q$5:$Q$29,[1]Billing!$R$5:$R$29)</f>
        <v>204500</v>
      </c>
      <c r="D91" s="22">
        <f>_xlfn.XLOOKUP($B56,[1]Billing!$Q$5:$Q$29,[1]Billing!$S$5:$S$29)</f>
        <v>186997.07388441847</v>
      </c>
      <c r="E91" s="22">
        <f>_xlfn.XLOOKUP($B56,[1]Billing!$Q$5:$Q$29,[1]Billing!$T$5:$T$29)</f>
        <v>161808.70519385519</v>
      </c>
      <c r="F91" s="22">
        <f>_xlfn.XLOOKUP($B56,[1]Billing!$Q$5:$Q$29,[1]Billing!$U$5:$U$29)</f>
        <v>25188.368690563279</v>
      </c>
      <c r="G91" s="22">
        <f>_xlfn.XLOOKUP($B56,[1]Billing!$Q$5:$Q$29,[1]Billing!$V$5:$V$29)</f>
        <v>1618087.0519385519</v>
      </c>
      <c r="H91" s="22">
        <f>_xlfn.XLOOKUP($B56,[1]Billing!$Q$5:$Q$29,[1]Billing!$W$5:$W$29)</f>
        <v>327448.79297732259</v>
      </c>
      <c r="I91" s="22">
        <f>_xlfn.XLOOKUP($B56,[1]Billing!$Q$5:$Q$29,[1]Billing!$X$5:$X$29)</f>
        <v>0</v>
      </c>
      <c r="J91" s="22">
        <f>_xlfn.XLOOKUP($B56,[1]Billing!$Q$5:$Q$29,[1]Billing!$Y$5:$Y$29)</f>
        <v>0</v>
      </c>
      <c r="K91" s="39">
        <f t="shared" si="8"/>
        <v>1945535.8449158745</v>
      </c>
      <c r="L91" s="22">
        <f>_xlfn.XLOOKUP($B56,[1]Billing!$Q$5:$Q$29,[1]Billing!$AA$5:$AA$29)</f>
        <v>1617620</v>
      </c>
      <c r="M91" s="37">
        <f t="shared" si="9"/>
        <v>327915.84491587454</v>
      </c>
      <c r="N91" s="21">
        <v>10</v>
      </c>
      <c r="O91" s="21">
        <v>13</v>
      </c>
    </row>
    <row r="92" spans="2:15" x14ac:dyDescent="0.3">
      <c r="B92" s="21" t="str">
        <v>Ubaidullah</v>
      </c>
      <c r="C92" s="22">
        <f>_xlfn.XLOOKUP($B57,[1]Billing!$Q$5:$Q$29,[1]Billing!$R$5:$R$29)</f>
        <v>66850</v>
      </c>
      <c r="D92" s="22">
        <f>_xlfn.XLOOKUP($B57,[1]Billing!$Q$5:$Q$29,[1]Billing!$S$5:$S$29)</f>
        <v>61128.383321141191</v>
      </c>
      <c r="E92" s="22">
        <f>_xlfn.XLOOKUP($B57,[1]Billing!$Q$5:$Q$29,[1]Billing!$T$5:$T$29)</f>
        <v>46132.955376737387</v>
      </c>
      <c r="F92" s="22">
        <f>_xlfn.XLOOKUP($B57,[1]Billing!$Q$5:$Q$29,[1]Billing!$U$5:$U$29)</f>
        <v>14995.427944403806</v>
      </c>
      <c r="G92" s="22">
        <f>_xlfn.XLOOKUP($B57,[1]Billing!$Q$5:$Q$29,[1]Billing!$V$5:$V$29)</f>
        <v>461329.5537673739</v>
      </c>
      <c r="H92" s="22">
        <f>_xlfn.XLOOKUP($B57,[1]Billing!$Q$5:$Q$29,[1]Billing!$W$5:$W$29)</f>
        <v>179945.13533284568</v>
      </c>
      <c r="I92" s="22">
        <f>_xlfn.XLOOKUP($B57,[1]Billing!$Q$5:$Q$29,[1]Billing!$X$5:$X$29)</f>
        <v>0</v>
      </c>
      <c r="J92" s="22">
        <f>_xlfn.XLOOKUP($B57,[1]Billing!$Q$5:$Q$29,[1]Billing!$Y$5:$Y$29)</f>
        <v>0</v>
      </c>
      <c r="K92" s="39">
        <f t="shared" si="8"/>
        <v>641274.68910021964</v>
      </c>
      <c r="L92" s="22">
        <f>_xlfn.XLOOKUP($B57,[1]Billing!$Q$5:$Q$29,[1]Billing!$AA$5:$AA$29)</f>
        <v>630150</v>
      </c>
      <c r="M92" s="37">
        <f t="shared" si="9"/>
        <v>11124.689100219635</v>
      </c>
      <c r="N92" s="21">
        <v>10</v>
      </c>
      <c r="O92" s="21">
        <v>13</v>
      </c>
    </row>
    <row r="93" spans="2:15" x14ac:dyDescent="0.3">
      <c r="B93" s="21" t="str">
        <v>Ashraf Zia</v>
      </c>
      <c r="C93" s="22">
        <f>_xlfn.XLOOKUP($B58,[1]Billing!$Q$5:$Q$29,[1]Billing!$R$5:$R$29)</f>
        <v>23305</v>
      </c>
      <c r="D93" s="22">
        <f>_xlfn.XLOOKUP($B58,[1]Billing!$Q$5:$Q$29,[1]Billing!$S$5:$S$29)</f>
        <v>21310.35113386979</v>
      </c>
      <c r="E93" s="22">
        <f>_xlfn.XLOOKUP($B58,[1]Billing!$Q$5:$Q$29,[1]Billing!$T$5:$T$29)</f>
        <v>21310.35113386979</v>
      </c>
      <c r="F93" s="22">
        <f>_xlfn.XLOOKUP($B58,[1]Billing!$Q$5:$Q$29,[1]Billing!$U$5:$U$29)</f>
        <v>0</v>
      </c>
      <c r="G93" s="22">
        <f>_xlfn.XLOOKUP($B58,[1]Billing!$Q$5:$Q$29,[1]Billing!$V$5:$V$29)</f>
        <v>255724.21360643749</v>
      </c>
      <c r="H93" s="22">
        <f>_xlfn.XLOOKUP($B58,[1]Billing!$Q$5:$Q$29,[1]Billing!$W$5:$W$29)</f>
        <v>0</v>
      </c>
      <c r="I93" s="22">
        <f>_xlfn.XLOOKUP($B58,[1]Billing!$Q$5:$Q$29,[1]Billing!$X$5:$X$29)</f>
        <v>0</v>
      </c>
      <c r="J93" s="22">
        <f>_xlfn.XLOOKUP($B58,[1]Billing!$Q$5:$Q$29,[1]Billing!$Y$5:$Y$29)</f>
        <v>0</v>
      </c>
      <c r="K93" s="39">
        <f t="shared" si="8"/>
        <v>255724.21360643749</v>
      </c>
      <c r="L93" s="22">
        <f>_xlfn.XLOOKUP($B58,[1]Billing!$Q$5:$Q$29,[1]Billing!$AA$5:$AA$29)</f>
        <v>0</v>
      </c>
      <c r="M93" s="37">
        <f t="shared" si="9"/>
        <v>255724.21360643749</v>
      </c>
      <c r="N93" s="21">
        <v>12</v>
      </c>
      <c r="O93" s="21">
        <v>13</v>
      </c>
    </row>
    <row r="94" spans="2:15" x14ac:dyDescent="0.3">
      <c r="B94" s="21" t="str">
        <v>Hafiz Qureshi</v>
      </c>
      <c r="C94" s="22">
        <f>_xlfn.XLOOKUP($B59,[1]Billing!$Q$5:$Q$29,[1]Billing!$R$5:$R$29)</f>
        <v>132491</v>
      </c>
      <c r="D94" s="22">
        <f>_xlfn.XLOOKUP($B59,[1]Billing!$Q$5:$Q$29,[1]Billing!$S$5:$S$29)</f>
        <v>121151.24359912217</v>
      </c>
      <c r="E94" s="22">
        <f>_xlfn.XLOOKUP($B59,[1]Billing!$Q$5:$Q$29,[1]Billing!$T$5:$T$29)</f>
        <v>121151.24359912217</v>
      </c>
      <c r="F94" s="22">
        <f>_xlfn.XLOOKUP($B59,[1]Billing!$Q$5:$Q$29,[1]Billing!$U$5:$U$29)</f>
        <v>0</v>
      </c>
      <c r="G94" s="22">
        <f>_xlfn.XLOOKUP($B59,[1]Billing!$Q$5:$Q$29,[1]Billing!$V$5:$V$29)</f>
        <v>1211512.4359912218</v>
      </c>
      <c r="H94" s="22">
        <f>_xlfn.XLOOKUP($B59,[1]Billing!$Q$5:$Q$29,[1]Billing!$W$5:$W$29)</f>
        <v>0</v>
      </c>
      <c r="I94" s="22">
        <f>_xlfn.XLOOKUP($B59,[1]Billing!$Q$5:$Q$29,[1]Billing!$X$5:$X$29)</f>
        <v>0</v>
      </c>
      <c r="J94" s="22">
        <f>_xlfn.XLOOKUP($B59,[1]Billing!$Q$5:$Q$29,[1]Billing!$Y$5:$Y$29)</f>
        <v>0</v>
      </c>
      <c r="K94" s="39">
        <f t="shared" si="8"/>
        <v>1211512.4359912218</v>
      </c>
      <c r="L94" s="22">
        <f>_xlfn.XLOOKUP($B59,[1]Billing!$Q$5:$Q$29,[1]Billing!$AA$5:$AA$29)</f>
        <v>1200000</v>
      </c>
      <c r="M94" s="37">
        <f t="shared" si="9"/>
        <v>11512.435991221806</v>
      </c>
      <c r="N94" s="21">
        <v>10</v>
      </c>
      <c r="O94" s="21">
        <v>13</v>
      </c>
    </row>
    <row r="95" spans="2:15" x14ac:dyDescent="0.3">
      <c r="B95" s="21" t="str">
        <v>Badshah Fabrics</v>
      </c>
      <c r="C95" s="22">
        <f>_xlfn.XLOOKUP($B60,[1]Billing!$Q$5:$Q$29,[1]Billing!$R$5:$R$29)</f>
        <v>442848</v>
      </c>
      <c r="D95" s="22">
        <f>_xlfn.XLOOKUP($B60,[1]Billing!$Q$5:$Q$29,[1]Billing!$S$5:$S$29)</f>
        <v>404945.13533284568</v>
      </c>
      <c r="E95" s="22">
        <f>_xlfn.XLOOKUP($B60,[1]Billing!$Q$5:$Q$29,[1]Billing!$T$5:$T$29)</f>
        <v>341790.4169714704</v>
      </c>
      <c r="F95" s="22">
        <f>_xlfn.XLOOKUP($B60,[1]Billing!$Q$5:$Q$29,[1]Billing!$U$5:$U$29)</f>
        <v>63154.718361375279</v>
      </c>
      <c r="G95" s="22">
        <f>_xlfn.XLOOKUP($B60,[1]Billing!$Q$5:$Q$29,[1]Billing!$V$5:$V$29)</f>
        <v>3417904.1697147042</v>
      </c>
      <c r="H95" s="22">
        <f>_xlfn.XLOOKUP($B60,[1]Billing!$Q$5:$Q$29,[1]Billing!$W$5:$W$29)</f>
        <v>757856.62033650337</v>
      </c>
      <c r="I95" s="22">
        <f>_xlfn.XLOOKUP($B60,[1]Billing!$Q$5:$Q$29,[1]Billing!$X$5:$X$29)</f>
        <v>0</v>
      </c>
      <c r="J95" s="22">
        <f>_xlfn.XLOOKUP($B60,[1]Billing!$Q$5:$Q$29,[1]Billing!$Y$5:$Y$29)</f>
        <v>0</v>
      </c>
      <c r="K95" s="39">
        <f t="shared" si="8"/>
        <v>4175760.7900512074</v>
      </c>
      <c r="L95" s="22">
        <f>_xlfn.XLOOKUP($B60,[1]Billing!$Q$5:$Q$29,[1]Billing!$AA$5:$AA$29)</f>
        <v>4000544</v>
      </c>
      <c r="M95" s="37">
        <f t="shared" si="9"/>
        <v>175216.79005120741</v>
      </c>
      <c r="N95" s="21">
        <v>10</v>
      </c>
      <c r="O95" s="21">
        <v>13</v>
      </c>
    </row>
    <row r="96" spans="2:15" x14ac:dyDescent="0.3">
      <c r="B96" s="21" t="str">
        <v>Reject</v>
      </c>
      <c r="C96" s="22">
        <f>_xlfn.XLOOKUP($B61,[1]Billing!$Q$5:$Q$29,[1]Billing!$R$5:$R$29)</f>
        <v>0</v>
      </c>
      <c r="D96" s="22">
        <f>_xlfn.XLOOKUP($B61,[1]Billing!$Q$5:$Q$29,[1]Billing!$S$5:$S$29)</f>
        <v>0</v>
      </c>
      <c r="E96" s="22">
        <f>_xlfn.XLOOKUP($B61,[1]Billing!$Q$5:$Q$29,[1]Billing!$T$5:$T$29)</f>
        <v>0</v>
      </c>
      <c r="F96" s="22">
        <f>_xlfn.XLOOKUP($B61,[1]Billing!$Q$5:$Q$29,[1]Billing!$U$5:$U$29)</f>
        <v>0</v>
      </c>
      <c r="G96" s="22">
        <f>_xlfn.XLOOKUP($B61,[1]Billing!$Q$5:$Q$29,[1]Billing!$V$5:$V$29)</f>
        <v>0</v>
      </c>
      <c r="H96" s="22">
        <f>_xlfn.XLOOKUP($B61,[1]Billing!$Q$5:$Q$29,[1]Billing!$W$5:$W$29)</f>
        <v>0</v>
      </c>
      <c r="I96" s="22">
        <f>_xlfn.XLOOKUP($B61,[1]Billing!$Q$5:$Q$29,[1]Billing!$X$5:$X$29)</f>
        <v>0</v>
      </c>
      <c r="J96" s="22">
        <f>_xlfn.XLOOKUP($B61,[1]Billing!$Q$5:$Q$29,[1]Billing!$Y$5:$Y$29)</f>
        <v>0</v>
      </c>
      <c r="K96" s="39">
        <f t="shared" si="8"/>
        <v>0</v>
      </c>
      <c r="L96" s="22">
        <f>_xlfn.XLOOKUP($B61,[1]Billing!$Q$5:$Q$29,[1]Billing!$AA$5:$AA$29)</f>
        <v>0</v>
      </c>
      <c r="M96" s="37">
        <f t="shared" si="9"/>
        <v>0</v>
      </c>
      <c r="N96" s="21">
        <v>10</v>
      </c>
      <c r="O96" s="21">
        <v>13</v>
      </c>
    </row>
    <row r="97" spans="2:15" x14ac:dyDescent="0.3">
      <c r="B97" s="21" t="str">
        <v>Amjad 7up</v>
      </c>
      <c r="C97" s="22">
        <f>_xlfn.XLOOKUP($B62,[1]Billing!$Q$5:$Q$29,[1]Billing!$R$5:$R$29)</f>
        <v>52914</v>
      </c>
      <c r="D97" s="22">
        <f>_xlfn.XLOOKUP($B62,[1]Billing!$Q$5:$Q$29,[1]Billing!$S$5:$S$29)</f>
        <v>48385.149963423559</v>
      </c>
      <c r="E97" s="22">
        <f>_xlfn.XLOOKUP($B62,[1]Billing!$Q$5:$Q$29,[1]Billing!$T$5:$T$29)</f>
        <v>48385.149963423559</v>
      </c>
      <c r="F97" s="22">
        <f>_xlfn.XLOOKUP($B62,[1]Billing!$Q$5:$Q$29,[1]Billing!$U$5:$U$29)</f>
        <v>0</v>
      </c>
      <c r="G97" s="22">
        <f>_xlfn.XLOOKUP($B62,[1]Billing!$Q$5:$Q$29,[1]Billing!$V$5:$V$29)</f>
        <v>483851.49963423557</v>
      </c>
      <c r="H97" s="22">
        <f>_xlfn.XLOOKUP($B62,[1]Billing!$Q$5:$Q$29,[1]Billing!$W$5:$W$29)</f>
        <v>0</v>
      </c>
      <c r="I97" s="22">
        <f>_xlfn.XLOOKUP($B62,[1]Billing!$Q$5:$Q$29,[1]Billing!$X$5:$X$29)</f>
        <v>0</v>
      </c>
      <c r="J97" s="22">
        <f>_xlfn.XLOOKUP($B62,[1]Billing!$Q$5:$Q$29,[1]Billing!$Y$5:$Y$29)</f>
        <v>0</v>
      </c>
      <c r="K97" s="39">
        <f t="shared" si="8"/>
        <v>483851.49963423557</v>
      </c>
      <c r="L97" s="22">
        <f>_xlfn.XLOOKUP($B62,[1]Billing!$Q$5:$Q$29,[1]Billing!$AA$5:$AA$29)</f>
        <v>480000</v>
      </c>
      <c r="M97" s="37">
        <f t="shared" si="9"/>
        <v>3851.4996342355735</v>
      </c>
      <c r="N97" s="21">
        <v>10</v>
      </c>
      <c r="O97" s="21">
        <v>13</v>
      </c>
    </row>
    <row r="98" spans="2:15" x14ac:dyDescent="0.3">
      <c r="B98" s="21" t="str">
        <v>Hazrat Khan</v>
      </c>
      <c r="C98" s="22">
        <f>_xlfn.XLOOKUP($B63,[1]Billing!$Q$5:$Q$29,[1]Billing!$R$5:$R$29)</f>
        <v>9750</v>
      </c>
      <c r="D98" s="22">
        <f>_xlfn.XLOOKUP($B63,[1]Billing!$Q$5:$Q$29,[1]Billing!$S$5:$S$29)</f>
        <v>8915.5084125822978</v>
      </c>
      <c r="E98" s="22">
        <f>_xlfn.XLOOKUP($B63,[1]Billing!$Q$5:$Q$29,[1]Billing!$T$5:$T$29)</f>
        <v>8915.5084125822978</v>
      </c>
      <c r="F98" s="22">
        <f>_xlfn.XLOOKUP($B63,[1]Billing!$Q$5:$Q$29,[1]Billing!$U$5:$U$29)</f>
        <v>0</v>
      </c>
      <c r="G98" s="22">
        <f>_xlfn.XLOOKUP($B63,[1]Billing!$Q$5:$Q$29,[1]Billing!$V$5:$V$29)</f>
        <v>89155.084125822978</v>
      </c>
      <c r="H98" s="22">
        <f>_xlfn.XLOOKUP($B63,[1]Billing!$Q$5:$Q$29,[1]Billing!$W$5:$W$29)</f>
        <v>0</v>
      </c>
      <c r="I98" s="22">
        <f>_xlfn.XLOOKUP($B63,[1]Billing!$Q$5:$Q$29,[1]Billing!$X$5:$X$29)</f>
        <v>0</v>
      </c>
      <c r="J98" s="22">
        <f>_xlfn.XLOOKUP($B63,[1]Billing!$Q$5:$Q$29,[1]Billing!$Y$5:$Y$29)</f>
        <v>0</v>
      </c>
      <c r="K98" s="39">
        <f t="shared" si="8"/>
        <v>89155.084125822978</v>
      </c>
      <c r="L98" s="22">
        <f>_xlfn.XLOOKUP($B63,[1]Billing!$Q$5:$Q$29,[1]Billing!$AA$5:$AA$29)</f>
        <v>95000</v>
      </c>
      <c r="M98" s="37">
        <f t="shared" si="9"/>
        <v>-5844.9158741770225</v>
      </c>
      <c r="N98" s="21">
        <v>10</v>
      </c>
      <c r="O98" s="21">
        <v>13</v>
      </c>
    </row>
    <row r="99" spans="2:15" x14ac:dyDescent="0.3">
      <c r="B99" s="21" t="str">
        <v>Haseeb Shamsi</v>
      </c>
      <c r="C99" s="22">
        <f>_xlfn.XLOOKUP($B64,[1]Billing!$Q$5:$Q$29,[1]Billing!$R$5:$R$29)</f>
        <v>61975</v>
      </c>
      <c r="D99" s="22">
        <f>_xlfn.XLOOKUP($B64,[1]Billing!$Q$5:$Q$29,[1]Billing!$S$5:$S$29)</f>
        <v>56670.629114850046</v>
      </c>
      <c r="E99" s="22">
        <f>_xlfn.XLOOKUP($B64,[1]Billing!$Q$5:$Q$29,[1]Billing!$T$5:$T$29)</f>
        <v>47437.820043891741</v>
      </c>
      <c r="F99" s="22">
        <f>_xlfn.XLOOKUP($B64,[1]Billing!$Q$5:$Q$29,[1]Billing!$U$5:$U$29)</f>
        <v>9232.809070958303</v>
      </c>
      <c r="G99" s="22">
        <f>_xlfn.XLOOKUP($B64,[1]Billing!$Q$5:$Q$29,[1]Billing!$V$5:$V$29)</f>
        <v>474378.20043891744</v>
      </c>
      <c r="H99" s="22">
        <f>_xlfn.XLOOKUP($B64,[1]Billing!$Q$5:$Q$29,[1]Billing!$W$5:$W$29)</f>
        <v>120026.51792245793</v>
      </c>
      <c r="I99" s="22">
        <f>_xlfn.XLOOKUP($B64,[1]Billing!$Q$5:$Q$29,[1]Billing!$X$5:$X$29)</f>
        <v>0</v>
      </c>
      <c r="J99" s="22">
        <f>_xlfn.XLOOKUP($B64,[1]Billing!$Q$5:$Q$29,[1]Billing!$Y$5:$Y$29)</f>
        <v>0</v>
      </c>
      <c r="K99" s="39">
        <f t="shared" si="8"/>
        <v>594404.71836137539</v>
      </c>
      <c r="L99" s="22">
        <f>_xlfn.XLOOKUP($B64,[1]Billing!$Q$5:$Q$29,[1]Billing!$AA$5:$AA$29)</f>
        <v>474200</v>
      </c>
      <c r="M99" s="37">
        <f t="shared" si="9"/>
        <v>120204.71836137539</v>
      </c>
      <c r="N99" s="21">
        <v>10</v>
      </c>
      <c r="O99" s="21">
        <v>13</v>
      </c>
    </row>
    <row r="100" spans="2:15" x14ac:dyDescent="0.3">
      <c r="B100" t="str">
        <v>Faizan</v>
      </c>
      <c r="C100" s="22">
        <f>_xlfn.XLOOKUP($B65,[1]Billing!$Q$5:$Q$29,[1]Billing!$R$5:$R$29)</f>
        <v>222185</v>
      </c>
      <c r="D100" s="22">
        <f>_xlfn.XLOOKUP($B65,[1]Billing!$Q$5:$Q$29,[1]Billing!$S$5:$S$29)</f>
        <v>203168.43452816387</v>
      </c>
      <c r="E100" s="22">
        <f>_xlfn.XLOOKUP($B65,[1]Billing!$Q$5:$Q$29,[1]Billing!$T$5:$T$29)</f>
        <v>0</v>
      </c>
      <c r="F100" s="22">
        <f>_xlfn.XLOOKUP($B65,[1]Billing!$Q$5:$Q$29,[1]Billing!$U$5:$U$29)</f>
        <v>200198.42721287493</v>
      </c>
      <c r="G100" s="22">
        <f>_xlfn.XLOOKUP($B65,[1]Billing!$Q$5:$Q$29,[1]Billing!$V$5:$V$29)</f>
        <v>0</v>
      </c>
      <c r="H100" s="22">
        <f>_xlfn.XLOOKUP($B65,[1]Billing!$Q$5:$Q$29,[1]Billing!$W$5:$W$29)</f>
        <v>2602579.5537673743</v>
      </c>
      <c r="I100" s="22">
        <f>_xlfn.XLOOKUP($B65,[1]Billing!$Q$5:$Q$29,[1]Billing!$X$5:$X$29)</f>
        <v>44550.109729334312</v>
      </c>
      <c r="J100" s="22">
        <f>_xlfn.XLOOKUP($B65,[1]Billing!$Q$5:$Q$29,[1]Billing!$Y$5:$Y$29)</f>
        <v>0</v>
      </c>
      <c r="K100" s="39">
        <f t="shared" si="8"/>
        <v>2647129.6634967085</v>
      </c>
      <c r="L100" s="22">
        <f>_xlfn.XLOOKUP($B65,[1]Billing!$Q$5:$Q$29,[1]Billing!$AA$5:$AA$29)</f>
        <v>2915571</v>
      </c>
      <c r="M100" s="37">
        <f t="shared" si="9"/>
        <v>-268441.3365032915</v>
      </c>
      <c r="N100" s="21">
        <v>10</v>
      </c>
      <c r="O100" s="21">
        <v>13</v>
      </c>
    </row>
    <row r="101" spans="2:15" x14ac:dyDescent="0.3">
      <c r="B101" t="str">
        <v>Shafique Ansari</v>
      </c>
      <c r="C101" s="22">
        <f>_xlfn.XLOOKUP($B66,[1]Billing!$Q$5:$Q$29,[1]Billing!$R$5:$R$29)</f>
        <v>82290</v>
      </c>
      <c r="D101" s="22">
        <f>_xlfn.XLOOKUP($B66,[1]Billing!$Q$5:$Q$29,[1]Billing!$S$5:$S$29)</f>
        <v>75246.891002194592</v>
      </c>
      <c r="E101" s="22">
        <f>_xlfn.XLOOKUP($B66,[1]Billing!$Q$5:$Q$29,[1]Billing!$T$5:$T$29)</f>
        <v>64300.475493782011</v>
      </c>
      <c r="F101" s="22">
        <f>_xlfn.XLOOKUP($B66,[1]Billing!$Q$5:$Q$29,[1]Billing!$U$5:$U$29)</f>
        <v>7565.8376005852242</v>
      </c>
      <c r="G101" s="22">
        <f>_xlfn.XLOOKUP($B66,[1]Billing!$Q$5:$Q$29,[1]Billing!$V$5:$V$29)</f>
        <v>643004.75493782014</v>
      </c>
      <c r="H101" s="22">
        <f>_xlfn.XLOOKUP($B66,[1]Billing!$Q$5:$Q$29,[1]Billing!$W$5:$W$29)</f>
        <v>98355.888807607917</v>
      </c>
      <c r="I101" s="22">
        <f>_xlfn.XLOOKUP($B66,[1]Billing!$Q$5:$Q$29,[1]Billing!$X$5:$X$29)</f>
        <v>0</v>
      </c>
      <c r="J101" s="22">
        <f>_xlfn.XLOOKUP($B66,[1]Billing!$Q$5:$Q$29,[1]Billing!$Y$5:$Y$29)</f>
        <v>94656.181419166067</v>
      </c>
      <c r="K101" s="39">
        <f t="shared" si="8"/>
        <v>836016.82516459411</v>
      </c>
      <c r="L101" s="22">
        <f>_xlfn.XLOOKUP($B66,[1]Billing!$Q$5:$Q$29,[1]Billing!$AA$5:$AA$29)</f>
        <v>835660</v>
      </c>
      <c r="M101" s="37">
        <f t="shared" si="9"/>
        <v>356.82516459410544</v>
      </c>
      <c r="N101" s="21">
        <v>10</v>
      </c>
      <c r="O101" s="21">
        <v>13</v>
      </c>
    </row>
    <row r="102" spans="2:15" x14ac:dyDescent="0.3">
      <c r="B102" t="str">
        <v>Amjad sohail</v>
      </c>
      <c r="C102" s="22">
        <f>_xlfn.XLOOKUP($B67,[1]Billing!$Q$5:$Q$29,[1]Billing!$R$5:$R$29)</f>
        <v>108349</v>
      </c>
      <c r="D102" s="22">
        <f>_xlfn.XLOOKUP($B67,[1]Billing!$Q$5:$Q$29,[1]Billing!$S$5:$S$29)</f>
        <v>99075.530358449163</v>
      </c>
      <c r="E102" s="22">
        <f>_xlfn.XLOOKUP($B67,[1]Billing!$Q$5:$Q$29,[1]Billing!$T$5:$T$29)</f>
        <v>55241.40453547916</v>
      </c>
      <c r="F102" s="22">
        <f>_xlfn.XLOOKUP($B67,[1]Billing!$Q$5:$Q$29,[1]Billing!$U$5:$U$29)</f>
        <v>43834.125822970011</v>
      </c>
      <c r="G102" s="22">
        <f>_xlfn.XLOOKUP($B67,[1]Billing!$Q$5:$Q$29,[1]Billing!$V$5:$V$29)</f>
        <v>552414.04535479157</v>
      </c>
      <c r="H102" s="22">
        <f>_xlfn.XLOOKUP($B67,[1]Billing!$Q$5:$Q$29,[1]Billing!$W$5:$W$29)</f>
        <v>569843.63569861022</v>
      </c>
      <c r="I102" s="22">
        <f>_xlfn.XLOOKUP($B67,[1]Billing!$Q$5:$Q$29,[1]Billing!$X$5:$X$29)</f>
        <v>0</v>
      </c>
      <c r="J102" s="22">
        <f>_xlfn.XLOOKUP($B67,[1]Billing!$Q$5:$Q$29,[1]Billing!$Y$5:$Y$29)</f>
        <v>0</v>
      </c>
      <c r="K102" s="39">
        <f t="shared" si="8"/>
        <v>1122257.6810534019</v>
      </c>
      <c r="L102" s="22">
        <f>_xlfn.XLOOKUP($B67,[1]Billing!$Q$5:$Q$29,[1]Billing!$AA$5:$AA$29)</f>
        <v>800000</v>
      </c>
      <c r="M102" s="37">
        <f t="shared" si="9"/>
        <v>322257.6810534019</v>
      </c>
      <c r="N102" s="21">
        <v>10</v>
      </c>
      <c r="O102" s="21">
        <v>13</v>
      </c>
    </row>
    <row r="103" spans="2:15" x14ac:dyDescent="0.3">
      <c r="B103" t="str">
        <v>Salman Zaffar</v>
      </c>
      <c r="C103" s="22">
        <f>_xlfn.XLOOKUP($B68,[1]Billing!$Q$5:$Q$29,[1]Billing!$R$5:$R$29)</f>
        <v>0</v>
      </c>
      <c r="D103" s="22">
        <f>_xlfn.XLOOKUP($B68,[1]Billing!$Q$5:$Q$29,[1]Billing!$S$5:$S$29)</f>
        <v>0</v>
      </c>
      <c r="E103" s="22">
        <f>_xlfn.XLOOKUP($B68,[1]Billing!$Q$5:$Q$29,[1]Billing!$T$5:$T$29)</f>
        <v>0</v>
      </c>
      <c r="F103" s="22">
        <f>_xlfn.XLOOKUP($B68,[1]Billing!$Q$5:$Q$29,[1]Billing!$U$5:$U$29)</f>
        <v>0</v>
      </c>
      <c r="G103" s="22">
        <f>_xlfn.XLOOKUP($B68,[1]Billing!$Q$5:$Q$29,[1]Billing!$V$5:$V$29)</f>
        <v>0</v>
      </c>
      <c r="H103" s="22">
        <f>_xlfn.XLOOKUP($B68,[1]Billing!$Q$5:$Q$29,[1]Billing!$W$5:$W$29)</f>
        <v>0</v>
      </c>
      <c r="I103" s="22">
        <f>_xlfn.XLOOKUP($B68,[1]Billing!$Q$5:$Q$29,[1]Billing!$X$5:$X$29)</f>
        <v>0</v>
      </c>
      <c r="J103" s="22">
        <f>_xlfn.XLOOKUP($B68,[1]Billing!$Q$5:$Q$29,[1]Billing!$Y$5:$Y$29)</f>
        <v>0</v>
      </c>
      <c r="K103" s="39">
        <f t="shared" si="8"/>
        <v>0</v>
      </c>
      <c r="L103" s="22">
        <f>_xlfn.XLOOKUP($B68,[1]Billing!$Q$5:$Q$29,[1]Billing!$AA$5:$AA$29)</f>
        <v>0</v>
      </c>
      <c r="M103" s="37">
        <f t="shared" si="9"/>
        <v>0</v>
      </c>
      <c r="N103" s="21">
        <v>10</v>
      </c>
      <c r="O103" s="21">
        <v>13</v>
      </c>
    </row>
    <row r="104" spans="2:15" x14ac:dyDescent="0.3">
      <c r="B104" t="str">
        <v>Shahid Qasayi</v>
      </c>
      <c r="C104" s="22" t="e">
        <f>_xlfn.XLOOKUP($B69,[1]Billing!$Q$5:$Q$29,[1]Billing!$R$5:$R$29)</f>
        <v>#N/A</v>
      </c>
    </row>
    <row r="105" spans="2:15" x14ac:dyDescent="0.3">
      <c r="B105" t="str">
        <v>Hameed corporation</v>
      </c>
    </row>
    <row r="106" spans="2:15" x14ac:dyDescent="0.3">
      <c r="B106" t="str">
        <v>ibraheem behraam</v>
      </c>
    </row>
    <row r="107" spans="2:15" x14ac:dyDescent="0.3">
      <c r="B107" t="str">
        <v>Zia-ullah karachi</v>
      </c>
    </row>
  </sheetData>
  <phoneticPr fontId="4" type="noConversion"/>
  <pageMargins left="0.7" right="0.7" top="0.75" bottom="0.75" header="0.3" footer="0.3"/>
  <pageSetup paperSize="121" orientation="landscape"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53AD-D664-44CF-A1E1-2DB6CE627410}">
  <dimension ref="B4:J27"/>
  <sheetViews>
    <sheetView topLeftCell="A4" zoomScale="105" workbookViewId="0">
      <selection activeCell="B7" sqref="B7"/>
    </sheetView>
  </sheetViews>
  <sheetFormatPr defaultRowHeight="14.4" x14ac:dyDescent="0.3"/>
  <cols>
    <col min="2" max="2" width="23.109375" customWidth="1"/>
    <col min="3" max="3" width="14.6640625" customWidth="1"/>
    <col min="4" max="4" width="16.6640625" bestFit="1" customWidth="1"/>
    <col min="5" max="5" width="20.33203125" customWidth="1"/>
    <col min="9" max="9" width="11.6640625" customWidth="1"/>
    <col min="10" max="10" width="12.88671875" customWidth="1"/>
  </cols>
  <sheetData>
    <row r="4" spans="2:10" ht="15.6" x14ac:dyDescent="0.3">
      <c r="C4" s="62"/>
      <c r="D4" s="62"/>
      <c r="I4" t="s">
        <v>34</v>
      </c>
      <c r="J4" t="str" cm="1">
        <f t="array" ref="J4:J27">_xlfn.UNIQUE(Table1[Party Name])</f>
        <v>BSC</v>
      </c>
    </row>
    <row r="5" spans="2:10" x14ac:dyDescent="0.3">
      <c r="J5" t="str">
        <v>Ejaz Sahab</v>
      </c>
    </row>
    <row r="6" spans="2:10" ht="21" x14ac:dyDescent="0.4">
      <c r="B6" s="64" t="s">
        <v>196</v>
      </c>
      <c r="J6" t="str">
        <v>Arshad</v>
      </c>
    </row>
    <row r="7" spans="2:10" ht="15.6" x14ac:dyDescent="0.3">
      <c r="B7" s="62" t="s">
        <v>36</v>
      </c>
      <c r="C7" s="62" t="s">
        <v>4</v>
      </c>
      <c r="D7" s="62" t="s">
        <v>151</v>
      </c>
      <c r="E7" s="62" t="s">
        <v>152</v>
      </c>
      <c r="J7" t="str">
        <v>Shehzad Kamoki</v>
      </c>
    </row>
    <row r="8" spans="2:10" ht="18" x14ac:dyDescent="0.35">
      <c r="B8" s="55" t="s">
        <v>37</v>
      </c>
      <c r="C8" s="66"/>
      <c r="D8" s="68" cm="1">
        <f t="array" ref="D8">_xlfn.XLOOKUP($B$6,_xlfn.ANCHORARRAY( Billing!Q5), INDEX(Billing!R5:R25, _xlfn.SEQUENCE(ROWS(_xlfn.ANCHORARRAY(Billing!$Q$5)))), "Not Found")</f>
        <v>55541</v>
      </c>
      <c r="E8" s="66"/>
      <c r="J8" t="str">
        <v>Sufi Nawaz Sahab</v>
      </c>
    </row>
    <row r="9" spans="2:10" ht="18" x14ac:dyDescent="0.35">
      <c r="B9" s="55"/>
      <c r="C9" s="66"/>
      <c r="D9" s="66"/>
      <c r="E9" s="66"/>
      <c r="J9" t="str">
        <v>Sajad Khan</v>
      </c>
    </row>
    <row r="10" spans="2:10" ht="18" x14ac:dyDescent="0.35">
      <c r="B10" s="55" t="s">
        <v>38</v>
      </c>
      <c r="C10" s="66"/>
      <c r="D10" s="68" cm="1">
        <f t="array" ref="D10">_xlfn.XLOOKUP($B$6,_xlfn.ANCHORARRAY( Billing!$Q$5), INDEX(Billing!S5:S25, _xlfn.SEQUENCE(ROWS(_xlfn.ANCHORARRAY(Billing!$Q$5)))), "Not Found")</f>
        <v>50787.307973664967</v>
      </c>
      <c r="E10" s="66"/>
      <c r="J10" t="str">
        <v>Raaz Fabrics</v>
      </c>
    </row>
    <row r="11" spans="2:10" ht="18.600000000000001" thickBot="1" x14ac:dyDescent="0.4">
      <c r="B11" s="55"/>
      <c r="C11" s="66"/>
      <c r="D11" s="66"/>
      <c r="E11" s="66"/>
      <c r="J11" t="str">
        <v>Azam</v>
      </c>
    </row>
    <row r="12" spans="2:10" ht="18.600000000000001" thickBot="1" x14ac:dyDescent="0.4">
      <c r="B12" s="55" t="s">
        <v>39</v>
      </c>
      <c r="C12" s="66" cm="1">
        <f t="array" aca="1" ref="C12" ca="1">_xlfn.XLOOKUP($B$6,_xlfn.ANCHORARRAY( Billing!$B$49), OFFSET(Billing!N49, 0, 0, ROWS(_xlfn.ANCHORARRAY(Billing!$B$49))), "Not Found")</f>
        <v>10</v>
      </c>
      <c r="D12" s="66" cm="1">
        <f t="array" ref="D12">_xlfn.XLOOKUP($B$6,_xlfn.ANCHORARRAY( Billing!$Q$5), INDEX(Billing!T5:T25, _xlfn.SEQUENCE(ROWS(_xlfn.ANCHORARRAY(Billing!$Q$5)))), "Not Found")</f>
        <v>14355.340160936359</v>
      </c>
      <c r="E12" s="92">
        <f ca="1">Table21[[#This Row],[gazana]]*Table21[[#This Row],[Rate]]</f>
        <v>143553.40160936359</v>
      </c>
      <c r="J12" t="str">
        <v>Ubaidullah</v>
      </c>
    </row>
    <row r="13" spans="2:10" ht="18" x14ac:dyDescent="0.35">
      <c r="B13" s="65"/>
      <c r="C13" s="67"/>
      <c r="D13" s="67"/>
      <c r="E13" s="66"/>
      <c r="J13" t="str">
        <v>Ashraf Zia</v>
      </c>
    </row>
    <row r="14" spans="2:10" ht="18" x14ac:dyDescent="0.35">
      <c r="B14" s="55" t="s">
        <v>40</v>
      </c>
      <c r="C14" s="66" cm="1">
        <f t="array" aca="1" ref="C14" ca="1">_xlfn.XLOOKUP($B$6,_xlfn.ANCHORARRAY( Billing!$B$49), OFFSET(Billing!O49, 0, 0, ROWS(_xlfn.ANCHORARRAY(Billing!$B$49))), "Not Found")</f>
        <v>12</v>
      </c>
      <c r="D14" s="66" cm="1">
        <f t="array" ref="D14">_xlfn.XLOOKUP($B$6,_xlfn.ANCHORARRAY( Billing!$Q$5), INDEX(Billing!U5:U25, _xlfn.SEQUENCE(ROWS(_xlfn.ANCHORARRAY(Billing!$Q$5)))), "Not Found")</f>
        <v>31409.107534747625</v>
      </c>
      <c r="E14" s="66">
        <f ca="1">Table21[[#This Row],[gazana]]*Table21[[#This Row],[Rate]]</f>
        <v>376909.29041697149</v>
      </c>
      <c r="J14" t="str">
        <v>Hafiz Qureshi</v>
      </c>
    </row>
    <row r="15" spans="2:10" ht="18.600000000000001" thickBot="1" x14ac:dyDescent="0.4">
      <c r="B15" s="65"/>
      <c r="C15" s="67"/>
      <c r="D15" s="67"/>
      <c r="E15" s="66"/>
      <c r="J15" t="str">
        <v>Badshah Fabrics</v>
      </c>
    </row>
    <row r="16" spans="2:10" ht="18.600000000000001" thickBot="1" x14ac:dyDescent="0.4">
      <c r="B16" s="55" t="s">
        <v>41</v>
      </c>
      <c r="C16" s="66"/>
      <c r="D16" s="91"/>
      <c r="E16" s="93">
        <f ca="1">E12+E14</f>
        <v>520462.69202633505</v>
      </c>
      <c r="J16" t="str">
        <v>Reject</v>
      </c>
    </row>
    <row r="17" spans="2:10" ht="18.600000000000001" thickBot="1" x14ac:dyDescent="0.4">
      <c r="B17" s="65"/>
      <c r="C17" s="67"/>
      <c r="D17" s="69"/>
      <c r="E17" s="66"/>
      <c r="J17" t="str">
        <v>Amjad 7up</v>
      </c>
    </row>
    <row r="18" spans="2:10" ht="18.600000000000001" thickBot="1" x14ac:dyDescent="0.4">
      <c r="B18" s="55" t="s">
        <v>42</v>
      </c>
      <c r="C18" s="66"/>
      <c r="D18" s="91"/>
      <c r="E18" s="93" cm="1">
        <f t="array" aca="1" ref="E18" ca="1">_xlfn.XLOOKUP($B$6,_xlfn.ANCHORARRAY( Billing!Q5), OFFSET(Billing!AC5, 0, 0, ROWS(_xlfn.ANCHORARRAY(Billing!Q5))), "Not Found")</f>
        <v>0</v>
      </c>
      <c r="J18" t="str">
        <v>Hazrat Khan</v>
      </c>
    </row>
    <row r="19" spans="2:10" ht="18.600000000000001" thickBot="1" x14ac:dyDescent="0.4">
      <c r="B19" s="55"/>
      <c r="C19" s="66"/>
      <c r="D19" s="68"/>
      <c r="E19" s="66"/>
      <c r="J19" t="str">
        <v>Haseeb Shamsi</v>
      </c>
    </row>
    <row r="20" spans="2:10" ht="18.600000000000001" thickBot="1" x14ac:dyDescent="0.4">
      <c r="B20" s="55" t="s">
        <v>43</v>
      </c>
      <c r="C20" s="66"/>
      <c r="D20" s="91"/>
      <c r="E20" s="103" cm="1">
        <f t="array" aca="1" ref="E20" ca="1">_xlfn.XLOOKUP($B$6,_xlfn.ANCHORARRAY( Billing!Q5), OFFSET(Billing!AD5, 0, 0, ROWS(_xlfn.ANCHORARRAY(Billing!Q5))), "Not Found")</f>
        <v>612146.12289685453</v>
      </c>
      <c r="J20" t="str">
        <v>Faizan</v>
      </c>
    </row>
    <row r="21" spans="2:10" x14ac:dyDescent="0.3">
      <c r="J21" t="str">
        <v>Shafique Ansari</v>
      </c>
    </row>
    <row r="22" spans="2:10" x14ac:dyDescent="0.3">
      <c r="J22" t="str">
        <v>Amjad sohail</v>
      </c>
    </row>
    <row r="23" spans="2:10" x14ac:dyDescent="0.3">
      <c r="J23" t="str">
        <v>Salman Zaffar</v>
      </c>
    </row>
    <row r="24" spans="2:10" x14ac:dyDescent="0.3">
      <c r="J24" t="str">
        <v>Shahid Qasayi</v>
      </c>
    </row>
    <row r="25" spans="2:10" x14ac:dyDescent="0.3">
      <c r="J25" t="str">
        <v>Hameed corporation</v>
      </c>
    </row>
    <row r="26" spans="2:10" x14ac:dyDescent="0.3">
      <c r="J26" t="str">
        <v>ibraheem behraam</v>
      </c>
    </row>
    <row r="27" spans="2:10" x14ac:dyDescent="0.3">
      <c r="J27" t="str">
        <v>Zia-ullah karachi</v>
      </c>
    </row>
  </sheetData>
  <conditionalFormatting sqref="E20">
    <cfRule type="cellIs" dxfId="8" priority="1" operator="lessThan">
      <formula>20000</formula>
    </cfRule>
    <cfRule type="cellIs" dxfId="7" priority="2" operator="greaterThan">
      <formula>20000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67F4A-599E-4FA7-83B0-FA30D9237F09}">
  <dimension ref="A1:D22"/>
  <sheetViews>
    <sheetView zoomScale="150" workbookViewId="0">
      <selection activeCell="C10" sqref="C10"/>
    </sheetView>
  </sheetViews>
  <sheetFormatPr defaultRowHeight="14.4" x14ac:dyDescent="0.3"/>
  <cols>
    <col min="2" max="2" width="12.5546875" customWidth="1"/>
    <col min="3" max="3" width="14.5546875" customWidth="1"/>
    <col min="4" max="4" width="28.6640625" customWidth="1"/>
    <col min="5" max="5" width="23.21875" customWidth="1"/>
    <col min="7" max="7" width="14.6640625" bestFit="1" customWidth="1"/>
    <col min="8" max="8" width="12.33203125" bestFit="1" customWidth="1"/>
    <col min="9" max="9" width="13.5546875" bestFit="1" customWidth="1"/>
    <col min="10" max="11" width="7.88671875" bestFit="1" customWidth="1"/>
    <col min="12" max="12" width="1.6640625" bestFit="1" customWidth="1"/>
    <col min="13" max="13" width="10.33203125" bestFit="1" customWidth="1"/>
    <col min="14" max="14" width="5.6640625" bestFit="1" customWidth="1"/>
    <col min="15" max="15" width="10.33203125" bestFit="1" customWidth="1"/>
    <col min="16" max="16" width="5" bestFit="1" customWidth="1"/>
    <col min="17" max="19" width="6" bestFit="1" customWidth="1"/>
    <col min="20" max="21" width="7" bestFit="1" customWidth="1"/>
    <col min="22" max="22" width="1.6640625" bestFit="1" customWidth="1"/>
    <col min="23" max="23" width="10.33203125" bestFit="1" customWidth="1"/>
  </cols>
  <sheetData>
    <row r="1" spans="1:4" ht="25.8" x14ac:dyDescent="0.5">
      <c r="A1" s="6"/>
      <c r="B1" s="7" t="s">
        <v>44</v>
      </c>
    </row>
    <row r="3" spans="1:4" x14ac:dyDescent="0.3">
      <c r="B3" t="s">
        <v>45</v>
      </c>
      <c r="C3" t="s">
        <v>46</v>
      </c>
      <c r="D3" t="s">
        <v>36</v>
      </c>
    </row>
    <row r="4" spans="1:4" x14ac:dyDescent="0.3">
      <c r="B4" t="s">
        <v>47</v>
      </c>
      <c r="C4" s="11">
        <f>Wood!K6+(700*810)</f>
        <v>5967000</v>
      </c>
      <c r="D4" t="s">
        <v>219</v>
      </c>
    </row>
    <row r="5" spans="1:4" x14ac:dyDescent="0.3">
      <c r="B5" t="s">
        <v>48</v>
      </c>
      <c r="C5" s="11">
        <f>SUM(Table8[Price])+Table2325[[#Totals],[total]]</f>
        <v>1573020</v>
      </c>
    </row>
    <row r="6" spans="1:4" x14ac:dyDescent="0.3">
      <c r="B6" t="s">
        <v>49</v>
      </c>
      <c r="C6" s="11">
        <f>SUM(Table2[Price])+Finish!J30</f>
        <v>852000</v>
      </c>
      <c r="D6" t="s">
        <v>218</v>
      </c>
    </row>
    <row r="7" spans="1:4" x14ac:dyDescent="0.3">
      <c r="B7" t="s">
        <v>50</v>
      </c>
      <c r="C7" s="11">
        <f>SUMIFS(Table14[Debit], Table14[Party],Table12[[#This Row],[Type]])</f>
        <v>29620</v>
      </c>
    </row>
    <row r="8" spans="1:4" x14ac:dyDescent="0.3">
      <c r="B8" t="s">
        <v>51</v>
      </c>
      <c r="C8" s="11">
        <f>Electricity!E3</f>
        <v>0</v>
      </c>
    </row>
    <row r="9" spans="1:4" x14ac:dyDescent="0.3">
      <c r="B9" t="s">
        <v>52</v>
      </c>
      <c r="C9" s="11">
        <f>SUMIFS(Table14[Debit], Table14[Party],Table12[[#This Row],[Type]])+SUMIFS(Table14[Debit], Table14[Party],"Advance Salary")</f>
        <v>812350</v>
      </c>
    </row>
    <row r="10" spans="1:4" x14ac:dyDescent="0.3">
      <c r="B10" t="s">
        <v>53</v>
      </c>
      <c r="C10" s="11">
        <f>Table5[[#Totals],[Amount]]</f>
        <v>125170</v>
      </c>
    </row>
    <row r="11" spans="1:4" x14ac:dyDescent="0.3">
      <c r="B11" t="s">
        <v>54</v>
      </c>
      <c r="C11" s="11">
        <f>Table13[[#Totals],[Debit]]</f>
        <v>160740</v>
      </c>
    </row>
    <row r="12" spans="1:4" x14ac:dyDescent="0.3">
      <c r="B12" t="s">
        <v>55</v>
      </c>
      <c r="C12" s="11">
        <f>Table15[[#Totals],[Amount]]</f>
        <v>326064</v>
      </c>
    </row>
    <row r="13" spans="1:4" x14ac:dyDescent="0.3">
      <c r="C13" s="11"/>
    </row>
    <row r="14" spans="1:4" x14ac:dyDescent="0.3">
      <c r="C14" s="14">
        <f>SUM(Table12[Amount])</f>
        <v>9845964</v>
      </c>
    </row>
    <row r="17" spans="2:4" x14ac:dyDescent="0.3">
      <c r="B17" t="s">
        <v>56</v>
      </c>
    </row>
    <row r="18" spans="2:4" x14ac:dyDescent="0.3">
      <c r="B18" t="s">
        <v>57</v>
      </c>
      <c r="C18" t="s">
        <v>58</v>
      </c>
      <c r="D18" t="s">
        <v>59</v>
      </c>
    </row>
    <row r="19" spans="2:4" x14ac:dyDescent="0.3">
      <c r="B19" t="s">
        <v>47</v>
      </c>
      <c r="C19">
        <f>388+236+100+288</f>
        <v>1012</v>
      </c>
      <c r="D19" t="s">
        <v>60</v>
      </c>
    </row>
    <row r="20" spans="2:4" x14ac:dyDescent="0.3">
      <c r="B20" t="s">
        <v>61</v>
      </c>
      <c r="C20">
        <v>100</v>
      </c>
      <c r="D20" t="s">
        <v>62</v>
      </c>
    </row>
    <row r="21" spans="2:4" x14ac:dyDescent="0.3">
      <c r="B21" t="s">
        <v>63</v>
      </c>
      <c r="C21">
        <v>75</v>
      </c>
      <c r="D21" t="s">
        <v>62</v>
      </c>
    </row>
    <row r="22" spans="2:4" x14ac:dyDescent="0.3">
      <c r="B22" t="s">
        <v>64</v>
      </c>
      <c r="C22" t="s">
        <v>65</v>
      </c>
    </row>
  </sheetData>
  <phoneticPr fontId="4" type="noConversion"/>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19B88-176D-4283-9F20-7A53851A72BB}">
  <dimension ref="A2:F21"/>
  <sheetViews>
    <sheetView zoomScale="111" workbookViewId="0">
      <selection activeCell="C3" sqref="C3"/>
    </sheetView>
  </sheetViews>
  <sheetFormatPr defaultRowHeight="14.4" x14ac:dyDescent="0.3"/>
  <cols>
    <col min="2" max="2" width="11.6640625" customWidth="1"/>
    <col min="3" max="3" width="13" bestFit="1" customWidth="1"/>
    <col min="6" max="6" width="11.109375" customWidth="1"/>
    <col min="8" max="8" width="10.33203125" bestFit="1" customWidth="1"/>
  </cols>
  <sheetData>
    <row r="2" spans="1:3" x14ac:dyDescent="0.3">
      <c r="B2" s="11" t="s">
        <v>66</v>
      </c>
      <c r="C2" s="11" t="s">
        <v>67</v>
      </c>
    </row>
    <row r="3" spans="1:3" x14ac:dyDescent="0.3">
      <c r="B3" s="11" t="s">
        <v>0</v>
      </c>
      <c r="C3" s="11">
        <f>Billing!C23 + SUMIFS(Table14[Credit], Table14[Party], "Transport")</f>
        <v>17900752.560351137</v>
      </c>
    </row>
    <row r="4" spans="1:3" x14ac:dyDescent="0.3">
      <c r="B4" s="11" t="s">
        <v>44</v>
      </c>
      <c r="C4" s="11">
        <f>Table12[[#Totals],[Amount]]</f>
        <v>9845964</v>
      </c>
    </row>
    <row r="5" spans="1:3" x14ac:dyDescent="0.3">
      <c r="A5" s="6"/>
      <c r="B5" s="15" t="s">
        <v>68</v>
      </c>
      <c r="C5" s="15">
        <f>C3-C4</f>
        <v>8054788.5603511371</v>
      </c>
    </row>
    <row r="10" spans="1:3" ht="15" thickBot="1" x14ac:dyDescent="0.35">
      <c r="B10" t="s">
        <v>66</v>
      </c>
      <c r="C10" s="14" t="s">
        <v>67</v>
      </c>
    </row>
    <row r="11" spans="1:3" x14ac:dyDescent="0.3">
      <c r="B11" s="56" t="s">
        <v>0</v>
      </c>
      <c r="C11" s="57">
        <f>C3</f>
        <v>17900752.560351137</v>
      </c>
    </row>
    <row r="12" spans="1:3" x14ac:dyDescent="0.3">
      <c r="B12" s="58" t="s">
        <v>69</v>
      </c>
      <c r="C12" s="59">
        <f>SUM(Table14[Credit])</f>
        <v>15834740</v>
      </c>
    </row>
    <row r="13" spans="1:3" ht="15" thickBot="1" x14ac:dyDescent="0.35">
      <c r="B13" s="74" t="s">
        <v>94</v>
      </c>
      <c r="C13" s="73">
        <f>(C11-C12)</f>
        <v>2066012.5603511371</v>
      </c>
    </row>
    <row r="14" spans="1:3" ht="15" thickBot="1" x14ac:dyDescent="0.35">
      <c r="B14" s="58"/>
      <c r="C14" s="59"/>
    </row>
    <row r="15" spans="1:3" x14ac:dyDescent="0.3">
      <c r="B15" s="56" t="s">
        <v>44</v>
      </c>
      <c r="C15" s="57">
        <f>C4</f>
        <v>9845964</v>
      </c>
    </row>
    <row r="16" spans="1:3" x14ac:dyDescent="0.3">
      <c r="B16" s="58" t="s">
        <v>70</v>
      </c>
      <c r="C16" s="59">
        <f>SUM(Table14[Debit])</f>
        <v>15806023</v>
      </c>
    </row>
    <row r="17" spans="2:6" ht="15" thickBot="1" x14ac:dyDescent="0.35">
      <c r="B17" s="74" t="s">
        <v>71</v>
      </c>
      <c r="C17" s="73">
        <f>C15-C16</f>
        <v>-5960059</v>
      </c>
    </row>
    <row r="18" spans="2:6" ht="15" thickBot="1" x14ac:dyDescent="0.35">
      <c r="B18" s="58"/>
      <c r="C18" s="59"/>
    </row>
    <row r="19" spans="2:6" ht="15" thickBot="1" x14ac:dyDescent="0.35">
      <c r="B19" s="75" t="s">
        <v>72</v>
      </c>
      <c r="C19" s="76">
        <f>Table18[[#Totals],[amount]]</f>
        <v>30367</v>
      </c>
    </row>
    <row r="20" spans="2:6" ht="15" thickBot="1" x14ac:dyDescent="0.35">
      <c r="B20" s="71"/>
      <c r="C20" s="72"/>
    </row>
    <row r="21" spans="2:6" ht="15" thickBot="1" x14ac:dyDescent="0.35">
      <c r="B21" s="60" t="s">
        <v>73</v>
      </c>
      <c r="C21" s="61">
        <f>(C13-C17)+C19</f>
        <v>8056438.5603511371</v>
      </c>
      <c r="E21" s="79" t="s">
        <v>74</v>
      </c>
      <c r="F21" s="80">
        <f>C5*0.05</f>
        <v>402739.4280175569</v>
      </c>
    </row>
  </sheetData>
  <phoneticPr fontId="4" type="noConversion"/>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CE7E-0ED4-4A4C-A825-11433EC34268}">
  <dimension ref="B2:F38"/>
  <sheetViews>
    <sheetView topLeftCell="A16" workbookViewId="0">
      <selection activeCell="H12" sqref="H12"/>
    </sheetView>
  </sheetViews>
  <sheetFormatPr defaultRowHeight="14.4" x14ac:dyDescent="0.3"/>
  <cols>
    <col min="2" max="2" width="10.33203125" bestFit="1" customWidth="1"/>
    <col min="4" max="4" width="9.33203125" customWidth="1"/>
  </cols>
  <sheetData>
    <row r="2" spans="2:6" x14ac:dyDescent="0.3">
      <c r="B2" t="s">
        <v>75</v>
      </c>
      <c r="C2" t="s">
        <v>45</v>
      </c>
      <c r="D2" t="s">
        <v>70</v>
      </c>
      <c r="E2" t="s">
        <v>69</v>
      </c>
      <c r="F2" t="s">
        <v>76</v>
      </c>
    </row>
    <row r="3" spans="2:6" x14ac:dyDescent="0.3">
      <c r="B3" s="1">
        <v>45976</v>
      </c>
      <c r="D3">
        <f>SUMIFS(Table14[Debit], Table14[Date], Table13[[#This Row],[Date]], Table14[Party], "Transport")</f>
        <v>0</v>
      </c>
      <c r="E3">
        <f>SUMIFS(Table14[Credit], Table14[Date], Table13[[#This Row],[Date]], Table14[Party], "Transport")</f>
        <v>0</v>
      </c>
    </row>
    <row r="4" spans="2:6" x14ac:dyDescent="0.3">
      <c r="B4" s="1">
        <v>45977</v>
      </c>
      <c r="D4">
        <f>SUMIFS(Table14[Debit], Table14[Date], Table13[[#This Row],[Date]], Table14[Party], "Transport")</f>
        <v>0</v>
      </c>
      <c r="E4">
        <f>SUMIFS(Table14[Credit], Table14[Date], Table13[[#This Row],[Date]], Table14[Party], "Transport")</f>
        <v>0</v>
      </c>
    </row>
    <row r="5" spans="2:6" x14ac:dyDescent="0.3">
      <c r="B5" s="1">
        <v>45978</v>
      </c>
      <c r="D5">
        <f>SUMIFS(Table14[Debit], Table14[Date], Table13[[#This Row],[Date]], Table14[Party], "Transport")</f>
        <v>0</v>
      </c>
      <c r="E5">
        <f>SUMIFS(Table14[Credit], Table14[Date], Table13[[#This Row],[Date]], Table14[Party], "Transport")</f>
        <v>0</v>
      </c>
    </row>
    <row r="6" spans="2:6" x14ac:dyDescent="0.3">
      <c r="B6" s="1">
        <v>45979</v>
      </c>
      <c r="D6">
        <f>SUMIFS(Table14[Debit], Table14[Date], Table13[[#This Row],[Date]], Table14[Party], "Transport")</f>
        <v>0</v>
      </c>
      <c r="E6">
        <f>SUMIFS(Table14[Credit], Table14[Date], Table13[[#This Row],[Date]], Table14[Party], "Transport")</f>
        <v>0</v>
      </c>
    </row>
    <row r="7" spans="2:6" x14ac:dyDescent="0.3">
      <c r="B7" s="1">
        <v>45980</v>
      </c>
      <c r="D7">
        <f>SUMIFS(Table14[Debit], Table14[Date], Table13[[#This Row],[Date]], Table14[Party], "Transport")</f>
        <v>10000</v>
      </c>
      <c r="E7">
        <f>SUMIFS(Table14[Credit], Table14[Date], Table13[[#This Row],[Date]], Table14[Party], "Transport")</f>
        <v>0</v>
      </c>
    </row>
    <row r="8" spans="2:6" x14ac:dyDescent="0.3">
      <c r="B8" s="1">
        <v>45981</v>
      </c>
      <c r="D8">
        <f>SUMIFS(Table14[Debit], Table14[Date], Table13[[#This Row],[Date]], Table14[Party], "Transport")</f>
        <v>500</v>
      </c>
      <c r="E8">
        <f>SUMIFS(Table14[Credit], Table14[Date], Table13[[#This Row],[Date]], Table14[Party], "Transport")</f>
        <v>0</v>
      </c>
    </row>
    <row r="9" spans="2:6" x14ac:dyDescent="0.3">
      <c r="B9" s="1">
        <v>45982</v>
      </c>
      <c r="D9">
        <f>SUMIFS(Table14[Debit], Table14[Date], Table13[[#This Row],[Date]], Table14[Party], "Transport")</f>
        <v>8008</v>
      </c>
      <c r="E9">
        <f>SUMIFS(Table14[Credit], Table14[Date], Table13[[#This Row],[Date]], Table14[Party], "Transport")</f>
        <v>0</v>
      </c>
    </row>
    <row r="10" spans="2:6" x14ac:dyDescent="0.3">
      <c r="B10" s="1">
        <v>45983</v>
      </c>
      <c r="D10">
        <f>SUMIFS(Table14[Debit], Table14[Date], Table13[[#This Row],[Date]], Table14[Party], "Transport")</f>
        <v>16040</v>
      </c>
      <c r="E10">
        <f>SUMIFS(Table14[Credit], Table14[Date], Table13[[#This Row],[Date]], Table14[Party], "Transport")</f>
        <v>0</v>
      </c>
    </row>
    <row r="11" spans="2:6" x14ac:dyDescent="0.3">
      <c r="B11" s="1">
        <v>45984</v>
      </c>
      <c r="D11">
        <f>SUMIFS(Table14[Debit], Table14[Date], Table13[[#This Row],[Date]], Table14[Party], "Transport")</f>
        <v>0</v>
      </c>
      <c r="E11">
        <f>SUMIFS(Table14[Credit], Table14[Date], Table13[[#This Row],[Date]], Table14[Party], "Transport")</f>
        <v>0</v>
      </c>
    </row>
    <row r="12" spans="2:6" x14ac:dyDescent="0.3">
      <c r="B12" s="1">
        <v>45985</v>
      </c>
      <c r="D12">
        <f>SUMIFS(Table14[Debit], Table14[Date], Table13[[#This Row],[Date]], Table14[Party], "Transport")</f>
        <v>12700</v>
      </c>
      <c r="E12">
        <f>SUMIFS(Table14[Credit], Table14[Date], Table13[[#This Row],[Date]], Table14[Party], "Transport")</f>
        <v>0</v>
      </c>
    </row>
    <row r="13" spans="2:6" x14ac:dyDescent="0.3">
      <c r="B13" s="1">
        <v>45986</v>
      </c>
      <c r="D13">
        <f>SUMIFS(Table14[Debit], Table14[Date], Table13[[#This Row],[Date]], Table14[Party], "Transport")</f>
        <v>10200</v>
      </c>
      <c r="E13">
        <f>SUMIFS(Table14[Credit], Table14[Date], Table13[[#This Row],[Date]], Table14[Party], "Transport")</f>
        <v>0</v>
      </c>
    </row>
    <row r="14" spans="2:6" x14ac:dyDescent="0.3">
      <c r="B14" s="1">
        <v>45987</v>
      </c>
      <c r="D14">
        <f>SUMIFS(Table14[Debit], Table14[Date], Table13[[#This Row],[Date]], Table14[Party], "Transport")</f>
        <v>3500</v>
      </c>
      <c r="E14">
        <f>SUMIFS(Table14[Credit], Table14[Date], Table13[[#This Row],[Date]], Table14[Party], "Transport")</f>
        <v>0</v>
      </c>
    </row>
    <row r="15" spans="2:6" x14ac:dyDescent="0.3">
      <c r="B15" s="1">
        <v>45988</v>
      </c>
      <c r="D15">
        <f>SUMIFS(Table14[Debit], Table14[Date], Table13[[#This Row],[Date]], Table14[Party], "Transport")</f>
        <v>11352</v>
      </c>
      <c r="E15">
        <f>SUMIFS(Table14[Credit], Table14[Date], Table13[[#This Row],[Date]], Table14[Party], "Transport")</f>
        <v>0</v>
      </c>
    </row>
    <row r="16" spans="2:6" x14ac:dyDescent="0.3">
      <c r="B16" s="1">
        <v>45989</v>
      </c>
      <c r="D16">
        <f>SUMIFS(Table14[Debit], Table14[Date], Table13[[#This Row],[Date]], Table14[Party], "Transport")</f>
        <v>5350</v>
      </c>
      <c r="E16">
        <f>SUMIFS(Table14[Credit], Table14[Date], Table13[[#This Row],[Date]], Table14[Party], "Transport")</f>
        <v>0</v>
      </c>
    </row>
    <row r="17" spans="2:5" x14ac:dyDescent="0.3">
      <c r="B17" s="1">
        <v>45990</v>
      </c>
      <c r="D17">
        <f>SUMIFS(Table14[Debit], Table14[Date], Table13[[#This Row],[Date]], Table14[Party], "Transport")</f>
        <v>19100</v>
      </c>
      <c r="E17">
        <f>SUMIFS(Table14[Credit], Table14[Date], Table13[[#This Row],[Date]], Table14[Party], "Transport")</f>
        <v>0</v>
      </c>
    </row>
    <row r="18" spans="2:5" x14ac:dyDescent="0.3">
      <c r="B18" s="1">
        <v>45991</v>
      </c>
      <c r="D18">
        <f>SUMIFS(Table14[Debit], Table14[Date], Table13[[#This Row],[Date]], Table14[Party], "Transport")</f>
        <v>0</v>
      </c>
      <c r="E18">
        <f>SUMIFS(Table14[Credit], Table14[Date], Table13[[#This Row],[Date]], Table14[Party], "Transport")</f>
        <v>0</v>
      </c>
    </row>
    <row r="19" spans="2:5" x14ac:dyDescent="0.3">
      <c r="B19" s="1">
        <v>45992</v>
      </c>
      <c r="D19">
        <f>SUMIFS(Table14[Debit], Table14[Date], Table13[[#This Row],[Date]], Table14[Party], "Transport")</f>
        <v>3000</v>
      </c>
      <c r="E19">
        <f>SUMIFS(Table14[Credit], Table14[Date], Table13[[#This Row],[Date]], Table14[Party], "Transport")</f>
        <v>0</v>
      </c>
    </row>
    <row r="20" spans="2:5" x14ac:dyDescent="0.3">
      <c r="B20" s="1">
        <v>45993</v>
      </c>
      <c r="D20">
        <f>SUMIFS(Table14[Debit], Table14[Date], Table13[[#This Row],[Date]], Table14[Party], "Transport")</f>
        <v>4000</v>
      </c>
      <c r="E20">
        <f>SUMIFS(Table14[Credit], Table14[Date], Table13[[#This Row],[Date]], Table14[Party], "Transport")</f>
        <v>0</v>
      </c>
    </row>
    <row r="21" spans="2:5" x14ac:dyDescent="0.3">
      <c r="B21" s="1">
        <v>45994</v>
      </c>
      <c r="D21">
        <f>SUMIFS(Table14[Debit], Table14[Date], Table13[[#This Row],[Date]], Table14[Party], "Transport")</f>
        <v>13000</v>
      </c>
      <c r="E21">
        <f>SUMIFS(Table14[Credit], Table14[Date], Table13[[#This Row],[Date]], Table14[Party], "Transport")</f>
        <v>0</v>
      </c>
    </row>
    <row r="22" spans="2:5" x14ac:dyDescent="0.3">
      <c r="B22" s="1">
        <v>45995</v>
      </c>
      <c r="D22">
        <f>SUMIFS(Table14[Debit], Table14[Date], Table13[[#This Row],[Date]], Table14[Party], "Transport")</f>
        <v>3000</v>
      </c>
      <c r="E22">
        <f>SUMIFS(Table14[Credit], Table14[Date], Table13[[#This Row],[Date]], Table14[Party], "Transport")</f>
        <v>0</v>
      </c>
    </row>
    <row r="23" spans="2:5" x14ac:dyDescent="0.3">
      <c r="B23" s="1">
        <v>45996</v>
      </c>
      <c r="D23">
        <f>SUMIFS(Table14[Debit], Table14[Date], Table13[[#This Row],[Date]], Table14[Party], "Transport")</f>
        <v>0</v>
      </c>
      <c r="E23">
        <f>SUMIFS(Table14[Credit], Table14[Date], Table13[[#This Row],[Date]], Table14[Party], "Transport")</f>
        <v>0</v>
      </c>
    </row>
    <row r="24" spans="2:5" x14ac:dyDescent="0.3">
      <c r="B24" s="1">
        <v>45997</v>
      </c>
      <c r="D24">
        <f>SUMIFS(Table14[Debit], Table14[Date], Table13[[#This Row],[Date]], Table14[Party], "Transport")</f>
        <v>16500</v>
      </c>
      <c r="E24">
        <f>SUMIFS(Table14[Credit], Table14[Date], Table13[[#This Row],[Date]], Table14[Party], "Transport")</f>
        <v>0</v>
      </c>
    </row>
    <row r="25" spans="2:5" x14ac:dyDescent="0.3">
      <c r="B25" s="1">
        <v>45998</v>
      </c>
      <c r="D25">
        <f>SUMIFS(Table14[Debit], Table14[Date], Table13[[#This Row],[Date]], Table14[Party], "Transport")</f>
        <v>0</v>
      </c>
      <c r="E25">
        <f>SUMIFS(Table14[Credit], Table14[Date], Table13[[#This Row],[Date]], Table14[Party], "Transport")</f>
        <v>0</v>
      </c>
    </row>
    <row r="26" spans="2:5" x14ac:dyDescent="0.3">
      <c r="B26" s="1">
        <v>45999</v>
      </c>
      <c r="D26">
        <f>SUMIFS(Table14[Debit], Table14[Date], Table13[[#This Row],[Date]], Table14[Party], "Transport")</f>
        <v>5810</v>
      </c>
      <c r="E26">
        <f>SUMIFS(Table14[Credit], Table14[Date], Table13[[#This Row],[Date]], Table14[Party], "Transport")</f>
        <v>0</v>
      </c>
    </row>
    <row r="27" spans="2:5" x14ac:dyDescent="0.3">
      <c r="B27" s="1">
        <v>46000</v>
      </c>
      <c r="D27">
        <f>SUMIFS(Table14[Debit], Table14[Date], Table13[[#This Row],[Date]], Table14[Party], "Transport")</f>
        <v>10500</v>
      </c>
      <c r="E27">
        <f>SUMIFS(Table14[Credit], Table14[Date], Table13[[#This Row],[Date]], Table14[Party], "Transport")</f>
        <v>0</v>
      </c>
    </row>
    <row r="28" spans="2:5" x14ac:dyDescent="0.3">
      <c r="B28" s="1">
        <v>46001</v>
      </c>
      <c r="D28">
        <f>SUMIFS(Table14[Debit], Table14[Date], Table13[[#This Row],[Date]], Table14[Party], "Transport")</f>
        <v>0</v>
      </c>
      <c r="E28">
        <f>SUMIFS(Table14[Credit], Table14[Date], Table13[[#This Row],[Date]], Table14[Party], "Transport")</f>
        <v>0</v>
      </c>
    </row>
    <row r="29" spans="2:5" x14ac:dyDescent="0.3">
      <c r="B29" s="1">
        <v>46002</v>
      </c>
      <c r="D29">
        <f>SUMIFS(Table14[Debit], Table14[Date], Table13[[#This Row],[Date]], Table14[Party], "Transport")</f>
        <v>8180</v>
      </c>
      <c r="E29">
        <f>SUMIFS(Table14[Credit], Table14[Date], Table13[[#This Row],[Date]], Table14[Party], "Transport")</f>
        <v>0</v>
      </c>
    </row>
    <row r="30" spans="2:5" x14ac:dyDescent="0.3">
      <c r="B30" s="1">
        <v>46003</v>
      </c>
      <c r="D30">
        <f>SUMIFS(Table14[Debit], Table14[Date], Table13[[#This Row],[Date]], Table14[Party], "Transport")</f>
        <v>0</v>
      </c>
      <c r="E30">
        <f>SUMIFS(Table14[Credit], Table14[Date], Table13[[#This Row],[Date]], Table14[Party], "Transport")</f>
        <v>0</v>
      </c>
    </row>
    <row r="31" spans="2:5" x14ac:dyDescent="0.3">
      <c r="B31" s="1">
        <v>46004</v>
      </c>
      <c r="D31">
        <f>SUMIFS(Table14[Debit], Table14[Date], Table13[[#This Row],[Date]], Table14[Party], "Transport")</f>
        <v>0</v>
      </c>
      <c r="E31">
        <f>SUMIFS(Table14[Credit], Table14[Date], Table13[[#This Row],[Date]], Table14[Party], "Transport")</f>
        <v>0</v>
      </c>
    </row>
    <row r="32" spans="2:5" x14ac:dyDescent="0.3">
      <c r="B32" s="1">
        <v>46005</v>
      </c>
      <c r="D32">
        <f>SUMIFS(Table14[Debit], Table14[Date], Table13[[#This Row],[Date]], Table14[Party], "Transport")</f>
        <v>0</v>
      </c>
      <c r="E32">
        <f>SUMIFS(Table14[Credit], Table14[Date], Table13[[#This Row],[Date]], Table14[Party], "Transport")</f>
        <v>0</v>
      </c>
    </row>
    <row r="33" spans="2:6" x14ac:dyDescent="0.3">
      <c r="B33" s="1">
        <v>46006</v>
      </c>
      <c r="D33">
        <f>SUMIFS(Table14[Debit], Table14[Date], Table13[[#This Row],[Date]], Table14[Party], "Transport")</f>
        <v>0</v>
      </c>
      <c r="E33">
        <f>SUMIFS(Table14[Credit], Table14[Date], Table13[[#This Row],[Date]], Table14[Party], "Transport")</f>
        <v>0</v>
      </c>
    </row>
    <row r="34" spans="2:6" x14ac:dyDescent="0.3">
      <c r="B34" s="1">
        <v>46007</v>
      </c>
      <c r="D34">
        <f>SUMIFS(Table14[Debit], Table14[Date], Table13[[#This Row],[Date]], Table14[Party], "Transport")</f>
        <v>0</v>
      </c>
      <c r="E34">
        <f>SUMIFS(Table14[Credit], Table14[Date], Table13[[#This Row],[Date]], Table14[Party], "Transport")</f>
        <v>0</v>
      </c>
    </row>
    <row r="35" spans="2:6" x14ac:dyDescent="0.3">
      <c r="B35" s="1">
        <v>46008</v>
      </c>
      <c r="D35">
        <f>SUMIFS(Table14[Debit], Table14[Date], Table13[[#This Row],[Date]], Table14[Party], "Transport")</f>
        <v>0</v>
      </c>
      <c r="E35">
        <f>SUMIFS(Table14[Credit], Table14[Date], Table13[[#This Row],[Date]], Table14[Party], "Transport")</f>
        <v>0</v>
      </c>
    </row>
    <row r="36" spans="2:6" x14ac:dyDescent="0.3">
      <c r="B36" s="1">
        <v>46009</v>
      </c>
      <c r="D36">
        <f>SUMIFS(Table14[Debit], Table14[Date], Table13[[#This Row],[Date]], Table14[Party], "Transport")</f>
        <v>0</v>
      </c>
      <c r="E36">
        <f>SUMIFS(Table14[Credit], Table14[Date], Table13[[#This Row],[Date]], Table14[Party], "Transport")</f>
        <v>0</v>
      </c>
    </row>
    <row r="37" spans="2:6" x14ac:dyDescent="0.3">
      <c r="B37" s="1">
        <v>46010</v>
      </c>
      <c r="D37">
        <f>SUMIFS(Table14[Debit], Table14[Date], Table13[[#This Row],[Date]], Table14[Party], "Transport")</f>
        <v>0</v>
      </c>
      <c r="E37">
        <f>SUMIFS(Table14[Credit], Table14[Date], Table13[[#This Row],[Date]], Table14[Party], "Transport")</f>
        <v>0</v>
      </c>
    </row>
    <row r="38" spans="2:6" x14ac:dyDescent="0.3">
      <c r="B38" s="1"/>
      <c r="D38">
        <f>SUBTOTAL(109,Table13[Debit])</f>
        <v>160740</v>
      </c>
      <c r="E38">
        <f>SUBTOTAL(109,Table13[Credit])</f>
        <v>0</v>
      </c>
      <c r="F38">
        <f>Table13[[#Totals],[Debit]]-Table13[[#Totals],[Credit]]</f>
        <v>160740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2BF55-86DF-4B9C-ABE1-54F1EB648833}">
  <sheetPr>
    <pageSetUpPr fitToPage="1"/>
  </sheetPr>
  <dimension ref="A1:AB227"/>
  <sheetViews>
    <sheetView topLeftCell="A200" zoomScale="91" zoomScaleNormal="82" workbookViewId="0">
      <selection activeCell="M223" sqref="M223"/>
    </sheetView>
  </sheetViews>
  <sheetFormatPr defaultColWidth="8.88671875" defaultRowHeight="14.4" x14ac:dyDescent="0.3"/>
  <cols>
    <col min="1" max="1" width="16.5546875" style="10" bestFit="1" customWidth="1"/>
    <col min="2" max="2" width="16.109375" style="10" bestFit="1" customWidth="1"/>
    <col min="3" max="3" width="20.6640625" style="10" customWidth="1"/>
    <col min="4" max="4" width="18.109375" style="10" bestFit="1" customWidth="1"/>
    <col min="5" max="5" width="15.77734375" style="10" bestFit="1" customWidth="1"/>
    <col min="6" max="6" width="18.109375" style="10" bestFit="1" customWidth="1"/>
    <col min="7" max="7" width="12.6640625" style="10" bestFit="1" customWidth="1"/>
    <col min="8" max="8" width="18.33203125" style="10" customWidth="1"/>
    <col min="9" max="9" width="13.21875" style="10" bestFit="1" customWidth="1"/>
    <col min="10" max="10" width="18.109375" style="10" bestFit="1" customWidth="1"/>
    <col min="11" max="11" width="12.6640625" style="10" bestFit="1" customWidth="1"/>
    <col min="12" max="12" width="15.5546875" style="10" bestFit="1" customWidth="1"/>
    <col min="13" max="13" width="15.88671875" style="10" bestFit="1" customWidth="1"/>
    <col min="14" max="15" width="15.5546875" style="10" bestFit="1" customWidth="1"/>
    <col min="16" max="16" width="16.5546875" style="10" bestFit="1" customWidth="1"/>
    <col min="17" max="17" width="16.109375" style="10" bestFit="1" customWidth="1"/>
    <col min="18" max="18" width="18" style="10" bestFit="1" customWidth="1"/>
    <col min="19" max="19" width="12.6640625" style="10" bestFit="1" customWidth="1"/>
    <col min="20" max="20" width="17.44140625" style="10" bestFit="1" customWidth="1"/>
    <col min="21" max="21" width="13" style="10" bestFit="1" customWidth="1"/>
    <col min="22" max="22" width="18" style="10" bestFit="1" customWidth="1"/>
    <col min="23" max="23" width="12.6640625" style="10" bestFit="1" customWidth="1"/>
    <col min="24" max="25" width="17.33203125" style="10" bestFit="1" customWidth="1"/>
    <col min="26" max="26" width="20.88671875" style="10" bestFit="1" customWidth="1"/>
    <col min="27" max="27" width="20.33203125" style="10" bestFit="1" customWidth="1"/>
    <col min="28" max="28" width="21.6640625" style="10" bestFit="1" customWidth="1"/>
    <col min="29" max="16384" width="8.88671875" style="10"/>
  </cols>
  <sheetData>
    <row r="1" spans="1:28" x14ac:dyDescent="0.3">
      <c r="A1" s="113" t="s">
        <v>75</v>
      </c>
      <c r="B1" s="113" t="s">
        <v>2</v>
      </c>
      <c r="C1" s="113" t="s">
        <v>77</v>
      </c>
      <c r="D1" s="113" t="s">
        <v>78</v>
      </c>
      <c r="E1" s="113" t="s">
        <v>79</v>
      </c>
      <c r="F1" s="113" t="s">
        <v>80</v>
      </c>
      <c r="G1" s="113" t="s">
        <v>81</v>
      </c>
      <c r="H1" s="27" t="s">
        <v>82</v>
      </c>
      <c r="I1" s="27" t="s">
        <v>83</v>
      </c>
      <c r="J1" s="27" t="s">
        <v>84</v>
      </c>
      <c r="K1" s="27" t="s">
        <v>41</v>
      </c>
    </row>
    <row r="2" spans="1:28" x14ac:dyDescent="0.3">
      <c r="A2" s="114">
        <v>45979</v>
      </c>
      <c r="B2" s="24" t="s">
        <v>21</v>
      </c>
      <c r="C2" s="115" t="s">
        <v>200</v>
      </c>
      <c r="D2" s="115" t="s">
        <v>85</v>
      </c>
      <c r="E2" s="116"/>
      <c r="F2" s="37"/>
      <c r="G2" s="37"/>
      <c r="H2" s="117" t="e">
        <f>_xlfn.XLOOKUP(Table1[[#This Row],[Shipment Number]], 'pivot '!A:A,'pivot '!G:G, "NF")</f>
        <v>#DIV/0!</v>
      </c>
      <c r="I2" s="117">
        <f>_xlfn.XLOOKUP(Table1[[#This Row],[Party Name]],
[1]Billing!$Q$5:$Q$25,
[1]Billing!$T$5:$T$25)</f>
        <v>1895402.3408924653</v>
      </c>
      <c r="J2" s="117">
        <f>_xlfn.XLOOKUP(Table1[[#This Row],[Party Name]],
[1]Billing!$Q$5:$Q$25,
[1]Billing!$V$5:$V$25)</f>
        <v>18954023.408924658</v>
      </c>
      <c r="K2" s="115"/>
    </row>
    <row r="3" spans="1:28" x14ac:dyDescent="0.3">
      <c r="A3" s="114">
        <v>45979</v>
      </c>
      <c r="B3" s="24" t="s">
        <v>22</v>
      </c>
      <c r="C3" s="115" t="s">
        <v>200</v>
      </c>
      <c r="D3" s="115" t="s">
        <v>85</v>
      </c>
      <c r="E3" s="116"/>
      <c r="F3" s="37"/>
      <c r="G3" s="37"/>
      <c r="H3" s="117" t="e">
        <f>_xlfn.XLOOKUP(Table1[[#This Row],[Shipment Number]], 'pivot '!A:A,'pivot '!G:G, "NF")</f>
        <v>#DIV/0!</v>
      </c>
      <c r="I3" s="117">
        <f>_xlfn.XLOOKUP(Table1[[#This Row],[Party Name]],
[1]Billing!$Q$5:$Q$25,
[1]Billing!$T$5:$T$25)</f>
        <v>148145.57425018289</v>
      </c>
      <c r="J3" s="117">
        <f>_xlfn.XLOOKUP(Table1[[#This Row],[Party Name]],
[1]Billing!$Q$5:$Q$25,
[1]Billing!$V$5:$V$25)</f>
        <v>1481455.7425018288</v>
      </c>
      <c r="K3" s="115"/>
    </row>
    <row r="4" spans="1:28" x14ac:dyDescent="0.3">
      <c r="A4" s="114">
        <v>45979</v>
      </c>
      <c r="B4" s="24" t="s">
        <v>9</v>
      </c>
      <c r="C4" s="115" t="s">
        <v>200</v>
      </c>
      <c r="D4" s="115" t="s">
        <v>85</v>
      </c>
      <c r="E4" s="116"/>
      <c r="F4" s="37"/>
      <c r="G4" s="37"/>
      <c r="H4" s="117" t="e">
        <f>_xlfn.XLOOKUP(Table1[[#This Row],[Shipment Number]], 'pivot '!A:A,'pivot '!G:G, "NF")</f>
        <v>#DIV/0!</v>
      </c>
      <c r="I4" s="117">
        <f>_xlfn.XLOOKUP(Table1[[#This Row],[Party Name]],
[1]Billing!$Q$5:$Q$25,
[1]Billing!$T$5:$T$25)</f>
        <v>392581.38258961233</v>
      </c>
      <c r="J4" s="117">
        <f>_xlfn.XLOOKUP(Table1[[#This Row],[Party Name]],
[1]Billing!$Q$5:$Q$25,
[1]Billing!$V$5:$V$25)</f>
        <v>3925813.8258961234</v>
      </c>
      <c r="K4" s="115"/>
    </row>
    <row r="5" spans="1:28" x14ac:dyDescent="0.3">
      <c r="A5" s="114">
        <v>45979</v>
      </c>
      <c r="B5" s="24" t="s">
        <v>23</v>
      </c>
      <c r="C5" s="115" t="s">
        <v>200</v>
      </c>
      <c r="D5" s="115" t="s">
        <v>85</v>
      </c>
      <c r="E5" s="116"/>
      <c r="F5" s="37"/>
      <c r="G5" s="37"/>
      <c r="H5" s="117" t="e">
        <f>_xlfn.XLOOKUP(Table1[[#This Row],[Shipment Number]], 'pivot '!A:A,'pivot '!G:G, "NF")</f>
        <v>#DIV/0!</v>
      </c>
      <c r="I5" s="117">
        <f>_xlfn.XLOOKUP(Table1[[#This Row],[Party Name]],
[1]Billing!$Q$5:$Q$25,
[1]Billing!$T$5:$T$25)</f>
        <v>123086.13752743235</v>
      </c>
      <c r="J5" s="117">
        <f>_xlfn.XLOOKUP(Table1[[#This Row],[Party Name]],
[1]Billing!$Q$5:$Q$25,
[1]Billing!$V$5:$V$25)</f>
        <v>1269270.3440380397</v>
      </c>
      <c r="K5" s="115"/>
    </row>
    <row r="6" spans="1:28" x14ac:dyDescent="0.3">
      <c r="A6" s="114">
        <v>45979</v>
      </c>
      <c r="B6" s="24" t="s">
        <v>24</v>
      </c>
      <c r="C6" s="115" t="s">
        <v>200</v>
      </c>
      <c r="D6" s="115" t="s">
        <v>85</v>
      </c>
      <c r="E6" s="116"/>
      <c r="F6" s="37"/>
      <c r="G6" s="37"/>
      <c r="H6" s="117" t="e">
        <f>_xlfn.XLOOKUP(Table1[[#This Row],[Shipment Number]], 'pivot '!A:A,'pivot '!G:G, "NF")</f>
        <v>#DIV/0!</v>
      </c>
      <c r="I6" s="117">
        <f>_xlfn.XLOOKUP(Table1[[#This Row],[Party Name]],
[1]Billing!$Q$5:$Q$25,
[1]Billing!$T$5:$T$25)</f>
        <v>599330.65106071695</v>
      </c>
      <c r="J6" s="117">
        <f>_xlfn.XLOOKUP(Table1[[#This Row],[Party Name]],
[1]Billing!$Q$5:$Q$25,
[1]Billing!$V$5:$V$25)</f>
        <v>5408917.8595464528</v>
      </c>
      <c r="K6" s="115"/>
      <c r="X6"/>
      <c r="Y6"/>
      <c r="Z6"/>
      <c r="AA6"/>
      <c r="AB6"/>
    </row>
    <row r="7" spans="1:28" x14ac:dyDescent="0.3">
      <c r="A7" s="114">
        <v>45979</v>
      </c>
      <c r="B7" s="24" t="s">
        <v>25</v>
      </c>
      <c r="C7" s="115" t="s">
        <v>200</v>
      </c>
      <c r="D7" s="115" t="s">
        <v>85</v>
      </c>
      <c r="E7" s="116"/>
      <c r="F7" s="37"/>
      <c r="G7" s="37"/>
      <c r="H7" s="117" t="e">
        <f>_xlfn.XLOOKUP(Table1[[#This Row],[Shipment Number]], 'pivot '!A:A,'pivot '!G:G, "NF")</f>
        <v>#DIV/0!</v>
      </c>
      <c r="I7" s="117">
        <f>_xlfn.XLOOKUP(Table1[[#This Row],[Party Name]],
[1]Billing!$Q$5:$Q$25,
[1]Billing!$T$5:$T$25)</f>
        <v>547436.90563277248</v>
      </c>
      <c r="J7" s="117">
        <f>_xlfn.XLOOKUP(Table1[[#This Row],[Party Name]],
[1]Billing!$Q$5:$Q$25,
[1]Billing!$V$5:$V$25)</f>
        <v>5474369.0563277248</v>
      </c>
      <c r="K7" s="115"/>
      <c r="X7"/>
      <c r="Y7"/>
      <c r="Z7"/>
      <c r="AA7"/>
      <c r="AB7"/>
    </row>
    <row r="8" spans="1:28" x14ac:dyDescent="0.3">
      <c r="A8" s="114">
        <v>45979</v>
      </c>
      <c r="B8" s="24" t="s">
        <v>26</v>
      </c>
      <c r="C8" s="115" t="s">
        <v>200</v>
      </c>
      <c r="D8" s="115" t="s">
        <v>85</v>
      </c>
      <c r="E8" s="116"/>
      <c r="F8" s="37"/>
      <c r="G8" s="37"/>
      <c r="H8" s="117" t="e">
        <f>_xlfn.XLOOKUP(Table1[[#This Row],[Shipment Number]], 'pivot '!A:A,'pivot '!G:G, "NF")</f>
        <v>#DIV/0!</v>
      </c>
      <c r="I8" s="117">
        <f>_xlfn.XLOOKUP(Table1[[#This Row],[Party Name]],
[1]Billing!$Q$5:$Q$25,
[1]Billing!$T$5:$T$25)</f>
        <v>92278.712509144127</v>
      </c>
      <c r="J8" s="117">
        <f>_xlfn.XLOOKUP(Table1[[#This Row],[Party Name]],
[1]Billing!$Q$5:$Q$25,
[1]Billing!$V$5:$V$25)</f>
        <v>922787.12509144121</v>
      </c>
      <c r="K8" s="115"/>
      <c r="X8"/>
      <c r="Y8"/>
      <c r="Z8"/>
      <c r="AA8"/>
      <c r="AB8"/>
    </row>
    <row r="9" spans="1:28" x14ac:dyDescent="0.3">
      <c r="A9" s="114">
        <v>45979</v>
      </c>
      <c r="B9" s="24" t="s">
        <v>153</v>
      </c>
      <c r="C9" s="115" t="s">
        <v>200</v>
      </c>
      <c r="D9" s="115" t="s">
        <v>85</v>
      </c>
      <c r="E9" s="116"/>
      <c r="F9" s="37"/>
      <c r="G9" s="37"/>
      <c r="H9" s="117" t="e">
        <f>_xlfn.XLOOKUP(Table1[[#This Row],[Shipment Number]], 'pivot '!A:A,'pivot '!G:G, "NF")</f>
        <v>#DIV/0!</v>
      </c>
      <c r="I9" s="117">
        <f>_xlfn.XLOOKUP(Table1[[#This Row],[Party Name]],
[1]Billing!$Q$5:$Q$25,
[1]Billing!$T$5:$T$25)</f>
        <v>161808.70519385519</v>
      </c>
      <c r="J9" s="117">
        <f>_xlfn.XLOOKUP(Table1[[#This Row],[Party Name]],
[1]Billing!$Q$5:$Q$25,
[1]Billing!$V$5:$V$25)</f>
        <v>1618087.0519385519</v>
      </c>
      <c r="K9" s="115"/>
      <c r="X9"/>
      <c r="Y9"/>
      <c r="Z9"/>
      <c r="AA9"/>
      <c r="AB9"/>
    </row>
    <row r="10" spans="1:28" x14ac:dyDescent="0.3">
      <c r="A10" s="114">
        <v>45979</v>
      </c>
      <c r="B10" s="24" t="s">
        <v>35</v>
      </c>
      <c r="C10" s="115" t="s">
        <v>200</v>
      </c>
      <c r="D10" s="115" t="s">
        <v>85</v>
      </c>
      <c r="E10" s="116"/>
      <c r="F10" s="37"/>
      <c r="G10" s="37"/>
      <c r="H10" s="117" t="e">
        <f>_xlfn.XLOOKUP(Table1[[#This Row],[Shipment Number]], 'pivot '!A:A,'pivot '!G:G, "NF")</f>
        <v>#DIV/0!</v>
      </c>
      <c r="I10" s="117">
        <f>_xlfn.XLOOKUP(Table1[[#This Row],[Party Name]],
[1]Billing!$Q$5:$Q$25,
[1]Billing!$T$5:$T$25)</f>
        <v>46132.955376737387</v>
      </c>
      <c r="J10" s="117">
        <f>_xlfn.XLOOKUP(Table1[[#This Row],[Party Name]],
[1]Billing!$Q$5:$Q$25,
[1]Billing!$V$5:$V$25)</f>
        <v>461329.5537673739</v>
      </c>
      <c r="K10" s="115"/>
      <c r="X10"/>
      <c r="Y10"/>
    </row>
    <row r="11" spans="1:28" x14ac:dyDescent="0.3">
      <c r="A11" s="114">
        <v>45979</v>
      </c>
      <c r="B11" s="24" t="s">
        <v>149</v>
      </c>
      <c r="C11" s="115" t="s">
        <v>200</v>
      </c>
      <c r="D11" s="115" t="s">
        <v>86</v>
      </c>
      <c r="E11" s="116"/>
      <c r="F11" s="37"/>
      <c r="G11" s="37"/>
      <c r="H11" s="117" t="e">
        <f>_xlfn.XLOOKUP(Table1[[#This Row],[Shipment Number]], 'pivot '!A:A,'pivot '!G:G, "NF")</f>
        <v>#DIV/0!</v>
      </c>
      <c r="I11" s="117">
        <f>_xlfn.XLOOKUP(Table1[[#This Row],[Party Name]],
[1]Billing!$Q$5:$Q$25,
[1]Billing!$T$5:$T$25)</f>
        <v>21310.35113386979</v>
      </c>
      <c r="J11" s="117">
        <f>_xlfn.XLOOKUP(Table1[[#This Row],[Party Name]],
[1]Billing!$Q$5:$Q$25,
[1]Billing!$V$5:$V$25)</f>
        <v>255724.21360643749</v>
      </c>
      <c r="K11" s="115"/>
      <c r="P11"/>
      <c r="Q11"/>
      <c r="R11"/>
      <c r="S11"/>
      <c r="T11"/>
      <c r="U11"/>
      <c r="V11"/>
      <c r="W11"/>
      <c r="X11"/>
      <c r="Y11"/>
    </row>
    <row r="12" spans="1:28" x14ac:dyDescent="0.3">
      <c r="A12" s="114">
        <v>45979</v>
      </c>
      <c r="B12" s="24" t="s">
        <v>27</v>
      </c>
      <c r="C12" s="115" t="s">
        <v>200</v>
      </c>
      <c r="D12" s="115" t="s">
        <v>85</v>
      </c>
      <c r="E12" s="116"/>
      <c r="F12" s="37"/>
      <c r="G12" s="37"/>
      <c r="H12" s="117" t="e">
        <f>_xlfn.XLOOKUP(Table1[[#This Row],[Shipment Number]], 'pivot '!A:A,'pivot '!G:G, "NF")</f>
        <v>#DIV/0!</v>
      </c>
      <c r="I12" s="117">
        <f>_xlfn.XLOOKUP(Table1[[#This Row],[Party Name]],
[1]Billing!$Q$5:$Q$25,
[1]Billing!$T$5:$T$25)</f>
        <v>121151.24359912217</v>
      </c>
      <c r="J12" s="117">
        <f>_xlfn.XLOOKUP(Table1[[#This Row],[Party Name]],
[1]Billing!$Q$5:$Q$25,
[1]Billing!$V$5:$V$25)</f>
        <v>1211512.4359912218</v>
      </c>
      <c r="K12" s="115"/>
      <c r="P12"/>
      <c r="Q12"/>
      <c r="R12"/>
      <c r="S12"/>
      <c r="T12"/>
      <c r="U12"/>
      <c r="V12"/>
      <c r="W12"/>
      <c r="X12"/>
      <c r="Y12"/>
    </row>
    <row r="13" spans="1:28" x14ac:dyDescent="0.3">
      <c r="A13" s="114">
        <v>45979</v>
      </c>
      <c r="B13" s="24" t="s">
        <v>167</v>
      </c>
      <c r="C13" s="115" t="s">
        <v>200</v>
      </c>
      <c r="D13" s="115" t="s">
        <v>85</v>
      </c>
      <c r="E13" s="37"/>
      <c r="F13" s="37"/>
      <c r="G13" s="37"/>
      <c r="H13" s="117" t="e">
        <f>_xlfn.XLOOKUP(Table1[[#This Row],[Shipment Number]], 'pivot '!A:A,'pivot '!G:G, "NF")</f>
        <v>#DIV/0!</v>
      </c>
      <c r="I13" s="117">
        <f>_xlfn.XLOOKUP(Table1[[#This Row],[Party Name]],
[1]Billing!$Q$5:$Q$25,
[1]Billing!$T$5:$T$25)</f>
        <v>341790.4169714704</v>
      </c>
      <c r="J13" s="117">
        <f>_xlfn.XLOOKUP(Table1[[#This Row],[Party Name]],
[1]Billing!$Q$5:$Q$25,
[1]Billing!$V$5:$V$25)</f>
        <v>3417904.1697147042</v>
      </c>
      <c r="K13" s="115"/>
      <c r="P13"/>
      <c r="Q13"/>
      <c r="R13"/>
      <c r="S13"/>
      <c r="T13"/>
      <c r="U13"/>
      <c r="V13"/>
      <c r="W13"/>
      <c r="X13"/>
      <c r="Y13"/>
    </row>
    <row r="14" spans="1:28" x14ac:dyDescent="0.3">
      <c r="A14" s="114">
        <v>45979</v>
      </c>
      <c r="B14" s="24" t="s">
        <v>169</v>
      </c>
      <c r="C14" s="115" t="s">
        <v>200</v>
      </c>
      <c r="D14" s="115" t="s">
        <v>85</v>
      </c>
      <c r="E14" s="37"/>
      <c r="F14" s="37"/>
      <c r="G14" s="37"/>
      <c r="H14" s="117" t="e">
        <f>_xlfn.XLOOKUP(Table1[[#This Row],[Shipment Number]], 'pivot '!A:A,'pivot '!G:G, "NF")</f>
        <v>#DIV/0!</v>
      </c>
      <c r="I14" s="117">
        <f>_xlfn.XLOOKUP(Table1[[#This Row],[Party Name]],
[1]Billing!$Q$5:$Q$25,
[1]Billing!$T$5:$T$25)</f>
        <v>0</v>
      </c>
      <c r="J14" s="117">
        <f>_xlfn.XLOOKUP(Table1[[#This Row],[Party Name]],
[1]Billing!$Q$5:$Q$25,
[1]Billing!$V$5:$V$25)</f>
        <v>0</v>
      </c>
      <c r="K14" s="115"/>
      <c r="P14"/>
      <c r="Q14"/>
      <c r="R14"/>
      <c r="S14"/>
      <c r="T14"/>
      <c r="U14"/>
      <c r="V14"/>
      <c r="W14"/>
      <c r="X14"/>
      <c r="Y14"/>
    </row>
    <row r="15" spans="1:28" x14ac:dyDescent="0.3">
      <c r="A15" s="114">
        <v>45979</v>
      </c>
      <c r="B15" s="24" t="s">
        <v>176</v>
      </c>
      <c r="C15" s="115" t="s">
        <v>200</v>
      </c>
      <c r="D15" s="115" t="s">
        <v>85</v>
      </c>
      <c r="E15" s="37"/>
      <c r="F15" s="37"/>
      <c r="G15" s="37"/>
      <c r="H15" s="117" t="e">
        <f>_xlfn.XLOOKUP(Table1[[#This Row],[Shipment Number]], 'pivot '!A:A,'pivot '!G:G, "NF")</f>
        <v>#DIV/0!</v>
      </c>
      <c r="I15" s="117">
        <f>_xlfn.XLOOKUP(Table1[[#This Row],[Party Name]],
[1]Billing!$Q$5:$Q$25,
[1]Billing!$T$5:$T$25)</f>
        <v>48385.149963423559</v>
      </c>
      <c r="J15" s="117">
        <f>_xlfn.XLOOKUP(Table1[[#This Row],[Party Name]],
[1]Billing!$Q$5:$Q$25,
[1]Billing!$V$5:$V$25)</f>
        <v>483851.49963423557</v>
      </c>
      <c r="K15" s="115"/>
      <c r="P15"/>
      <c r="Q15"/>
      <c r="R15"/>
      <c r="S15"/>
      <c r="T15"/>
      <c r="U15"/>
      <c r="V15"/>
      <c r="W15"/>
      <c r="X15"/>
      <c r="Y15"/>
    </row>
    <row r="16" spans="1:28" x14ac:dyDescent="0.3">
      <c r="A16" s="114">
        <v>45979</v>
      </c>
      <c r="B16" s="24" t="s">
        <v>177</v>
      </c>
      <c r="C16" s="115" t="s">
        <v>200</v>
      </c>
      <c r="D16" s="115" t="s">
        <v>85</v>
      </c>
      <c r="E16" s="37"/>
      <c r="F16" s="37"/>
      <c r="G16" s="37"/>
      <c r="H16" s="117" t="e">
        <f>_xlfn.XLOOKUP(Table1[[#This Row],[Shipment Number]], 'pivot '!A:A,'pivot '!G:G, "NF")</f>
        <v>#DIV/0!</v>
      </c>
      <c r="I16" s="117">
        <f>_xlfn.XLOOKUP(Table1[[#This Row],[Party Name]],
[1]Billing!$Q$5:$Q$25,
[1]Billing!$T$5:$T$25)</f>
        <v>8915.5084125822978</v>
      </c>
      <c r="J16" s="117">
        <f>_xlfn.XLOOKUP(Table1[[#This Row],[Party Name]],
[1]Billing!$Q$5:$Q$25,
[1]Billing!$V$5:$V$25)</f>
        <v>89155.084125822978</v>
      </c>
      <c r="K16" s="115"/>
      <c r="P16"/>
      <c r="Q16"/>
      <c r="R16"/>
      <c r="S16"/>
      <c r="T16"/>
      <c r="U16"/>
      <c r="V16"/>
      <c r="W16"/>
      <c r="X16"/>
      <c r="Y16"/>
    </row>
    <row r="17" spans="1:25" x14ac:dyDescent="0.3">
      <c r="A17" s="114">
        <v>45979</v>
      </c>
      <c r="B17" s="24" t="s">
        <v>179</v>
      </c>
      <c r="C17" s="115" t="s">
        <v>200</v>
      </c>
      <c r="D17" s="115" t="s">
        <v>85</v>
      </c>
      <c r="E17" s="37"/>
      <c r="F17" s="37"/>
      <c r="G17" s="37"/>
      <c r="H17" s="117" t="e">
        <f>_xlfn.XLOOKUP(Table1[[#This Row],[Shipment Number]], 'pivot '!A:A,'pivot '!G:G, "NF")</f>
        <v>#DIV/0!</v>
      </c>
      <c r="I17" s="117">
        <f>_xlfn.XLOOKUP(Table1[[#This Row],[Party Name]],
[1]Billing!$Q$5:$Q$25,
[1]Billing!$T$5:$T$25)</f>
        <v>47437.820043891741</v>
      </c>
      <c r="J17" s="117">
        <f>_xlfn.XLOOKUP(Table1[[#This Row],[Party Name]],
[1]Billing!$Q$5:$Q$25,
[1]Billing!$V$5:$V$25)</f>
        <v>474378.20043891744</v>
      </c>
      <c r="K17" s="115"/>
      <c r="P17"/>
      <c r="Q17"/>
      <c r="R17"/>
      <c r="S17"/>
      <c r="T17"/>
      <c r="U17"/>
      <c r="V17"/>
      <c r="W17"/>
      <c r="X17"/>
      <c r="Y17"/>
    </row>
    <row r="18" spans="1:25" x14ac:dyDescent="0.3">
      <c r="A18" s="114">
        <v>45979</v>
      </c>
      <c r="B18" s="24" t="s">
        <v>184</v>
      </c>
      <c r="C18" s="115" t="s">
        <v>200</v>
      </c>
      <c r="D18" s="115" t="s">
        <v>85</v>
      </c>
      <c r="E18" s="37"/>
      <c r="F18" s="37"/>
      <c r="G18" s="37"/>
      <c r="H18" s="117" t="e">
        <f>_xlfn.XLOOKUP(Table1[[#This Row],[Shipment Number]], 'pivot '!A:A,'pivot '!G:G, "NF")</f>
        <v>#DIV/0!</v>
      </c>
      <c r="I18" s="117">
        <f>_xlfn.XLOOKUP(Table1[[#This Row],[Party Name]],
[1]Billing!$Q$5:$Q$25,
[1]Billing!$T$5:$T$25)</f>
        <v>0</v>
      </c>
      <c r="J18" s="117">
        <f>_xlfn.XLOOKUP(Table1[[#This Row],[Party Name]],
[1]Billing!$Q$5:$Q$25,
[1]Billing!$V$5:$V$25)</f>
        <v>0</v>
      </c>
      <c r="K18" s="115"/>
      <c r="P18"/>
      <c r="Q18"/>
      <c r="R18"/>
      <c r="S18"/>
      <c r="T18"/>
      <c r="U18"/>
      <c r="V18"/>
      <c r="W18"/>
      <c r="X18"/>
      <c r="Y18"/>
    </row>
    <row r="19" spans="1:25" x14ac:dyDescent="0.3">
      <c r="A19" s="114">
        <v>45979</v>
      </c>
      <c r="B19" s="24" t="s">
        <v>187</v>
      </c>
      <c r="C19" s="115" t="s">
        <v>200</v>
      </c>
      <c r="D19" s="115" t="s">
        <v>85</v>
      </c>
      <c r="E19" s="37"/>
      <c r="F19" s="37"/>
      <c r="G19" s="37"/>
      <c r="H19" s="117" t="e">
        <f>_xlfn.XLOOKUP(Table1[[#This Row],[Shipment Number]], 'pivot '!A:A,'pivot '!G:G, "NF")</f>
        <v>#DIV/0!</v>
      </c>
      <c r="I19" s="117">
        <f>_xlfn.XLOOKUP(Table1[[#This Row],[Party Name]],
[1]Billing!$Q$5:$Q$25,
[1]Billing!$T$5:$T$25)</f>
        <v>64300.475493782011</v>
      </c>
      <c r="J19" s="117">
        <f>_xlfn.XLOOKUP(Table1[[#This Row],[Party Name]],
[1]Billing!$Q$5:$Q$25,
[1]Billing!$V$5:$V$25)</f>
        <v>643004.75493782014</v>
      </c>
      <c r="K19" s="115"/>
      <c r="P19"/>
      <c r="Q19"/>
      <c r="R19"/>
      <c r="S19"/>
      <c r="T19"/>
      <c r="U19"/>
      <c r="V19"/>
      <c r="W19"/>
      <c r="X19"/>
      <c r="Y19"/>
    </row>
    <row r="20" spans="1:25" x14ac:dyDescent="0.3">
      <c r="A20" s="114">
        <v>45979</v>
      </c>
      <c r="B20" s="24" t="s">
        <v>188</v>
      </c>
      <c r="C20" s="115" t="s">
        <v>200</v>
      </c>
      <c r="D20" s="115" t="s">
        <v>85</v>
      </c>
      <c r="E20" s="37"/>
      <c r="F20" s="37"/>
      <c r="G20" s="37"/>
      <c r="H20" s="117" t="e">
        <f>_xlfn.XLOOKUP(Table1[[#This Row],[Shipment Number]], 'pivot '!A:A,'pivot '!G:G, "NF")</f>
        <v>#DIV/0!</v>
      </c>
      <c r="I20" s="117">
        <f>_xlfn.XLOOKUP(Table1[[#This Row],[Party Name]],
[1]Billing!$Q$5:$Q$25,
[1]Billing!$U$5:$U$25)</f>
        <v>43834.125822970011</v>
      </c>
      <c r="J20" s="117">
        <f>_xlfn.XLOOKUP(Table1[[#This Row],[Party Name]],
[1]Billing!$Q$5:$Q$25,
[1]Billing!$V$5:$V$25)</f>
        <v>552414.04535479157</v>
      </c>
      <c r="K20" s="115"/>
      <c r="P20"/>
      <c r="Q20"/>
      <c r="R20"/>
      <c r="S20"/>
      <c r="T20"/>
      <c r="U20"/>
      <c r="V20"/>
      <c r="W20"/>
      <c r="X20"/>
      <c r="Y20"/>
    </row>
    <row r="21" spans="1:25" x14ac:dyDescent="0.3">
      <c r="A21" s="114">
        <v>45979</v>
      </c>
      <c r="B21" s="24" t="s">
        <v>196</v>
      </c>
      <c r="C21" s="115" t="s">
        <v>200</v>
      </c>
      <c r="D21" s="115" t="s">
        <v>85</v>
      </c>
      <c r="E21" s="37"/>
      <c r="F21" s="37"/>
      <c r="G21" s="37"/>
      <c r="H21" s="117" t="e">
        <f>_xlfn.XLOOKUP(Table1[[#This Row],[Shipment Number]], 'pivot '!A:A,'pivot '!G:G, "NF")</f>
        <v>#DIV/0!</v>
      </c>
      <c r="I21" s="117">
        <f>_xlfn.XLOOKUP(Table1[[#This Row],[Party Name]],
[1]Billing!$Q$5:$Q$25,
[1]Billing!$U$5:$U$25)</f>
        <v>0</v>
      </c>
      <c r="J21" s="117">
        <f>_xlfn.XLOOKUP(Table1[[#This Row],[Party Name]],
[1]Billing!$Q$5:$Q$25,
[1]Billing!$V$5:$V$25)</f>
        <v>0</v>
      </c>
      <c r="K21" s="115"/>
      <c r="P21"/>
      <c r="Q21"/>
      <c r="R21"/>
      <c r="S21"/>
      <c r="T21"/>
      <c r="U21"/>
      <c r="V21"/>
      <c r="W21"/>
      <c r="X21"/>
      <c r="Y21"/>
    </row>
    <row r="22" spans="1:25" x14ac:dyDescent="0.3">
      <c r="A22" s="114">
        <v>45979</v>
      </c>
      <c r="B22" s="24" t="s">
        <v>21</v>
      </c>
      <c r="C22" s="115" t="s">
        <v>200</v>
      </c>
      <c r="D22" s="115" t="s">
        <v>87</v>
      </c>
      <c r="E22" s="37"/>
      <c r="F22" s="37"/>
      <c r="G22" s="37"/>
      <c r="H22" s="117" t="e">
        <f>_xlfn.XLOOKUP(Table1[[#This Row],[Shipment Number]], 'pivot '!A:A,'pivot '!G:G, "NF")</f>
        <v>#DIV/0!</v>
      </c>
      <c r="I22" s="117">
        <f>_xlfn.XLOOKUP(Table1[[#This Row],[Party Name]],
[1]Billing!$Q$5:$Q$25,
[1]Billing!$U$5:$U$25)</f>
        <v>121247.2567666423</v>
      </c>
      <c r="J22" s="117">
        <f>_xlfn.XLOOKUP(Table1[[#This Row],[Party Name]],
[1]Billing!$Q$5:$Q$25,
[1]Billing!$W$5:$W$25)</f>
        <v>1487858.4491587421</v>
      </c>
      <c r="K22" s="115"/>
      <c r="P22"/>
      <c r="Q22"/>
      <c r="R22"/>
      <c r="S22"/>
      <c r="T22"/>
      <c r="U22"/>
      <c r="V22"/>
      <c r="W22"/>
      <c r="X22"/>
      <c r="Y22"/>
    </row>
    <row r="23" spans="1:25" x14ac:dyDescent="0.3">
      <c r="A23" s="114">
        <v>45979</v>
      </c>
      <c r="B23" s="24" t="s">
        <v>22</v>
      </c>
      <c r="C23" s="115" t="s">
        <v>200</v>
      </c>
      <c r="D23" s="115" t="s">
        <v>87</v>
      </c>
      <c r="E23" s="37"/>
      <c r="F23" s="37"/>
      <c r="G23" s="37"/>
      <c r="H23" s="117" t="e">
        <f>_xlfn.XLOOKUP(Table1[[#This Row],[Shipment Number]], 'pivot '!A:A,'pivot '!G:G, "NF")</f>
        <v>#DIV/0!</v>
      </c>
      <c r="I23" s="117">
        <f>_xlfn.XLOOKUP(Table1[[#This Row],[Party Name]],
[1]Billing!$Q$5:$Q$25,
[1]Billing!$U$5:$U$25)</f>
        <v>105915.32553035846</v>
      </c>
      <c r="J23" s="117">
        <f>_xlfn.XLOOKUP(Table1[[#This Row],[Party Name]],
[1]Billing!$Q$5:$Q$25,
[1]Billing!$W$5:$W$25)</f>
        <v>1317755.1207022679</v>
      </c>
      <c r="K23" s="115"/>
      <c r="P23"/>
      <c r="Q23"/>
      <c r="R23"/>
      <c r="S23"/>
      <c r="T23"/>
      <c r="U23"/>
      <c r="V23"/>
      <c r="W23"/>
      <c r="X23"/>
      <c r="Y23"/>
    </row>
    <row r="24" spans="1:25" x14ac:dyDescent="0.3">
      <c r="A24" s="114">
        <v>45979</v>
      </c>
      <c r="B24" s="24" t="s">
        <v>9</v>
      </c>
      <c r="C24" s="115" t="s">
        <v>200</v>
      </c>
      <c r="D24" s="115" t="s">
        <v>87</v>
      </c>
      <c r="E24" s="37"/>
      <c r="F24" s="37"/>
      <c r="G24" s="37"/>
      <c r="H24" s="117" t="e">
        <f>_xlfn.XLOOKUP(Table1[[#This Row],[Shipment Number]], 'pivot '!A:A,'pivot '!G:G, "NF")</f>
        <v>#DIV/0!</v>
      </c>
      <c r="I24" s="117">
        <f>_xlfn.XLOOKUP(Table1[[#This Row],[Party Name]],
[1]Billing!$Q$5:$Q$25,
[1]Billing!$U$5:$U$25)</f>
        <v>14794.257498171179</v>
      </c>
      <c r="J24" s="117">
        <f>_xlfn.XLOOKUP(Table1[[#This Row],[Party Name]],
[1]Billing!$Q$5:$Q$25,
[1]Billing!$W$5:$W$25)</f>
        <v>177531.08997805414</v>
      </c>
      <c r="K24" s="115"/>
      <c r="P24"/>
      <c r="Q24"/>
      <c r="R24"/>
      <c r="S24"/>
      <c r="T24"/>
      <c r="U24"/>
      <c r="V24"/>
      <c r="W24"/>
      <c r="X24"/>
      <c r="Y24"/>
    </row>
    <row r="25" spans="1:25" x14ac:dyDescent="0.3">
      <c r="A25" s="114">
        <v>45979</v>
      </c>
      <c r="B25" s="24" t="s">
        <v>23</v>
      </c>
      <c r="C25" s="115" t="s">
        <v>200</v>
      </c>
      <c r="D25" s="115" t="s">
        <v>87</v>
      </c>
      <c r="E25" s="37"/>
      <c r="F25" s="37"/>
      <c r="G25" s="37"/>
      <c r="H25" s="117" t="e">
        <f>_xlfn.XLOOKUP(Table1[[#This Row],[Shipment Number]], 'pivot '!A:A,'pivot '!G:G, "NF")</f>
        <v>#DIV/0!</v>
      </c>
      <c r="I25" s="117">
        <f>_xlfn.XLOOKUP(Table1[[#This Row],[Party Name]],
[1]Billing!$Q$5:$Q$25,
[1]Billing!$U$5:$U$25)</f>
        <v>0</v>
      </c>
      <c r="J25" s="117">
        <f>_xlfn.XLOOKUP(Table1[[#This Row],[Party Name]],
[1]Billing!$Q$5:$Q$25,
[1]Billing!$W$5:$W$25)</f>
        <v>0</v>
      </c>
      <c r="K25" s="115"/>
      <c r="P25"/>
      <c r="Q25"/>
      <c r="R25"/>
      <c r="S25"/>
      <c r="T25"/>
      <c r="U25"/>
      <c r="V25"/>
      <c r="W25"/>
      <c r="X25"/>
      <c r="Y25"/>
    </row>
    <row r="26" spans="1:25" x14ac:dyDescent="0.3">
      <c r="A26" s="114">
        <v>45979</v>
      </c>
      <c r="B26" s="24" t="s">
        <v>24</v>
      </c>
      <c r="C26" s="115" t="s">
        <v>200</v>
      </c>
      <c r="D26" s="115" t="s">
        <v>87</v>
      </c>
      <c r="E26" s="37"/>
      <c r="F26" s="37"/>
      <c r="G26" s="37"/>
      <c r="H26" s="117" t="e">
        <f>_xlfn.XLOOKUP(Table1[[#This Row],[Shipment Number]], 'pivot '!A:A,'pivot '!G:G, "NF")</f>
        <v>#DIV/0!</v>
      </c>
      <c r="I26" s="117">
        <f>_xlfn.XLOOKUP(Table1[[#This Row],[Party Name]],
[1]Billing!$Q$5:$Q$25,
[1]Billing!$U$5:$U$25)</f>
        <v>485823.88441843458</v>
      </c>
      <c r="J26" s="117">
        <f>_xlfn.XLOOKUP(Table1[[#This Row],[Party Name]],
[1]Billing!$Q$5:$Q$25,
[1]Billing!$W$5:$W$25)</f>
        <v>5829886.6130212145</v>
      </c>
      <c r="K26" s="115"/>
      <c r="P26"/>
      <c r="Q26"/>
      <c r="R26"/>
      <c r="S26"/>
      <c r="T26"/>
      <c r="U26"/>
      <c r="V26"/>
      <c r="W26"/>
      <c r="X26"/>
      <c r="Y26"/>
    </row>
    <row r="27" spans="1:25" x14ac:dyDescent="0.3">
      <c r="A27" s="114">
        <v>45979</v>
      </c>
      <c r="B27" s="24" t="s">
        <v>25</v>
      </c>
      <c r="C27" s="115" t="s">
        <v>200</v>
      </c>
      <c r="D27" s="115" t="s">
        <v>87</v>
      </c>
      <c r="E27" s="37"/>
      <c r="F27" s="37"/>
      <c r="G27" s="37"/>
      <c r="H27" s="117" t="e">
        <f>_xlfn.XLOOKUP(Table1[[#This Row],[Shipment Number]], 'pivot '!A:A,'pivot '!G:G, "NF")</f>
        <v>#DIV/0!</v>
      </c>
      <c r="I27" s="117">
        <f>_xlfn.XLOOKUP(Table1[[#This Row],[Party Name]],
[1]Billing!$Q$5:$Q$25,
[1]Billing!$U$5:$U$25)</f>
        <v>0</v>
      </c>
      <c r="J27" s="117">
        <f>_xlfn.XLOOKUP(Table1[[#This Row],[Party Name]],
[1]Billing!$Q$5:$Q$25,
[1]Billing!$W$5:$W$25)</f>
        <v>0</v>
      </c>
      <c r="K27" s="115"/>
      <c r="P27"/>
      <c r="Q27"/>
      <c r="R27"/>
      <c r="S27"/>
      <c r="T27"/>
      <c r="U27"/>
      <c r="V27"/>
      <c r="W27"/>
      <c r="X27"/>
      <c r="Y27"/>
    </row>
    <row r="28" spans="1:25" x14ac:dyDescent="0.3">
      <c r="A28" s="114">
        <v>45979</v>
      </c>
      <c r="B28" s="24" t="s">
        <v>26</v>
      </c>
      <c r="C28" s="115" t="s">
        <v>200</v>
      </c>
      <c r="D28" s="115" t="s">
        <v>87</v>
      </c>
      <c r="E28" s="37"/>
      <c r="F28" s="37"/>
      <c r="G28" s="37"/>
      <c r="H28" s="117" t="e">
        <f>_xlfn.XLOOKUP(Table1[[#This Row],[Shipment Number]], 'pivot '!A:A,'pivot '!G:G, "NF")</f>
        <v>#DIV/0!</v>
      </c>
      <c r="I28" s="117">
        <f>_xlfn.XLOOKUP(Table1[[#This Row],[Party Name]],
[1]Billing!$Q$5:$Q$25,
[1]Billing!$U$5:$U$25)</f>
        <v>0</v>
      </c>
      <c r="J28" s="117">
        <f>_xlfn.XLOOKUP(Table1[[#This Row],[Party Name]],
[1]Billing!$Q$5:$Q$25,
[1]Billing!$W$5:$W$25)</f>
        <v>0</v>
      </c>
      <c r="K28" s="115"/>
      <c r="P28"/>
      <c r="Q28"/>
      <c r="R28"/>
      <c r="S28"/>
      <c r="T28"/>
      <c r="U28"/>
      <c r="V28"/>
      <c r="W28"/>
      <c r="X28"/>
      <c r="Y28"/>
    </row>
    <row r="29" spans="1:25" x14ac:dyDescent="0.3">
      <c r="A29" s="114">
        <v>45979</v>
      </c>
      <c r="B29" s="24" t="s">
        <v>153</v>
      </c>
      <c r="C29" s="115" t="s">
        <v>200</v>
      </c>
      <c r="D29" s="115" t="s">
        <v>87</v>
      </c>
      <c r="E29" s="37"/>
      <c r="F29" s="37"/>
      <c r="G29" s="37"/>
      <c r="H29" s="117" t="e">
        <f>_xlfn.XLOOKUP(Table1[[#This Row],[Shipment Number]], 'pivot '!A:A,'pivot '!G:G, "NF")</f>
        <v>#DIV/0!</v>
      </c>
      <c r="I29" s="117">
        <f>_xlfn.XLOOKUP(Table1[[#This Row],[Party Name]],
[1]Billing!$Q$5:$Q$25,
[1]Billing!$U$5:$U$25)</f>
        <v>25188.368690563279</v>
      </c>
      <c r="J29" s="117">
        <f>_xlfn.XLOOKUP(Table1[[#This Row],[Party Name]],
[1]Billing!$Q$5:$Q$25,
[1]Billing!$W$5:$W$25)</f>
        <v>327448.79297732259</v>
      </c>
      <c r="K29" s="115"/>
      <c r="P29"/>
      <c r="Q29"/>
      <c r="R29"/>
      <c r="S29"/>
      <c r="T29"/>
      <c r="U29"/>
      <c r="V29"/>
      <c r="W29"/>
      <c r="X29"/>
      <c r="Y29"/>
    </row>
    <row r="30" spans="1:25" x14ac:dyDescent="0.3">
      <c r="A30" s="114">
        <v>45979</v>
      </c>
      <c r="B30" s="24" t="s">
        <v>35</v>
      </c>
      <c r="C30" s="115" t="s">
        <v>200</v>
      </c>
      <c r="D30" s="115" t="s">
        <v>87</v>
      </c>
      <c r="E30" s="37"/>
      <c r="F30" s="37"/>
      <c r="G30" s="37"/>
      <c r="H30" s="117" t="e">
        <f>_xlfn.XLOOKUP(Table1[[#This Row],[Shipment Number]], 'pivot '!A:A,'pivot '!G:G, "NF")</f>
        <v>#DIV/0!</v>
      </c>
      <c r="I30" s="117">
        <f>_xlfn.XLOOKUP(Table1[[#This Row],[Party Name]],
[1]Billing!$Q$5:$Q$25,
[1]Billing!$U$5:$U$25)</f>
        <v>14995.427944403806</v>
      </c>
      <c r="J30" s="117">
        <f>_xlfn.XLOOKUP(Table1[[#This Row],[Party Name]],
[1]Billing!$Q$5:$Q$25,
[1]Billing!$W$5:$W$25)</f>
        <v>179945.13533284568</v>
      </c>
      <c r="K30" s="115"/>
      <c r="P30"/>
      <c r="Q30"/>
      <c r="R30"/>
      <c r="S30"/>
      <c r="T30"/>
      <c r="U30"/>
      <c r="V30"/>
      <c r="W30"/>
      <c r="X30"/>
      <c r="Y30"/>
    </row>
    <row r="31" spans="1:25" x14ac:dyDescent="0.3">
      <c r="A31" s="114">
        <v>45979</v>
      </c>
      <c r="B31" s="24" t="s">
        <v>149</v>
      </c>
      <c r="C31" s="115" t="s">
        <v>200</v>
      </c>
      <c r="D31" s="115" t="s">
        <v>87</v>
      </c>
      <c r="E31" s="37"/>
      <c r="F31" s="37"/>
      <c r="G31" s="37"/>
      <c r="H31" s="117" t="e">
        <f>_xlfn.XLOOKUP(Table1[[#This Row],[Shipment Number]], 'pivot '!A:A,'pivot '!G:G, "NF")</f>
        <v>#DIV/0!</v>
      </c>
      <c r="I31" s="117">
        <f>_xlfn.XLOOKUP(Table1[[#This Row],[Party Name]],
[1]Billing!$Q$5:$Q$25,
[1]Billing!$U$5:$U$25)</f>
        <v>0</v>
      </c>
      <c r="J31" s="117">
        <f>_xlfn.XLOOKUP(Table1[[#This Row],[Party Name]],
[1]Billing!$Q$5:$Q$25,
[1]Billing!$W$5:$W$25)</f>
        <v>0</v>
      </c>
      <c r="K31" s="115"/>
      <c r="P31"/>
      <c r="Q31"/>
      <c r="R31"/>
      <c r="S31"/>
      <c r="T31"/>
      <c r="U31"/>
      <c r="V31"/>
      <c r="W31"/>
      <c r="X31"/>
      <c r="Y31"/>
    </row>
    <row r="32" spans="1:25" x14ac:dyDescent="0.3">
      <c r="A32" s="114">
        <v>45979</v>
      </c>
      <c r="B32" s="24" t="s">
        <v>27</v>
      </c>
      <c r="C32" s="115" t="s">
        <v>200</v>
      </c>
      <c r="D32" s="115" t="s">
        <v>87</v>
      </c>
      <c r="E32" s="37"/>
      <c r="F32" s="37"/>
      <c r="G32" s="37"/>
      <c r="H32" s="117" t="e">
        <f>_xlfn.XLOOKUP(Table1[[#This Row],[Shipment Number]], 'pivot '!A:A,'pivot '!G:G, "NF")</f>
        <v>#DIV/0!</v>
      </c>
      <c r="I32" s="117">
        <f>_xlfn.XLOOKUP(Table1[[#This Row],[Party Name]],
[1]Billing!$Q$5:$Q$25,
[1]Billing!$U$5:$U$25)</f>
        <v>0</v>
      </c>
      <c r="J32" s="117">
        <f>_xlfn.XLOOKUP(Table1[[#This Row],[Party Name]],
[1]Billing!$Q$5:$Q$25,
[1]Billing!$W$5:$W$25)</f>
        <v>0</v>
      </c>
      <c r="K32" s="115"/>
      <c r="P32"/>
      <c r="Q32"/>
      <c r="R32"/>
      <c r="S32"/>
      <c r="T32"/>
      <c r="U32"/>
      <c r="V32"/>
      <c r="W32"/>
      <c r="X32"/>
      <c r="Y32"/>
    </row>
    <row r="33" spans="1:25" x14ac:dyDescent="0.3">
      <c r="A33" s="114">
        <v>45979</v>
      </c>
      <c r="B33" s="24" t="s">
        <v>167</v>
      </c>
      <c r="C33" s="115" t="s">
        <v>200</v>
      </c>
      <c r="D33" s="115" t="s">
        <v>87</v>
      </c>
      <c r="E33" s="37"/>
      <c r="F33" s="37"/>
      <c r="G33" s="37"/>
      <c r="H33" s="117" t="e">
        <f>_xlfn.XLOOKUP(Table1[[#This Row],[Shipment Number]], 'pivot '!A:A,'pivot '!G:G, "NF")</f>
        <v>#DIV/0!</v>
      </c>
      <c r="I33" s="117">
        <f>_xlfn.XLOOKUP(Table1[[#This Row],[Party Name]],
[1]Billing!$Q$5:$Q$25,
[1]Billing!$U$5:$U$25)</f>
        <v>63154.718361375279</v>
      </c>
      <c r="J33" s="117">
        <f>_xlfn.XLOOKUP(Table1[[#This Row],[Party Name]],
[1]Billing!$Q$5:$Q$25,
[1]Billing!$W$5:$W$25)</f>
        <v>757856.62033650337</v>
      </c>
      <c r="K33" s="115"/>
      <c r="P33"/>
      <c r="Q33"/>
      <c r="R33"/>
      <c r="S33"/>
      <c r="T33"/>
      <c r="U33"/>
      <c r="V33"/>
      <c r="W33"/>
      <c r="X33"/>
      <c r="Y33"/>
    </row>
    <row r="34" spans="1:25" x14ac:dyDescent="0.3">
      <c r="A34" s="114">
        <v>45979</v>
      </c>
      <c r="B34" s="24" t="s">
        <v>169</v>
      </c>
      <c r="C34" s="115" t="s">
        <v>200</v>
      </c>
      <c r="D34" s="115" t="s">
        <v>87</v>
      </c>
      <c r="E34" s="37"/>
      <c r="F34" s="37"/>
      <c r="G34" s="37"/>
      <c r="H34" s="117" t="e">
        <f>_xlfn.XLOOKUP(Table1[[#This Row],[Shipment Number]], 'pivot '!A:A,'pivot '!G:G, "NF")</f>
        <v>#DIV/0!</v>
      </c>
      <c r="I34" s="117">
        <f>_xlfn.XLOOKUP(Table1[[#This Row],[Party Name]],
[1]Billing!$Q$5:$Q$25,
[1]Billing!$U$5:$U$25)</f>
        <v>0</v>
      </c>
      <c r="J34" s="117">
        <f>_xlfn.XLOOKUP(Table1[[#This Row],[Party Name]],
[1]Billing!$Q$5:$Q$25,
[1]Billing!$W$5:$W$25)</f>
        <v>0</v>
      </c>
      <c r="K34" s="115"/>
      <c r="P34"/>
      <c r="Q34"/>
      <c r="R34"/>
      <c r="S34"/>
      <c r="T34"/>
      <c r="U34"/>
      <c r="V34"/>
      <c r="W34"/>
      <c r="X34"/>
      <c r="Y34"/>
    </row>
    <row r="35" spans="1:25" x14ac:dyDescent="0.3">
      <c r="A35" s="114">
        <v>45979</v>
      </c>
      <c r="B35" s="24" t="s">
        <v>176</v>
      </c>
      <c r="C35" s="115" t="s">
        <v>200</v>
      </c>
      <c r="D35" s="115" t="s">
        <v>87</v>
      </c>
      <c r="E35" s="37"/>
      <c r="F35" s="37"/>
      <c r="G35" s="37"/>
      <c r="H35" s="117" t="e">
        <f>_xlfn.XLOOKUP(Table1[[#This Row],[Shipment Number]], 'pivot '!A:A,'pivot '!G:G, "NF")</f>
        <v>#DIV/0!</v>
      </c>
      <c r="I35" s="117">
        <f>_xlfn.XLOOKUP(Table1[[#This Row],[Party Name]],
[1]Billing!$Q$5:$Q$25,
[1]Billing!$U$5:$U$25)</f>
        <v>0</v>
      </c>
      <c r="J35" s="117">
        <f>_xlfn.XLOOKUP(Table1[[#This Row],[Party Name]],
[1]Billing!$Q$5:$Q$25,
[1]Billing!$W$5:$W$25)</f>
        <v>0</v>
      </c>
      <c r="K35" s="115"/>
      <c r="P35"/>
      <c r="Q35"/>
      <c r="R35"/>
      <c r="S35"/>
      <c r="T35"/>
      <c r="U35"/>
      <c r="V35"/>
      <c r="W35"/>
      <c r="X35"/>
      <c r="Y35"/>
    </row>
    <row r="36" spans="1:25" x14ac:dyDescent="0.3">
      <c r="A36" s="114">
        <v>45979</v>
      </c>
      <c r="B36" s="24" t="s">
        <v>177</v>
      </c>
      <c r="C36" s="115" t="s">
        <v>200</v>
      </c>
      <c r="D36" s="115" t="s">
        <v>87</v>
      </c>
      <c r="E36" s="37"/>
      <c r="F36" s="37"/>
      <c r="G36" s="37"/>
      <c r="H36" s="117" t="e">
        <f>_xlfn.XLOOKUP(Table1[[#This Row],[Shipment Number]], 'pivot '!A:A,'pivot '!G:G, "NF")</f>
        <v>#DIV/0!</v>
      </c>
      <c r="I36" s="117">
        <f>_xlfn.XLOOKUP(Table1[[#This Row],[Party Name]],
[1]Billing!$Q$5:$Q$25,
[1]Billing!$U$5:$U$25)</f>
        <v>0</v>
      </c>
      <c r="J36" s="117">
        <f>_xlfn.XLOOKUP(Table1[[#This Row],[Party Name]],
[1]Billing!$Q$5:$Q$25,
[1]Billing!$W$5:$W$25)</f>
        <v>0</v>
      </c>
      <c r="K36" s="115"/>
      <c r="P36"/>
      <c r="Q36"/>
      <c r="R36"/>
      <c r="S36"/>
      <c r="T36"/>
      <c r="U36"/>
      <c r="V36"/>
      <c r="W36"/>
      <c r="X36"/>
      <c r="Y36"/>
    </row>
    <row r="37" spans="1:25" x14ac:dyDescent="0.3">
      <c r="A37" s="114">
        <v>45979</v>
      </c>
      <c r="B37" s="24" t="s">
        <v>179</v>
      </c>
      <c r="C37" s="115" t="s">
        <v>200</v>
      </c>
      <c r="D37" s="115" t="s">
        <v>87</v>
      </c>
      <c r="E37" s="37"/>
      <c r="F37" s="37"/>
      <c r="G37" s="37"/>
      <c r="H37" s="117" t="e">
        <f>_xlfn.XLOOKUP(Table1[[#This Row],[Shipment Number]], 'pivot '!A:A,'pivot '!G:G, "NF")</f>
        <v>#DIV/0!</v>
      </c>
      <c r="I37" s="117">
        <f>_xlfn.XLOOKUP(Table1[[#This Row],[Party Name]],
[1]Billing!$Q$5:$Q$25,
[1]Billing!$U$5:$U$25)</f>
        <v>9232.809070958303</v>
      </c>
      <c r="J37" s="117">
        <f>_xlfn.XLOOKUP(Table1[[#This Row],[Party Name]],
[1]Billing!$Q$5:$Q$25,
[1]Billing!$W$5:$W$25)</f>
        <v>120026.51792245793</v>
      </c>
      <c r="K37" s="115"/>
      <c r="P37"/>
      <c r="Q37"/>
      <c r="R37"/>
      <c r="S37"/>
      <c r="T37"/>
      <c r="U37"/>
      <c r="V37"/>
      <c r="W37"/>
      <c r="X37"/>
      <c r="Y37"/>
    </row>
    <row r="38" spans="1:25" x14ac:dyDescent="0.3">
      <c r="A38" s="114">
        <v>45979</v>
      </c>
      <c r="B38" s="24" t="s">
        <v>184</v>
      </c>
      <c r="C38" s="115" t="s">
        <v>200</v>
      </c>
      <c r="D38" s="115" t="s">
        <v>87</v>
      </c>
      <c r="E38" s="37"/>
      <c r="F38" s="37"/>
      <c r="G38" s="37"/>
      <c r="H38" s="117"/>
      <c r="I38" s="117">
        <f>_xlfn.XLOOKUP(Table1[[#This Row],[Party Name]],
[1]Billing!$Q$5:$Q$25,
[1]Billing!$U$5:$U$25)</f>
        <v>200198.42721287493</v>
      </c>
      <c r="J38" s="117">
        <f>_xlfn.XLOOKUP(Table1[[#This Row],[Party Name]],
[1]Billing!$Q$5:$Q$25,
[1]Billing!$W$5:$W$25)</f>
        <v>2602579.5537673743</v>
      </c>
      <c r="K38" s="115"/>
      <c r="P38"/>
      <c r="Q38"/>
      <c r="R38"/>
      <c r="S38"/>
      <c r="T38"/>
      <c r="U38"/>
      <c r="V38"/>
      <c r="W38"/>
      <c r="X38"/>
      <c r="Y38"/>
    </row>
    <row r="39" spans="1:25" x14ac:dyDescent="0.3">
      <c r="A39" s="114">
        <v>45979</v>
      </c>
      <c r="B39" s="24" t="s">
        <v>187</v>
      </c>
      <c r="C39" s="115" t="s">
        <v>200</v>
      </c>
      <c r="D39" s="115" t="s">
        <v>87</v>
      </c>
      <c r="E39" s="37"/>
      <c r="F39" s="37"/>
      <c r="G39" s="37"/>
      <c r="H39" s="117"/>
      <c r="I39" s="117">
        <f>_xlfn.XLOOKUP(Table1[[#This Row],[Party Name]],
[1]Billing!$Q$5:$Q$25,
[1]Billing!$U$5:$U$25)</f>
        <v>7565.8376005852242</v>
      </c>
      <c r="J39" s="117">
        <f>_xlfn.XLOOKUP(Table1[[#This Row],[Party Name]],
[1]Billing!$Q$5:$Q$25,
[1]Billing!$W$5:$W$25)</f>
        <v>98355.888807607917</v>
      </c>
      <c r="K39" s="115"/>
      <c r="P39"/>
      <c r="Q39"/>
      <c r="R39"/>
      <c r="S39"/>
      <c r="T39"/>
      <c r="U39"/>
      <c r="V39"/>
      <c r="W39"/>
      <c r="X39"/>
      <c r="Y39"/>
    </row>
    <row r="40" spans="1:25" x14ac:dyDescent="0.3">
      <c r="A40" s="114">
        <v>45979</v>
      </c>
      <c r="B40" s="24" t="s">
        <v>188</v>
      </c>
      <c r="C40" s="115" t="s">
        <v>200</v>
      </c>
      <c r="D40" s="115" t="s">
        <v>87</v>
      </c>
      <c r="E40" s="37"/>
      <c r="F40" s="37"/>
      <c r="G40" s="37"/>
      <c r="H40" s="117"/>
      <c r="I40" s="117">
        <f>_xlfn.XLOOKUP(Table1[[#This Row],[Party Name]],
[1]Billing!$Q$5:$Q$25,
[1]Billing!$U$5:$U$25)</f>
        <v>43834.125822970011</v>
      </c>
      <c r="J40" s="117">
        <f>_xlfn.XLOOKUP(Table1[[#This Row],[Party Name]],
[1]Billing!$Q$5:$Q$25,
[1]Billing!$W$5:$W$25)</f>
        <v>569843.63569861022</v>
      </c>
      <c r="K40" s="115"/>
      <c r="P40"/>
      <c r="Q40"/>
      <c r="R40"/>
      <c r="S40"/>
      <c r="T40"/>
      <c r="U40"/>
      <c r="V40"/>
      <c r="W40"/>
      <c r="X40"/>
      <c r="Y40"/>
    </row>
    <row r="41" spans="1:25" x14ac:dyDescent="0.3">
      <c r="A41" s="114">
        <v>45979</v>
      </c>
      <c r="B41" s="24" t="s">
        <v>196</v>
      </c>
      <c r="C41" s="115" t="s">
        <v>200</v>
      </c>
      <c r="D41" s="115" t="s">
        <v>87</v>
      </c>
      <c r="E41" s="37"/>
      <c r="F41" s="37"/>
      <c r="G41" s="37"/>
      <c r="H41" s="117"/>
      <c r="I41" s="117">
        <f>_xlfn.XLOOKUP(Table1[[#This Row],[Party Name]],
[1]Billing!$Q$5:$Q$25,
[1]Billing!$U$5:$U$25)</f>
        <v>0</v>
      </c>
      <c r="J41" s="117">
        <f>_xlfn.XLOOKUP(Table1[[#This Row],[Party Name]],
[1]Billing!$Q$5:$Q$25,
[1]Billing!$W$5:$W$25)</f>
        <v>0</v>
      </c>
      <c r="K41" s="115"/>
      <c r="P41"/>
      <c r="Q41"/>
      <c r="R41"/>
      <c r="S41"/>
      <c r="T41"/>
      <c r="U41"/>
      <c r="V41"/>
      <c r="W41"/>
      <c r="X41"/>
      <c r="Y41"/>
    </row>
    <row r="42" spans="1:25" x14ac:dyDescent="0.3">
      <c r="A42" s="114">
        <v>45979</v>
      </c>
      <c r="B42" s="24" t="s">
        <v>21</v>
      </c>
      <c r="C42" s="115" t="s">
        <v>200</v>
      </c>
      <c r="D42" s="115" t="s">
        <v>198</v>
      </c>
      <c r="E42" s="37"/>
      <c r="F42" s="37"/>
      <c r="G42" s="37"/>
      <c r="H42" s="117"/>
      <c r="I42" s="117"/>
      <c r="J42" s="117">
        <f>_xlfn.XLOOKUP(Table1[[#This Row],[Party Name]],
[1]Billing!$Q$5:$Q$25,
[1]Billing!$X$5:$X$25)</f>
        <v>0</v>
      </c>
      <c r="K42" s="115"/>
      <c r="P42"/>
      <c r="Q42"/>
      <c r="R42"/>
      <c r="S42"/>
      <c r="T42"/>
      <c r="U42"/>
      <c r="V42"/>
      <c r="W42"/>
      <c r="X42"/>
      <c r="Y42"/>
    </row>
    <row r="43" spans="1:25" x14ac:dyDescent="0.3">
      <c r="A43" s="114">
        <v>45979</v>
      </c>
      <c r="B43" s="24" t="s">
        <v>22</v>
      </c>
      <c r="C43" s="115" t="s">
        <v>200</v>
      </c>
      <c r="D43" s="115" t="s">
        <v>198</v>
      </c>
      <c r="E43" s="37"/>
      <c r="F43" s="37"/>
      <c r="G43" s="37"/>
      <c r="H43" s="117"/>
      <c r="I43" s="117"/>
      <c r="J43" s="117">
        <f>_xlfn.XLOOKUP(Table1[[#This Row],[Party Name]],
[1]Billing!$Q$5:$Q$25,
[1]Billing!$X$5:$X$25)</f>
        <v>0</v>
      </c>
      <c r="K43" s="115"/>
      <c r="P43"/>
      <c r="Q43"/>
      <c r="R43"/>
      <c r="S43"/>
      <c r="T43"/>
      <c r="U43"/>
      <c r="V43"/>
      <c r="W43"/>
      <c r="X43"/>
      <c r="Y43"/>
    </row>
    <row r="44" spans="1:25" x14ac:dyDescent="0.3">
      <c r="A44" s="114">
        <v>45979</v>
      </c>
      <c r="B44" s="24" t="s">
        <v>9</v>
      </c>
      <c r="C44" s="115" t="s">
        <v>200</v>
      </c>
      <c r="D44" s="115" t="s">
        <v>198</v>
      </c>
      <c r="E44" s="37"/>
      <c r="F44" s="37"/>
      <c r="G44" s="37"/>
      <c r="H44" s="117"/>
      <c r="I44" s="117"/>
      <c r="J44" s="117">
        <f>_xlfn.XLOOKUP(Table1[[#This Row],[Party Name]],
[1]Billing!$Q$5:$Q$25,
[1]Billing!$X$5:$X$25)</f>
        <v>0</v>
      </c>
      <c r="K44" s="115"/>
      <c r="P44"/>
      <c r="Q44"/>
      <c r="R44"/>
      <c r="S44"/>
      <c r="T44"/>
      <c r="U44"/>
      <c r="V44"/>
      <c r="W44"/>
      <c r="X44"/>
      <c r="Y44"/>
    </row>
    <row r="45" spans="1:25" x14ac:dyDescent="0.3">
      <c r="A45" s="114">
        <v>45979</v>
      </c>
      <c r="B45" s="24" t="s">
        <v>23</v>
      </c>
      <c r="C45" s="115" t="s">
        <v>200</v>
      </c>
      <c r="D45" s="115" t="s">
        <v>198</v>
      </c>
      <c r="E45" s="37"/>
      <c r="F45" s="37"/>
      <c r="G45" s="37"/>
      <c r="H45" s="117"/>
      <c r="I45" s="117"/>
      <c r="J45" s="117">
        <f>_xlfn.XLOOKUP(Table1[[#This Row],[Party Name]],
[1]Billing!$Q$5:$Q$25,
[1]Billing!$X$5:$X$25)</f>
        <v>0</v>
      </c>
      <c r="K45" s="115"/>
      <c r="P45"/>
      <c r="Q45"/>
      <c r="R45"/>
      <c r="S45"/>
      <c r="T45"/>
      <c r="U45"/>
      <c r="V45"/>
      <c r="W45"/>
      <c r="X45"/>
      <c r="Y45"/>
    </row>
    <row r="46" spans="1:25" x14ac:dyDescent="0.3">
      <c r="A46" s="114">
        <v>45979</v>
      </c>
      <c r="B46" s="24" t="s">
        <v>24</v>
      </c>
      <c r="C46" s="115" t="s">
        <v>200</v>
      </c>
      <c r="D46" s="115" t="s">
        <v>198</v>
      </c>
      <c r="E46" s="37"/>
      <c r="F46" s="37"/>
      <c r="G46" s="37"/>
      <c r="H46" s="117" t="e">
        <f>_xlfn.XLOOKUP(Table1[[#This Row],[Shipment Number]], 'pivot '!A:A,'pivot '!G:G, "NF")</f>
        <v>#DIV/0!</v>
      </c>
      <c r="I46" s="117"/>
      <c r="J46" s="117">
        <f>_xlfn.XLOOKUP(Table1[[#This Row],[Party Name]],
[1]Billing!$Q$5:$Q$25,
[1]Billing!$X$5:$X$25)</f>
        <v>0</v>
      </c>
      <c r="K46" s="115"/>
      <c r="P46"/>
      <c r="Q46"/>
      <c r="R46"/>
      <c r="S46"/>
      <c r="T46"/>
      <c r="U46"/>
      <c r="V46"/>
      <c r="W46"/>
      <c r="X46"/>
      <c r="Y46"/>
    </row>
    <row r="47" spans="1:25" x14ac:dyDescent="0.3">
      <c r="A47" s="114">
        <v>45979</v>
      </c>
      <c r="B47" s="24" t="s">
        <v>25</v>
      </c>
      <c r="C47" s="115" t="s">
        <v>200</v>
      </c>
      <c r="D47" s="115" t="s">
        <v>198</v>
      </c>
      <c r="E47" s="37"/>
      <c r="F47" s="37"/>
      <c r="G47" s="37"/>
      <c r="H47" s="117" t="e">
        <f>_xlfn.XLOOKUP(Table1[[#This Row],[Shipment Number]], 'pivot '!A:A,'pivot '!G:G, "NF")</f>
        <v>#DIV/0!</v>
      </c>
      <c r="I47" s="117"/>
      <c r="J47" s="117">
        <f>_xlfn.XLOOKUP(Table1[[#This Row],[Party Name]],
[1]Billing!$Q$5:$Q$25,
[1]Billing!$X$5:$X$25)</f>
        <v>71359.729334308722</v>
      </c>
      <c r="K47" s="115"/>
      <c r="P47"/>
      <c r="Q47"/>
      <c r="R47"/>
      <c r="S47"/>
      <c r="T47"/>
      <c r="U47"/>
      <c r="V47"/>
      <c r="W47"/>
      <c r="X47"/>
      <c r="Y47"/>
    </row>
    <row r="48" spans="1:25" x14ac:dyDescent="0.3">
      <c r="A48" s="114">
        <v>45979</v>
      </c>
      <c r="B48" s="24" t="s">
        <v>26</v>
      </c>
      <c r="C48" s="115" t="s">
        <v>200</v>
      </c>
      <c r="D48" s="115" t="s">
        <v>198</v>
      </c>
      <c r="E48" s="37"/>
      <c r="F48" s="37"/>
      <c r="G48" s="37"/>
      <c r="H48" s="117" t="e">
        <f>_xlfn.XLOOKUP(Table1[[#This Row],[Shipment Number]], 'pivot '!A:A,'pivot '!G:G, "NF")</f>
        <v>#DIV/0!</v>
      </c>
      <c r="I48" s="117"/>
      <c r="J48" s="117">
        <f>_xlfn.XLOOKUP(Table1[[#This Row],[Party Name]],
[1]Billing!$Q$5:$Q$25,
[1]Billing!$X$5:$X$25)</f>
        <v>0</v>
      </c>
      <c r="K48" s="115"/>
      <c r="P48"/>
      <c r="Q48"/>
      <c r="R48"/>
      <c r="S48"/>
      <c r="T48"/>
      <c r="U48"/>
      <c r="V48"/>
      <c r="W48"/>
      <c r="X48"/>
      <c r="Y48"/>
    </row>
    <row r="49" spans="1:25" x14ac:dyDescent="0.3">
      <c r="A49" s="114">
        <v>45979</v>
      </c>
      <c r="B49" s="24" t="s">
        <v>153</v>
      </c>
      <c r="C49" s="115" t="s">
        <v>200</v>
      </c>
      <c r="D49" s="115" t="s">
        <v>198</v>
      </c>
      <c r="E49" s="37"/>
      <c r="F49" s="37"/>
      <c r="G49" s="37"/>
      <c r="H49" s="117" t="e">
        <f>_xlfn.XLOOKUP(Table1[[#This Row],[Shipment Number]], 'pivot '!A:A,'pivot '!G:G, "NF")</f>
        <v>#DIV/0!</v>
      </c>
      <c r="I49" s="117"/>
      <c r="J49" s="117">
        <f>_xlfn.XLOOKUP(Table1[[#This Row],[Party Name]],
[1]Billing!$Q$5:$Q$25,
[1]Billing!$X$5:$X$25)</f>
        <v>0</v>
      </c>
      <c r="K49" s="115"/>
      <c r="P49"/>
      <c r="Q49"/>
      <c r="R49"/>
      <c r="S49"/>
      <c r="T49"/>
      <c r="U49"/>
      <c r="V49"/>
      <c r="W49"/>
      <c r="X49"/>
      <c r="Y49"/>
    </row>
    <row r="50" spans="1:25" x14ac:dyDescent="0.3">
      <c r="A50" s="114">
        <v>45979</v>
      </c>
      <c r="B50" s="24" t="s">
        <v>35</v>
      </c>
      <c r="C50" s="115" t="s">
        <v>200</v>
      </c>
      <c r="D50" s="115" t="s">
        <v>198</v>
      </c>
      <c r="E50" s="37"/>
      <c r="F50" s="37"/>
      <c r="G50" s="37"/>
      <c r="H50" s="117" t="e">
        <f>_xlfn.XLOOKUP(Table1[[#This Row],[Shipment Number]], 'pivot '!A:A,'pivot '!G:G, "NF")</f>
        <v>#DIV/0!</v>
      </c>
      <c r="I50" s="117"/>
      <c r="J50" s="117">
        <f>_xlfn.XLOOKUP(Table1[[#This Row],[Party Name]],
[1]Billing!$Q$5:$Q$25,
[1]Billing!$X$5:$X$25)</f>
        <v>0</v>
      </c>
      <c r="K50" s="115"/>
      <c r="P50"/>
      <c r="Q50"/>
      <c r="R50"/>
      <c r="S50"/>
      <c r="T50"/>
      <c r="U50"/>
      <c r="V50"/>
      <c r="W50"/>
      <c r="X50"/>
      <c r="Y50"/>
    </row>
    <row r="51" spans="1:25" x14ac:dyDescent="0.3">
      <c r="A51" s="114">
        <v>45979</v>
      </c>
      <c r="B51" s="24" t="s">
        <v>149</v>
      </c>
      <c r="C51" s="115" t="s">
        <v>200</v>
      </c>
      <c r="D51" s="115" t="s">
        <v>198</v>
      </c>
      <c r="E51" s="37"/>
      <c r="F51" s="37"/>
      <c r="G51" s="37"/>
      <c r="H51" s="117" t="e">
        <f>_xlfn.XLOOKUP(Table1[[#This Row],[Shipment Number]], 'pivot '!A:A,'pivot '!G:G, "NF")</f>
        <v>#DIV/0!</v>
      </c>
      <c r="I51" s="117"/>
      <c r="J51" s="117">
        <f>_xlfn.XLOOKUP(Table1[[#This Row],[Party Name]],
[1]Billing!$Q$5:$Q$25,
[1]Billing!$X$5:$X$25)</f>
        <v>0</v>
      </c>
      <c r="K51" s="115"/>
      <c r="P51"/>
      <c r="Q51"/>
      <c r="R51"/>
      <c r="S51"/>
      <c r="T51"/>
      <c r="U51"/>
      <c r="V51"/>
      <c r="W51"/>
      <c r="X51"/>
      <c r="Y51"/>
    </row>
    <row r="52" spans="1:25" x14ac:dyDescent="0.3">
      <c r="A52" s="114">
        <v>45979</v>
      </c>
      <c r="B52" s="24" t="s">
        <v>27</v>
      </c>
      <c r="C52" s="115" t="s">
        <v>200</v>
      </c>
      <c r="D52" s="115" t="s">
        <v>198</v>
      </c>
      <c r="E52" s="37"/>
      <c r="F52" s="37"/>
      <c r="G52" s="37"/>
      <c r="H52" s="117" t="e">
        <f>_xlfn.XLOOKUP(Table1[[#This Row],[Shipment Number]], 'pivot '!A:A,'pivot '!G:G, "NF")</f>
        <v>#DIV/0!</v>
      </c>
      <c r="I52" s="117"/>
      <c r="J52" s="117">
        <f>_xlfn.XLOOKUP(Table1[[#This Row],[Party Name]],
[1]Billing!$Q$5:$Q$25,
[1]Billing!$X$5:$X$25)</f>
        <v>0</v>
      </c>
      <c r="K52" s="115"/>
      <c r="P52"/>
      <c r="Q52"/>
      <c r="R52"/>
      <c r="S52"/>
      <c r="T52"/>
      <c r="U52"/>
      <c r="V52"/>
      <c r="W52"/>
      <c r="X52"/>
      <c r="Y52"/>
    </row>
    <row r="53" spans="1:25" x14ac:dyDescent="0.3">
      <c r="A53" s="114">
        <v>45979</v>
      </c>
      <c r="B53" s="24" t="s">
        <v>167</v>
      </c>
      <c r="C53" s="115" t="s">
        <v>200</v>
      </c>
      <c r="D53" s="115" t="s">
        <v>198</v>
      </c>
      <c r="E53" s="37"/>
      <c r="F53" s="37"/>
      <c r="G53" s="37"/>
      <c r="H53" s="117" t="e">
        <f>_xlfn.XLOOKUP(Table1[[#This Row],[Shipment Number]], 'pivot '!A:A,'pivot '!G:G, "NF")</f>
        <v>#DIV/0!</v>
      </c>
      <c r="I53" s="117"/>
      <c r="J53" s="117">
        <f>_xlfn.XLOOKUP(Table1[[#This Row],[Party Name]],
[1]Billing!$Q$5:$Q$25,
[1]Billing!$X$5:$X$25)</f>
        <v>0</v>
      </c>
      <c r="K53" s="115"/>
      <c r="P53"/>
      <c r="Q53"/>
      <c r="R53"/>
      <c r="S53"/>
      <c r="T53"/>
      <c r="U53"/>
      <c r="V53"/>
      <c r="W53"/>
      <c r="X53"/>
      <c r="Y53"/>
    </row>
    <row r="54" spans="1:25" x14ac:dyDescent="0.3">
      <c r="A54" s="114">
        <v>45979</v>
      </c>
      <c r="B54" s="24" t="s">
        <v>169</v>
      </c>
      <c r="C54" s="115" t="s">
        <v>200</v>
      </c>
      <c r="D54" s="115" t="s">
        <v>198</v>
      </c>
      <c r="E54" s="37"/>
      <c r="F54" s="37"/>
      <c r="G54" s="37"/>
      <c r="H54" s="117" t="e">
        <f>_xlfn.XLOOKUP(Table1[[#This Row],[Shipment Number]], 'pivot '!A:A,'pivot '!G:G, "NF")</f>
        <v>#DIV/0!</v>
      </c>
      <c r="I54" s="117"/>
      <c r="J54" s="117">
        <f>_xlfn.XLOOKUP(Table1[[#This Row],[Party Name]],
[1]Billing!$Q$5:$Q$25,
[1]Billing!$X$5:$X$25)</f>
        <v>0</v>
      </c>
      <c r="K54" s="115"/>
      <c r="P54"/>
      <c r="Q54"/>
      <c r="R54"/>
      <c r="S54"/>
      <c r="T54"/>
      <c r="U54"/>
      <c r="V54"/>
      <c r="W54"/>
      <c r="X54"/>
      <c r="Y54"/>
    </row>
    <row r="55" spans="1:25" x14ac:dyDescent="0.3">
      <c r="A55" s="114">
        <v>45979</v>
      </c>
      <c r="B55" s="24" t="s">
        <v>176</v>
      </c>
      <c r="C55" s="115" t="s">
        <v>200</v>
      </c>
      <c r="D55" s="115" t="s">
        <v>198</v>
      </c>
      <c r="E55" s="37"/>
      <c r="F55" s="37"/>
      <c r="G55" s="37"/>
      <c r="H55" s="117" t="e">
        <f>_xlfn.XLOOKUP(Table1[[#This Row],[Shipment Number]], 'pivot '!A:A,'pivot '!G:G, "NF")</f>
        <v>#DIV/0!</v>
      </c>
      <c r="I55" s="117"/>
      <c r="J55" s="117">
        <f>_xlfn.XLOOKUP(Table1[[#This Row],[Party Name]],
[1]Billing!$Q$5:$Q$25,
[1]Billing!$X$5:$X$25)</f>
        <v>0</v>
      </c>
      <c r="K55" s="115"/>
      <c r="P55"/>
      <c r="Q55"/>
      <c r="R55"/>
      <c r="S55"/>
      <c r="T55"/>
      <c r="U55"/>
      <c r="V55"/>
      <c r="W55"/>
      <c r="X55"/>
      <c r="Y55"/>
    </row>
    <row r="56" spans="1:25" x14ac:dyDescent="0.3">
      <c r="A56" s="114">
        <v>45979</v>
      </c>
      <c r="B56" s="24" t="s">
        <v>177</v>
      </c>
      <c r="C56" s="115" t="s">
        <v>200</v>
      </c>
      <c r="D56" s="115" t="s">
        <v>198</v>
      </c>
      <c r="E56" s="37"/>
      <c r="F56" s="37"/>
      <c r="G56" s="37"/>
      <c r="H56" s="117" t="e">
        <f>_xlfn.XLOOKUP(Table1[[#This Row],[Shipment Number]], 'pivot '!A:A,'pivot '!G:G, "NF")</f>
        <v>#DIV/0!</v>
      </c>
      <c r="I56" s="117"/>
      <c r="J56" s="117">
        <f>_xlfn.XLOOKUP(Table1[[#This Row],[Party Name]],
[1]Billing!$Q$5:$Q$25,
[1]Billing!$X$5:$X$25)</f>
        <v>0</v>
      </c>
      <c r="K56" s="115"/>
      <c r="P56"/>
      <c r="Q56"/>
      <c r="R56"/>
      <c r="S56"/>
      <c r="T56"/>
      <c r="U56"/>
      <c r="V56"/>
      <c r="W56"/>
      <c r="X56"/>
      <c r="Y56"/>
    </row>
    <row r="57" spans="1:25" x14ac:dyDescent="0.3">
      <c r="A57" s="114">
        <v>45979</v>
      </c>
      <c r="B57" s="24" t="s">
        <v>179</v>
      </c>
      <c r="C57" s="115" t="s">
        <v>200</v>
      </c>
      <c r="D57" s="115" t="s">
        <v>198</v>
      </c>
      <c r="E57" s="37"/>
      <c r="F57" s="37"/>
      <c r="G57" s="37"/>
      <c r="H57" s="117" t="e">
        <f>_xlfn.XLOOKUP(Table1[[#This Row],[Shipment Number]], 'pivot '!A:A,'pivot '!G:G, "NF")</f>
        <v>#DIV/0!</v>
      </c>
      <c r="I57" s="117"/>
      <c r="J57" s="117">
        <f>_xlfn.XLOOKUP(Table1[[#This Row],[Party Name]],
[1]Billing!$Q$5:$Q$25,
[1]Billing!$X$5:$X$25)</f>
        <v>0</v>
      </c>
      <c r="K57" s="115"/>
      <c r="P57"/>
      <c r="Q57"/>
      <c r="R57"/>
      <c r="S57"/>
      <c r="T57"/>
      <c r="U57"/>
      <c r="V57"/>
      <c r="W57"/>
      <c r="X57"/>
      <c r="Y57"/>
    </row>
    <row r="58" spans="1:25" x14ac:dyDescent="0.3">
      <c r="A58" s="114">
        <v>45979</v>
      </c>
      <c r="B58" s="24" t="s">
        <v>184</v>
      </c>
      <c r="C58" s="115" t="s">
        <v>200</v>
      </c>
      <c r="D58" s="115" t="s">
        <v>198</v>
      </c>
      <c r="E58" s="37"/>
      <c r="F58" s="37"/>
      <c r="G58" s="37"/>
      <c r="H58" s="117" t="e">
        <f>_xlfn.XLOOKUP(Table1[[#This Row],[Shipment Number]], 'pivot '!A:A,'pivot '!G:G, "NF")</f>
        <v>#DIV/0!</v>
      </c>
      <c r="I58" s="117"/>
      <c r="J58" s="117">
        <f>_xlfn.XLOOKUP(Table1[[#This Row],[Party Name]],
[1]Billing!$Q$5:$Q$25,
[1]Billing!$X$5:$X$25)</f>
        <v>44550.109729334312</v>
      </c>
      <c r="K58" s="115"/>
      <c r="P58"/>
      <c r="Q58"/>
      <c r="R58"/>
      <c r="S58"/>
      <c r="T58"/>
      <c r="U58"/>
      <c r="V58"/>
      <c r="W58"/>
    </row>
    <row r="59" spans="1:25" x14ac:dyDescent="0.3">
      <c r="A59" s="114">
        <v>45979</v>
      </c>
      <c r="B59" s="24" t="s">
        <v>187</v>
      </c>
      <c r="C59" s="115" t="s">
        <v>200</v>
      </c>
      <c r="D59" s="115" t="s">
        <v>198</v>
      </c>
      <c r="E59" s="37"/>
      <c r="F59" s="37"/>
      <c r="G59" s="37"/>
      <c r="H59" s="117" t="e">
        <f>_xlfn.XLOOKUP(Table1[[#This Row],[Shipment Number]], 'pivot '!A:A,'pivot '!G:G, "NF")</f>
        <v>#DIV/0!</v>
      </c>
      <c r="I59" s="117"/>
      <c r="J59" s="117">
        <f>_xlfn.XLOOKUP(Table1[[#This Row],[Party Name]],
[1]Billing!$Q$5:$Q$25,
[1]Billing!$X$5:$X$25)</f>
        <v>0</v>
      </c>
      <c r="K59" s="115"/>
      <c r="P59"/>
      <c r="Q59"/>
      <c r="R59"/>
      <c r="S59"/>
      <c r="T59"/>
      <c r="U59"/>
    </row>
    <row r="60" spans="1:25" x14ac:dyDescent="0.3">
      <c r="A60" s="114">
        <v>45979</v>
      </c>
      <c r="B60" s="24" t="s">
        <v>188</v>
      </c>
      <c r="C60" s="115" t="s">
        <v>200</v>
      </c>
      <c r="D60" s="115" t="s">
        <v>198</v>
      </c>
      <c r="E60" s="37"/>
      <c r="F60" s="37"/>
      <c r="G60" s="37"/>
      <c r="H60" s="117" t="e">
        <f>_xlfn.XLOOKUP(Table1[[#This Row],[Shipment Number]], 'pivot '!A:A,'pivot '!G:G, "NF")</f>
        <v>#DIV/0!</v>
      </c>
      <c r="I60" s="117"/>
      <c r="J60" s="117">
        <f>_xlfn.XLOOKUP(Table1[[#This Row],[Party Name]],
[1]Billing!$Q$5:$Q$25,
[1]Billing!$X$5:$X$25)</f>
        <v>0</v>
      </c>
      <c r="K60" s="115"/>
      <c r="M60"/>
      <c r="P60"/>
      <c r="Q60"/>
      <c r="R60"/>
      <c r="S60"/>
      <c r="T60"/>
      <c r="U60"/>
    </row>
    <row r="61" spans="1:25" x14ac:dyDescent="0.3">
      <c r="A61" s="114">
        <v>45979</v>
      </c>
      <c r="B61" s="24" t="s">
        <v>196</v>
      </c>
      <c r="C61" s="115" t="s">
        <v>200</v>
      </c>
      <c r="D61" s="115" t="s">
        <v>198</v>
      </c>
      <c r="E61" s="37"/>
      <c r="F61" s="37"/>
      <c r="G61" s="37"/>
      <c r="H61" s="117" t="e">
        <f>_xlfn.XLOOKUP(Table1[[#This Row],[Shipment Number]], 'pivot '!A:A,'pivot '!G:G, "NF")</f>
        <v>#DIV/0!</v>
      </c>
      <c r="I61" s="117"/>
      <c r="J61" s="117">
        <f>_xlfn.XLOOKUP(Table1[[#This Row],[Party Name]],
[1]Billing!$Q$5:$Q$25,
[1]Billing!$X$5:$X$25)</f>
        <v>0</v>
      </c>
      <c r="K61" s="115"/>
      <c r="M61"/>
      <c r="P61"/>
      <c r="Q61"/>
      <c r="R61"/>
      <c r="S61"/>
    </row>
    <row r="62" spans="1:25" x14ac:dyDescent="0.3">
      <c r="A62" s="114">
        <v>45979</v>
      </c>
      <c r="B62" s="24" t="s">
        <v>21</v>
      </c>
      <c r="C62" s="115" t="s">
        <v>200</v>
      </c>
      <c r="D62" s="115" t="s">
        <v>199</v>
      </c>
      <c r="E62" s="37"/>
      <c r="F62" s="37"/>
      <c r="G62" s="37"/>
      <c r="H62" s="117" t="e">
        <f>_xlfn.XLOOKUP(Table1[[#This Row],[Shipment Number]], 'pivot '!A:A,'pivot '!G:G, "NF")</f>
        <v>#DIV/0!</v>
      </c>
      <c r="I62" s="117"/>
      <c r="J62" s="117">
        <f>_xlfn.XLOOKUP(Table1[[#This Row],[Party Name]],
[1]Billing!$Q$5:$Q$25,
[1]Billing!$Y$5:$Y$25)</f>
        <v>0</v>
      </c>
      <c r="K62" s="115"/>
      <c r="M62"/>
      <c r="P62"/>
      <c r="Q62"/>
      <c r="R62"/>
      <c r="S62"/>
    </row>
    <row r="63" spans="1:25" x14ac:dyDescent="0.3">
      <c r="A63" s="114">
        <v>45979</v>
      </c>
      <c r="B63" s="24" t="s">
        <v>22</v>
      </c>
      <c r="C63" s="115" t="s">
        <v>200</v>
      </c>
      <c r="D63" s="115" t="s">
        <v>199</v>
      </c>
      <c r="E63" s="37"/>
      <c r="F63" s="37"/>
      <c r="G63" s="37"/>
      <c r="H63" s="117" t="e">
        <f>_xlfn.XLOOKUP(Table1[[#This Row],[Shipment Number]], 'pivot '!A:A,'pivot '!G:G, "NF")</f>
        <v>#DIV/0!</v>
      </c>
      <c r="I63" s="117"/>
      <c r="J63" s="117">
        <f>_xlfn.XLOOKUP(Table1[[#This Row],[Party Name]],
[1]Billing!$Q$5:$Q$25,
[1]Billing!$Y$5:$Y$25)</f>
        <v>0</v>
      </c>
      <c r="K63" s="115"/>
      <c r="S63"/>
    </row>
    <row r="64" spans="1:25" x14ac:dyDescent="0.3">
      <c r="A64" s="114">
        <v>45979</v>
      </c>
      <c r="B64" s="24" t="s">
        <v>9</v>
      </c>
      <c r="C64" s="115" t="s">
        <v>200</v>
      </c>
      <c r="D64" s="115" t="s">
        <v>199</v>
      </c>
      <c r="E64" s="37"/>
      <c r="F64" s="37"/>
      <c r="G64" s="37"/>
      <c r="H64" s="117" t="e">
        <f>_xlfn.XLOOKUP(Table1[[#This Row],[Shipment Number]], 'pivot '!A:A,'pivot '!G:G, "NF")</f>
        <v>#DIV/0!</v>
      </c>
      <c r="I64" s="117"/>
      <c r="J64" s="117">
        <f>_xlfn.XLOOKUP(Table1[[#This Row],[Party Name]],
[1]Billing!$Q$5:$Q$25,
[1]Billing!$Y$5:$Y$25)</f>
        <v>0</v>
      </c>
      <c r="K64" s="115"/>
      <c r="S64"/>
    </row>
    <row r="65" spans="1:19" x14ac:dyDescent="0.3">
      <c r="A65" s="114">
        <v>45979</v>
      </c>
      <c r="B65" s="24" t="s">
        <v>23</v>
      </c>
      <c r="C65" s="115" t="s">
        <v>200</v>
      </c>
      <c r="D65" s="115" t="s">
        <v>199</v>
      </c>
      <c r="E65" s="37"/>
      <c r="F65" s="37"/>
      <c r="G65" s="37"/>
      <c r="H65" s="117" t="e">
        <f>_xlfn.XLOOKUP(Table1[[#This Row],[Shipment Number]], 'pivot '!A:A,'pivot '!G:G, "NF")</f>
        <v>#DIV/0!</v>
      </c>
      <c r="I65" s="117"/>
      <c r="J65" s="117">
        <f>_xlfn.XLOOKUP(Table1[[#This Row],[Party Name]],
[1]Billing!$Q$5:$Q$25,
[1]Billing!$Y$5:$Y$25)</f>
        <v>0</v>
      </c>
      <c r="K65" s="115"/>
      <c r="S65"/>
    </row>
    <row r="66" spans="1:19" x14ac:dyDescent="0.3">
      <c r="A66" s="114">
        <v>45979</v>
      </c>
      <c r="B66" s="24" t="s">
        <v>24</v>
      </c>
      <c r="C66" s="115" t="s">
        <v>200</v>
      </c>
      <c r="D66" s="115" t="s">
        <v>199</v>
      </c>
      <c r="E66" s="37"/>
      <c r="F66" s="37"/>
      <c r="G66" s="37"/>
      <c r="H66" s="117" t="e">
        <f>_xlfn.XLOOKUP(Table1[[#This Row],[Shipment Number]], 'pivot '!A:A,'pivot '!G:G, "NF")</f>
        <v>#DIV/0!</v>
      </c>
      <c r="I66" s="117"/>
      <c r="J66" s="117">
        <f>_xlfn.XLOOKUP(Table1[[#This Row],[Party Name]],
[1]Billing!$Q$5:$Q$25,
[1]Billing!$Y$5:$Y$25)</f>
        <v>0</v>
      </c>
      <c r="K66" s="115"/>
      <c r="S66"/>
    </row>
    <row r="67" spans="1:19" x14ac:dyDescent="0.3">
      <c r="A67" s="114">
        <v>45979</v>
      </c>
      <c r="B67" s="24" t="s">
        <v>25</v>
      </c>
      <c r="C67" s="115" t="s">
        <v>200</v>
      </c>
      <c r="D67" s="115" t="s">
        <v>199</v>
      </c>
      <c r="E67" s="37"/>
      <c r="F67" s="37"/>
      <c r="G67" s="37"/>
      <c r="H67" s="117" t="e">
        <f>_xlfn.XLOOKUP(Table1[[#This Row],[Shipment Number]], 'pivot '!A:A,'pivot '!G:G, "NF")</f>
        <v>#DIV/0!</v>
      </c>
      <c r="I67" s="117"/>
      <c r="J67" s="117">
        <f>_xlfn.XLOOKUP(Table1[[#This Row],[Party Name]],
[1]Billing!$Q$5:$Q$25,
[1]Billing!$Y$5:$Y$25)</f>
        <v>0</v>
      </c>
      <c r="K67" s="115"/>
      <c r="S67"/>
    </row>
    <row r="68" spans="1:19" x14ac:dyDescent="0.3">
      <c r="A68" s="114">
        <v>45979</v>
      </c>
      <c r="B68" s="24" t="s">
        <v>26</v>
      </c>
      <c r="C68" s="115" t="s">
        <v>200</v>
      </c>
      <c r="D68" s="115" t="s">
        <v>199</v>
      </c>
      <c r="E68" s="37"/>
      <c r="F68" s="37"/>
      <c r="G68" s="37"/>
      <c r="H68" s="117" t="e">
        <f>_xlfn.XLOOKUP(Table1[[#This Row],[Shipment Number]], 'pivot '!A:A,'pivot '!G:G, "NF")</f>
        <v>#DIV/0!</v>
      </c>
      <c r="I68" s="117"/>
      <c r="J68" s="117">
        <f>_xlfn.XLOOKUP(Table1[[#This Row],[Party Name]],
[1]Billing!$Q$5:$Q$25,
[1]Billing!$Y$5:$Y$25)</f>
        <v>0</v>
      </c>
      <c r="K68" s="115"/>
      <c r="S68"/>
    </row>
    <row r="69" spans="1:19" x14ac:dyDescent="0.3">
      <c r="A69" s="114">
        <v>45979</v>
      </c>
      <c r="B69" s="24" t="s">
        <v>153</v>
      </c>
      <c r="C69" s="115" t="s">
        <v>200</v>
      </c>
      <c r="D69" s="115" t="s">
        <v>199</v>
      </c>
      <c r="E69" s="37"/>
      <c r="F69" s="37"/>
      <c r="G69" s="37"/>
      <c r="H69" s="117" t="e">
        <f>_xlfn.XLOOKUP(Table1[[#This Row],[Shipment Number]], 'pivot '!A:A,'pivot '!G:G, "NF")</f>
        <v>#DIV/0!</v>
      </c>
      <c r="I69" s="117"/>
      <c r="J69" s="117">
        <f>_xlfn.XLOOKUP(Table1[[#This Row],[Party Name]],
[1]Billing!$Q$5:$Q$25,
[1]Billing!$Y$5:$Y$25)</f>
        <v>0</v>
      </c>
      <c r="K69" s="115"/>
      <c r="S69"/>
    </row>
    <row r="70" spans="1:19" x14ac:dyDescent="0.3">
      <c r="A70" s="114">
        <v>45979</v>
      </c>
      <c r="B70" s="24" t="s">
        <v>35</v>
      </c>
      <c r="C70" s="115" t="s">
        <v>200</v>
      </c>
      <c r="D70" s="115" t="s">
        <v>199</v>
      </c>
      <c r="E70" s="37"/>
      <c r="F70" s="37"/>
      <c r="G70" s="37"/>
      <c r="H70" s="117" t="e">
        <f>_xlfn.XLOOKUP(Table1[[#This Row],[Shipment Number]], 'pivot '!A:A,'pivot '!G:G, "NF")</f>
        <v>#DIV/0!</v>
      </c>
      <c r="I70" s="117"/>
      <c r="J70" s="117">
        <f>_xlfn.XLOOKUP(Table1[[#This Row],[Party Name]],
[1]Billing!$Q$5:$Q$25,
[1]Billing!$Y$5:$Y$25)</f>
        <v>0</v>
      </c>
      <c r="K70" s="115"/>
      <c r="S70"/>
    </row>
    <row r="71" spans="1:19" x14ac:dyDescent="0.3">
      <c r="A71" s="114">
        <v>45979</v>
      </c>
      <c r="B71" s="24" t="s">
        <v>149</v>
      </c>
      <c r="C71" s="115" t="s">
        <v>200</v>
      </c>
      <c r="D71" s="115" t="s">
        <v>199</v>
      </c>
      <c r="E71" s="37"/>
      <c r="F71" s="37"/>
      <c r="G71" s="37"/>
      <c r="H71" s="117" t="e">
        <f>_xlfn.XLOOKUP(Table1[[#This Row],[Shipment Number]], 'pivot '!A:A,'pivot '!G:G, "NF")</f>
        <v>#DIV/0!</v>
      </c>
      <c r="I71" s="117"/>
      <c r="J71" s="117">
        <f>_xlfn.XLOOKUP(Table1[[#This Row],[Party Name]],
[1]Billing!$Q$5:$Q$25,
[1]Billing!$Y$5:$Y$25)</f>
        <v>0</v>
      </c>
      <c r="K71" s="115"/>
      <c r="S71"/>
    </row>
    <row r="72" spans="1:19" x14ac:dyDescent="0.3">
      <c r="A72" s="114">
        <v>45979</v>
      </c>
      <c r="B72" s="24" t="s">
        <v>27</v>
      </c>
      <c r="C72" s="115" t="s">
        <v>200</v>
      </c>
      <c r="D72" s="115" t="s">
        <v>199</v>
      </c>
      <c r="E72" s="37"/>
      <c r="F72" s="37"/>
      <c r="G72" s="37"/>
      <c r="H72" s="117" t="e">
        <f>_xlfn.XLOOKUP(Table1[[#This Row],[Shipment Number]], 'pivot '!A:A,'pivot '!G:G, "NF")</f>
        <v>#DIV/0!</v>
      </c>
      <c r="I72" s="117"/>
      <c r="J72" s="117">
        <f>_xlfn.XLOOKUP(Table1[[#This Row],[Party Name]],
[1]Billing!$Q$5:$Q$25,
[1]Billing!$Y$5:$Y$25)</f>
        <v>0</v>
      </c>
      <c r="K72" s="115"/>
      <c r="S72"/>
    </row>
    <row r="73" spans="1:19" x14ac:dyDescent="0.3">
      <c r="A73" s="114">
        <v>45979</v>
      </c>
      <c r="B73" s="24" t="s">
        <v>167</v>
      </c>
      <c r="C73" s="115" t="s">
        <v>200</v>
      </c>
      <c r="D73" s="115" t="s">
        <v>199</v>
      </c>
      <c r="E73" s="37"/>
      <c r="F73" s="37"/>
      <c r="G73" s="37"/>
      <c r="H73" s="117" t="e">
        <f>_xlfn.XLOOKUP(Table1[[#This Row],[Shipment Number]], 'pivot '!A:A,'pivot '!G:G, "NF")</f>
        <v>#DIV/0!</v>
      </c>
      <c r="I73" s="117"/>
      <c r="J73" s="117">
        <f>_xlfn.XLOOKUP(Table1[[#This Row],[Party Name]],
[1]Billing!$Q$5:$Q$25,
[1]Billing!$Y$5:$Y$25)</f>
        <v>0</v>
      </c>
      <c r="K73" s="115"/>
    </row>
    <row r="74" spans="1:19" x14ac:dyDescent="0.3">
      <c r="A74" s="114">
        <v>45979</v>
      </c>
      <c r="B74" s="24" t="s">
        <v>169</v>
      </c>
      <c r="C74" s="115" t="s">
        <v>200</v>
      </c>
      <c r="D74" s="115" t="s">
        <v>199</v>
      </c>
      <c r="E74" s="37"/>
      <c r="F74" s="37"/>
      <c r="G74" s="37"/>
      <c r="H74" s="117" t="e">
        <f>_xlfn.XLOOKUP(Table1[[#This Row],[Shipment Number]], 'pivot '!A:A,'pivot '!G:G, "NF")</f>
        <v>#DIV/0!</v>
      </c>
      <c r="I74" s="117"/>
      <c r="J74" s="117">
        <f>_xlfn.XLOOKUP(Table1[[#This Row],[Party Name]],
[1]Billing!$Q$5:$Q$25,
[1]Billing!$Y$5:$Y$25)</f>
        <v>0</v>
      </c>
      <c r="K74" s="115"/>
    </row>
    <row r="75" spans="1:19" x14ac:dyDescent="0.3">
      <c r="A75" s="114">
        <v>45979</v>
      </c>
      <c r="B75" s="24" t="s">
        <v>176</v>
      </c>
      <c r="C75" s="115" t="s">
        <v>200</v>
      </c>
      <c r="D75" s="115" t="s">
        <v>199</v>
      </c>
      <c r="E75" s="37"/>
      <c r="F75" s="37"/>
      <c r="G75" s="37"/>
      <c r="H75" s="117" t="e">
        <f>_xlfn.XLOOKUP(Table1[[#This Row],[Shipment Number]], 'pivot '!A:A,'pivot '!G:G, "NF")</f>
        <v>#DIV/0!</v>
      </c>
      <c r="I75" s="117"/>
      <c r="J75" s="117">
        <f>_xlfn.XLOOKUP(Table1[[#This Row],[Party Name]],
[1]Billing!$Q$5:$Q$25,
[1]Billing!$Y$5:$Y$25)</f>
        <v>0</v>
      </c>
      <c r="K75" s="115"/>
    </row>
    <row r="76" spans="1:19" x14ac:dyDescent="0.3">
      <c r="A76" s="114">
        <v>45979</v>
      </c>
      <c r="B76" s="24" t="s">
        <v>177</v>
      </c>
      <c r="C76" s="115" t="s">
        <v>200</v>
      </c>
      <c r="D76" s="115" t="s">
        <v>199</v>
      </c>
      <c r="E76" s="37"/>
      <c r="F76" s="37"/>
      <c r="G76" s="37"/>
      <c r="H76" s="117" t="e">
        <f>_xlfn.XLOOKUP(Table1[[#This Row],[Shipment Number]], 'pivot '!A:A,'pivot '!G:G, "NF")</f>
        <v>#DIV/0!</v>
      </c>
      <c r="I76" s="117"/>
      <c r="J76" s="117">
        <f>_xlfn.XLOOKUP(Table1[[#This Row],[Party Name]],
[1]Billing!$Q$5:$Q$25,
[1]Billing!$Y$5:$Y$25)</f>
        <v>0</v>
      </c>
      <c r="K76" s="115"/>
    </row>
    <row r="77" spans="1:19" x14ac:dyDescent="0.3">
      <c r="A77" s="114">
        <v>45979</v>
      </c>
      <c r="B77" s="24" t="s">
        <v>179</v>
      </c>
      <c r="C77" s="115" t="s">
        <v>200</v>
      </c>
      <c r="D77" s="115" t="s">
        <v>199</v>
      </c>
      <c r="E77" s="37"/>
      <c r="F77" s="37"/>
      <c r="G77" s="37"/>
      <c r="H77" s="117" t="e">
        <f>_xlfn.XLOOKUP(Table1[[#This Row],[Shipment Number]], 'pivot '!A:A,'pivot '!G:G, "NF")</f>
        <v>#DIV/0!</v>
      </c>
      <c r="I77" s="117"/>
      <c r="J77" s="117">
        <f>_xlfn.XLOOKUP(Table1[[#This Row],[Party Name]],
[1]Billing!$Q$5:$Q$25,
[1]Billing!$Y$5:$Y$25)</f>
        <v>0</v>
      </c>
      <c r="K77" s="115"/>
    </row>
    <row r="78" spans="1:19" x14ac:dyDescent="0.3">
      <c r="A78" s="114">
        <v>45979</v>
      </c>
      <c r="B78" s="24" t="s">
        <v>184</v>
      </c>
      <c r="C78" s="115" t="s">
        <v>200</v>
      </c>
      <c r="D78" s="115" t="s">
        <v>199</v>
      </c>
      <c r="E78" s="37"/>
      <c r="F78" s="37"/>
      <c r="G78" s="37"/>
      <c r="H78" s="117" t="e">
        <f>_xlfn.XLOOKUP(Table1[[#This Row],[Shipment Number]], 'pivot '!A:A,'pivot '!G:G, "NF")</f>
        <v>#DIV/0!</v>
      </c>
      <c r="I78" s="117"/>
      <c r="J78" s="117">
        <f>_xlfn.XLOOKUP(Table1[[#This Row],[Party Name]],
[1]Billing!$Q$5:$Q$25,
[1]Billing!$Y$5:$Y$25)</f>
        <v>0</v>
      </c>
      <c r="K78" s="115"/>
    </row>
    <row r="79" spans="1:19" x14ac:dyDescent="0.3">
      <c r="A79" s="114">
        <v>45979</v>
      </c>
      <c r="B79" s="24" t="s">
        <v>187</v>
      </c>
      <c r="C79" s="115" t="s">
        <v>200</v>
      </c>
      <c r="D79" s="115" t="s">
        <v>199</v>
      </c>
      <c r="E79" s="37"/>
      <c r="F79" s="37"/>
      <c r="G79" s="37"/>
      <c r="H79" s="117" t="e">
        <f>_xlfn.XLOOKUP(Table1[[#This Row],[Shipment Number]], 'pivot '!A:A,'pivot '!G:G, "NF")</f>
        <v>#DIV/0!</v>
      </c>
      <c r="I79" s="117"/>
      <c r="J79" s="117">
        <f>_xlfn.XLOOKUP(Table1[[#This Row],[Party Name]],
[1]Billing!$Q$5:$Q$25,
[1]Billing!$Y$5:$Y$25)</f>
        <v>94656.181419166067</v>
      </c>
      <c r="K79" s="115"/>
    </row>
    <row r="80" spans="1:19" x14ac:dyDescent="0.3">
      <c r="A80" s="114">
        <v>45979</v>
      </c>
      <c r="B80" s="24" t="s">
        <v>188</v>
      </c>
      <c r="C80" s="115" t="s">
        <v>200</v>
      </c>
      <c r="D80" s="115" t="s">
        <v>199</v>
      </c>
      <c r="E80" s="37"/>
      <c r="F80" s="37"/>
      <c r="G80" s="37"/>
      <c r="H80" s="117" t="e">
        <f>_xlfn.XLOOKUP(Table1[[#This Row],[Shipment Number]], 'pivot '!A:A,'pivot '!G:G, "NF")</f>
        <v>#DIV/0!</v>
      </c>
      <c r="I80" s="117"/>
      <c r="J80" s="117">
        <f>_xlfn.XLOOKUP(Table1[[#This Row],[Party Name]],
[1]Billing!$Q$5:$Q$25,
[1]Billing!$Y$5:$Y$25)</f>
        <v>0</v>
      </c>
      <c r="K80" s="115"/>
    </row>
    <row r="81" spans="1:17" x14ac:dyDescent="0.3">
      <c r="A81" s="114">
        <v>45979</v>
      </c>
      <c r="B81" s="24" t="s">
        <v>196</v>
      </c>
      <c r="C81" s="115" t="s">
        <v>200</v>
      </c>
      <c r="D81" s="115" t="s">
        <v>199</v>
      </c>
      <c r="E81" s="37"/>
      <c r="F81" s="37"/>
      <c r="G81" s="37"/>
      <c r="H81" s="117" t="e">
        <f>_xlfn.XLOOKUP(Table1[[#This Row],[Shipment Number]], 'pivot '!A:A,'pivot '!G:G, "NF")</f>
        <v>#DIV/0!</v>
      </c>
      <c r="I81" s="117"/>
      <c r="J81" s="117">
        <f>_xlfn.XLOOKUP(Table1[[#This Row],[Party Name]],
[1]Billing!$Q$5:$Q$25,
[1]Billing!$Y$5:$Y$25)</f>
        <v>0</v>
      </c>
      <c r="K81" s="115"/>
    </row>
    <row r="82" spans="1:17" x14ac:dyDescent="0.3">
      <c r="A82" s="108">
        <v>45979</v>
      </c>
      <c r="B82" s="109" t="s">
        <v>196</v>
      </c>
      <c r="C82" s="109">
        <v>1091</v>
      </c>
      <c r="D82" s="109" t="s">
        <v>87</v>
      </c>
      <c r="E82" s="110">
        <v>1879</v>
      </c>
      <c r="F82" s="110">
        <v>15061</v>
      </c>
      <c r="G82" s="110">
        <v>8370</v>
      </c>
      <c r="H82" s="131">
        <f>_xlfn.XLOOKUP(Table1[[#This Row],[Shipment Number]], 'pivot '!A:A,'pivot '!G:G, "NF")</f>
        <v>1.5221542124693741</v>
      </c>
      <c r="I82" s="111">
        <f>Table1[[#This Row],[Tiyaar/gaz]]/1.0936</f>
        <v>7653.6210680321883</v>
      </c>
      <c r="J82" s="99" cm="1">
        <f t="array" ref="J8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99497.073884418453</v>
      </c>
      <c r="K82" s="112"/>
    </row>
    <row r="83" spans="1:17" x14ac:dyDescent="0.3">
      <c r="A83" s="119">
        <v>45979</v>
      </c>
      <c r="B83" s="118" t="s">
        <v>22</v>
      </c>
      <c r="C83" s="118">
        <v>1092</v>
      </c>
      <c r="D83" s="118" t="s">
        <v>87</v>
      </c>
      <c r="E83" s="120">
        <v>1867</v>
      </c>
      <c r="F83" s="120">
        <v>15147</v>
      </c>
      <c r="G83" s="120">
        <v>16288</v>
      </c>
      <c r="H83" s="132">
        <f>_xlfn.XLOOKUP(Table1[[#This Row],[Shipment Number]], 'pivot '!A:A,'pivot '!G:G, "NF")</f>
        <v>1.6707710426602347</v>
      </c>
      <c r="I83" s="121">
        <f>Table1[[#This Row],[Tiyaar/gaz]]/1.0936</f>
        <v>14893.928310168252</v>
      </c>
      <c r="J83" s="122" cm="1">
        <f t="array" ref="J8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193621.06803218729</v>
      </c>
      <c r="K83" s="123"/>
    </row>
    <row r="84" spans="1:17" x14ac:dyDescent="0.3">
      <c r="A84" s="108">
        <v>45979</v>
      </c>
      <c r="B84" s="109" t="s">
        <v>196</v>
      </c>
      <c r="C84" s="109">
        <v>1093</v>
      </c>
      <c r="D84" s="109" t="s">
        <v>87</v>
      </c>
      <c r="E84" s="110">
        <v>1879</v>
      </c>
      <c r="F84" s="110">
        <v>15061</v>
      </c>
      <c r="G84" s="110">
        <v>7850</v>
      </c>
      <c r="H84" s="131">
        <f>_xlfn.XLOOKUP(Table1[[#This Row],[Shipment Number]], 'pivot '!A:A,'pivot '!G:G, "NF")</f>
        <v>1.5221542124693741</v>
      </c>
      <c r="I84" s="111">
        <f>Table1[[#This Row],[Tiyaar/gaz]]/1.0936</f>
        <v>7178.1272860277986</v>
      </c>
      <c r="J84" s="99" cm="1">
        <f t="array" ref="J8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93315.654718361387</v>
      </c>
      <c r="K84" s="112"/>
    </row>
    <row r="85" spans="1:17" x14ac:dyDescent="0.3">
      <c r="A85" s="119">
        <v>45979</v>
      </c>
      <c r="B85" s="118" t="s">
        <v>196</v>
      </c>
      <c r="C85" s="118">
        <v>1094</v>
      </c>
      <c r="D85" s="118" t="s">
        <v>87</v>
      </c>
      <c r="E85" s="120" t="s">
        <v>197</v>
      </c>
      <c r="F85" s="120">
        <v>17020</v>
      </c>
      <c r="G85" s="120">
        <v>3280</v>
      </c>
      <c r="H85" s="132">
        <f>_xlfn.XLOOKUP(Table1[[#This Row],[Shipment Number]], 'pivot '!A:A,'pivot '!G:G, "NF")</f>
        <v>2.6007098667001287</v>
      </c>
      <c r="I85" s="121">
        <f>Table1[[#This Row],[Tiyaar/gaz]]/1.0936</f>
        <v>2999.268471104609</v>
      </c>
      <c r="J85" s="122" cm="1">
        <f t="array" ref="J8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38990.490124359916</v>
      </c>
      <c r="K85" s="123"/>
    </row>
    <row r="86" spans="1:17" x14ac:dyDescent="0.3">
      <c r="A86" s="108">
        <v>45979</v>
      </c>
      <c r="B86" s="109" t="s">
        <v>196</v>
      </c>
      <c r="C86" s="109">
        <v>1095</v>
      </c>
      <c r="D86" s="109" t="s">
        <v>87</v>
      </c>
      <c r="E86" s="110" t="s">
        <v>197</v>
      </c>
      <c r="F86" s="110">
        <v>17020</v>
      </c>
      <c r="G86" s="110">
        <v>2238</v>
      </c>
      <c r="H86" s="131">
        <f>_xlfn.XLOOKUP(Table1[[#This Row],[Shipment Number]], 'pivot '!A:A,'pivot '!G:G, "NF")</f>
        <v>2.6007098667001287</v>
      </c>
      <c r="I86" s="111">
        <f>Table1[[#This Row],[Tiyaar/gaz]]/1.0936</f>
        <v>2046.452084857352</v>
      </c>
      <c r="J86" s="99" cm="1">
        <f t="array" ref="J8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26603.877103145576</v>
      </c>
      <c r="K86" s="112"/>
    </row>
    <row r="87" spans="1:17" x14ac:dyDescent="0.3">
      <c r="A87" s="119">
        <v>45979</v>
      </c>
      <c r="B87" s="118" t="s">
        <v>196</v>
      </c>
      <c r="C87" s="118">
        <v>1096</v>
      </c>
      <c r="D87" s="118" t="s">
        <v>87</v>
      </c>
      <c r="E87" s="120" t="s">
        <v>197</v>
      </c>
      <c r="F87" s="120">
        <v>17020</v>
      </c>
      <c r="G87" s="120">
        <v>7449</v>
      </c>
      <c r="H87" s="132">
        <f>_xlfn.XLOOKUP(Table1[[#This Row],[Shipment Number]], 'pivot '!A:A,'pivot '!G:G, "NF")</f>
        <v>2.6007098667001287</v>
      </c>
      <c r="I87" s="121">
        <f>Table1[[#This Row],[Tiyaar/gaz]]/1.0936</f>
        <v>6811.4484272128757</v>
      </c>
      <c r="J87" s="122" cm="1">
        <f t="array" ref="J8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88548.829553767384</v>
      </c>
      <c r="K87" s="123"/>
    </row>
    <row r="88" spans="1:17" x14ac:dyDescent="0.3">
      <c r="A88" s="108">
        <v>45979</v>
      </c>
      <c r="B88" s="109" t="s">
        <v>196</v>
      </c>
      <c r="C88" s="109">
        <v>1097</v>
      </c>
      <c r="D88" s="109" t="s">
        <v>87</v>
      </c>
      <c r="E88" s="110" t="s">
        <v>197</v>
      </c>
      <c r="F88" s="110">
        <v>17020</v>
      </c>
      <c r="G88" s="110">
        <v>5162</v>
      </c>
      <c r="H88" s="131">
        <f>_xlfn.XLOOKUP(Table1[[#This Row],[Shipment Number]], 'pivot '!A:A,'pivot '!G:G, "NF")</f>
        <v>2.6007098667001287</v>
      </c>
      <c r="I88" s="111">
        <f>Table1[[#This Row],[Tiyaar/gaz]]/1.0936</f>
        <v>4720.1901975128021</v>
      </c>
      <c r="J88" s="99" cm="1">
        <f t="array" ref="J8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61362.472567666424</v>
      </c>
      <c r="K88" s="112"/>
    </row>
    <row r="89" spans="1:17" x14ac:dyDescent="0.3">
      <c r="A89" s="127">
        <v>45980</v>
      </c>
      <c r="B89" s="126" t="s">
        <v>9</v>
      </c>
      <c r="C89" s="118">
        <v>1098</v>
      </c>
      <c r="D89" s="126" t="s">
        <v>87</v>
      </c>
      <c r="E89" s="11">
        <v>1878</v>
      </c>
      <c r="F89" s="11">
        <v>25021</v>
      </c>
      <c r="G89" s="11">
        <v>26629</v>
      </c>
      <c r="H89" s="133">
        <f>_xlfn.XLOOKUP(Table1[[#This Row],[Shipment Number]], 'pivot '!A:A,'pivot '!G:G, "NF")</f>
        <v>2.6823320641823756</v>
      </c>
      <c r="I89" s="111">
        <f>Table1[[#This Row],[Tiyaar/gaz]]/1.0936</f>
        <v>24349.853694220925</v>
      </c>
      <c r="J89" s="99" cm="1">
        <f t="array" ref="J8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316548.09802487202</v>
      </c>
      <c r="K89" s="126"/>
    </row>
    <row r="90" spans="1:17" x14ac:dyDescent="0.3">
      <c r="A90" s="127">
        <v>45980</v>
      </c>
      <c r="B90" s="126" t="s">
        <v>21</v>
      </c>
      <c r="C90" s="126">
        <v>1099</v>
      </c>
      <c r="D90" s="126" t="s">
        <v>87</v>
      </c>
      <c r="E90" s="11">
        <v>1897</v>
      </c>
      <c r="F90" s="11">
        <v>11127</v>
      </c>
      <c r="G90" s="11">
        <v>11819</v>
      </c>
      <c r="H90" s="133">
        <f>_xlfn.XLOOKUP(Table1[[#This Row],[Shipment Number]], 'pivot '!A:A,'pivot '!G:G, "NF")</f>
        <v>2.8720677784827728</v>
      </c>
      <c r="I90" s="111">
        <f>Table1[[#This Row],[Tiyaar/gaz]]/1.0936</f>
        <v>10807.425018288222</v>
      </c>
      <c r="J90" s="99" cm="1">
        <f t="array" ref="J9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140496.52523774689</v>
      </c>
      <c r="K90" s="126"/>
    </row>
    <row r="91" spans="1:17" x14ac:dyDescent="0.3">
      <c r="A91" s="127">
        <v>45980</v>
      </c>
      <c r="B91" s="126" t="s">
        <v>21</v>
      </c>
      <c r="C91" s="126">
        <v>1100</v>
      </c>
      <c r="D91" s="126" t="s">
        <v>87</v>
      </c>
      <c r="E91" s="11">
        <v>1920</v>
      </c>
      <c r="F91" s="11">
        <v>12000</v>
      </c>
      <c r="G91" s="11">
        <v>6508</v>
      </c>
      <c r="H91" s="133">
        <f>_xlfn.XLOOKUP(Table1[[#This Row],[Shipment Number]], 'pivot '!A:A,'pivot '!G:G, "NF")</f>
        <v>1.4645818093147938</v>
      </c>
      <c r="I91" s="111">
        <f>Table1[[#This Row],[Tiyaar/gaz]]/1.0936</f>
        <v>5950.9875640087785</v>
      </c>
      <c r="J91" s="99" cm="1">
        <f t="array" ref="J9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77362.838332114115</v>
      </c>
      <c r="K91" s="126"/>
    </row>
    <row r="92" spans="1:17" x14ac:dyDescent="0.3">
      <c r="A92" s="127">
        <v>45980</v>
      </c>
      <c r="B92" s="126" t="s">
        <v>21</v>
      </c>
      <c r="C92" s="126">
        <v>1101</v>
      </c>
      <c r="D92" s="126" t="s">
        <v>87</v>
      </c>
      <c r="E92" s="11">
        <v>1898</v>
      </c>
      <c r="F92" s="11">
        <v>8003</v>
      </c>
      <c r="G92" s="11">
        <v>5167</v>
      </c>
      <c r="H92" s="133">
        <f>_xlfn.XLOOKUP(Table1[[#This Row],[Shipment Number]], 'pivot '!A:A,'pivot '!G:G, "NF")</f>
        <v>2.5031852996603874</v>
      </c>
      <c r="I92" s="111">
        <f>Table1[[#This Row],[Tiyaar/gaz]]/1.0936</f>
        <v>4724.7622531089983</v>
      </c>
      <c r="J92" s="99" cm="1">
        <f t="array" ref="J9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61421.909290416981</v>
      </c>
      <c r="K92" s="126"/>
    </row>
    <row r="93" spans="1:17" x14ac:dyDescent="0.3">
      <c r="A93" s="127">
        <v>45980</v>
      </c>
      <c r="B93" s="126" t="s">
        <v>21</v>
      </c>
      <c r="C93" s="126">
        <v>1102</v>
      </c>
      <c r="D93" s="126" t="s">
        <v>87</v>
      </c>
      <c r="E93" s="11">
        <v>1898</v>
      </c>
      <c r="F93" s="11">
        <v>8003</v>
      </c>
      <c r="G93" s="11">
        <v>3366</v>
      </c>
      <c r="H93" s="133">
        <f>_xlfn.XLOOKUP(Table1[[#This Row],[Shipment Number]], 'pivot '!A:A,'pivot '!G:G, "NF")</f>
        <v>2.5031852996603874</v>
      </c>
      <c r="I93" s="111">
        <f>Table1[[#This Row],[Tiyaar/gaz]]/1.0936</f>
        <v>3077.9078273591808</v>
      </c>
      <c r="J93" s="99" cm="1">
        <f t="array" ref="J9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40012.801755669352</v>
      </c>
      <c r="K93" s="126"/>
    </row>
    <row r="94" spans="1:17" x14ac:dyDescent="0.3">
      <c r="A94" s="127">
        <v>45980</v>
      </c>
      <c r="B94" s="126" t="s">
        <v>21</v>
      </c>
      <c r="C94" s="126">
        <v>1103</v>
      </c>
      <c r="D94" s="126" t="s">
        <v>87</v>
      </c>
      <c r="E94" s="11">
        <v>1920</v>
      </c>
      <c r="F94" s="11">
        <v>12000</v>
      </c>
      <c r="G94" s="11">
        <v>6423</v>
      </c>
      <c r="H94" s="133">
        <f>_xlfn.XLOOKUP(Table1[[#This Row],[Shipment Number]], 'pivot '!A:A,'pivot '!G:G, "NF")</f>
        <v>1.4645818093147938</v>
      </c>
      <c r="I94" s="111">
        <f>Table1[[#This Row],[Tiyaar/gaz]]/1.0936</f>
        <v>5873.2626188734457</v>
      </c>
      <c r="J94" s="99" cm="1">
        <f t="array" ref="J9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76352.414045354788</v>
      </c>
      <c r="K94" s="126"/>
    </row>
    <row r="95" spans="1:17" x14ac:dyDescent="0.3">
      <c r="A95" s="127">
        <v>45980</v>
      </c>
      <c r="B95" s="126" t="s">
        <v>21</v>
      </c>
      <c r="C95" s="126">
        <v>1104</v>
      </c>
      <c r="D95" s="126" t="s">
        <v>87</v>
      </c>
      <c r="E95" s="11">
        <v>1875</v>
      </c>
      <c r="F95" s="11">
        <v>8051</v>
      </c>
      <c r="G95" s="11">
        <v>8739</v>
      </c>
      <c r="H95" s="133">
        <f>_xlfn.XLOOKUP(Table1[[#This Row],[Shipment Number]], 'pivot '!A:A,'pivot '!G:G, "NF")</f>
        <v>0.74476746948880646</v>
      </c>
      <c r="I95" s="111">
        <f>Table1[[#This Row],[Tiyaar/gaz]]/1.0936</f>
        <v>7991.0387710314562</v>
      </c>
      <c r="J95" s="99" cm="1">
        <f t="array" ref="J9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103883.50402340892</v>
      </c>
      <c r="K95" s="126"/>
    </row>
    <row r="96" spans="1:17" x14ac:dyDescent="0.3">
      <c r="A96" s="127">
        <v>45980</v>
      </c>
      <c r="B96" s="126" t="s">
        <v>21</v>
      </c>
      <c r="C96" s="126">
        <v>1105</v>
      </c>
      <c r="D96" s="126" t="s">
        <v>87</v>
      </c>
      <c r="E96" s="11">
        <v>1918</v>
      </c>
      <c r="F96" s="11">
        <v>24516</v>
      </c>
      <c r="G96" s="11">
        <v>6876</v>
      </c>
      <c r="H96" s="133">
        <f>_xlfn.XLOOKUP(Table1[[#This Row],[Shipment Number]], 'pivot '!A:A,'pivot '!G:G, "NF")</f>
        <v>2.0092636455680974</v>
      </c>
      <c r="I96" s="111">
        <f>Table1[[#This Row],[Tiyaar/gaz]]/1.0936</f>
        <v>6287.4908558888083</v>
      </c>
      <c r="J96" s="99" cm="1">
        <f t="array" ref="J9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81737.381126554508</v>
      </c>
      <c r="K96" s="126"/>
      <c r="O96"/>
      <c r="P96"/>
      <c r="Q96"/>
    </row>
    <row r="97" spans="1:18" x14ac:dyDescent="0.3">
      <c r="A97" s="127">
        <v>45981</v>
      </c>
      <c r="B97" s="126" t="s">
        <v>184</v>
      </c>
      <c r="C97" s="126">
        <v>1106</v>
      </c>
      <c r="D97" s="126" t="s">
        <v>87</v>
      </c>
      <c r="E97" s="11">
        <v>1906</v>
      </c>
      <c r="F97" s="11">
        <v>36489</v>
      </c>
      <c r="G97" s="11">
        <v>27661</v>
      </c>
      <c r="H97" s="133">
        <f>_xlfn.XLOOKUP(Table1[[#This Row],[Shipment Number]], 'pivot '!A:A,'pivot '!G:G, "NF")</f>
        <v>1.9756492637207401</v>
      </c>
      <c r="I97" s="111">
        <f>Table1[[#This Row],[Tiyaar/gaz]]/1.0936</f>
        <v>25293.52596927579</v>
      </c>
      <c r="J97" s="99" cm="1">
        <f t="array" ref="J9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328815.83760058525</v>
      </c>
      <c r="K97" s="126"/>
      <c r="O97"/>
      <c r="P97"/>
      <c r="Q97"/>
    </row>
    <row r="98" spans="1:18" x14ac:dyDescent="0.3">
      <c r="A98" s="127">
        <v>45981</v>
      </c>
      <c r="B98" s="126" t="s">
        <v>184</v>
      </c>
      <c r="C98" s="126">
        <v>1107</v>
      </c>
      <c r="D98" s="126" t="s">
        <v>87</v>
      </c>
      <c r="E98" s="11">
        <v>1873</v>
      </c>
      <c r="F98" s="11">
        <v>42762</v>
      </c>
      <c r="G98" s="11">
        <v>835</v>
      </c>
      <c r="H98" s="133">
        <f>_xlfn.XLOOKUP(Table1[[#This Row],[Shipment Number]], 'pivot '!A:A,'pivot '!G:G, "NF")</f>
        <v>98.2144584337385</v>
      </c>
      <c r="I98" s="111">
        <f>Table1[[#This Row],[Tiyaar/gaz]]/1.0936</f>
        <v>763.53328456474037</v>
      </c>
      <c r="J98" s="99" cm="1">
        <f t="array" ref="J9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9925.9326993416253</v>
      </c>
      <c r="K98" s="126"/>
      <c r="L98"/>
      <c r="M98"/>
      <c r="O98"/>
      <c r="P98"/>
      <c r="Q98"/>
    </row>
    <row r="99" spans="1:18" x14ac:dyDescent="0.3">
      <c r="A99" s="127">
        <v>45981</v>
      </c>
      <c r="B99" s="126" t="s">
        <v>184</v>
      </c>
      <c r="C99" s="126">
        <v>1108</v>
      </c>
      <c r="D99" s="126" t="s">
        <v>87</v>
      </c>
      <c r="E99" s="11">
        <v>1883</v>
      </c>
      <c r="F99" s="11">
        <v>8030</v>
      </c>
      <c r="G99" s="11">
        <v>1819</v>
      </c>
      <c r="H99" s="133">
        <f>_xlfn.XLOOKUP(Table1[[#This Row],[Shipment Number]], 'pivot '!A:A,'pivot '!G:G, "NF")</f>
        <v>2.5804841209035771</v>
      </c>
      <c r="I99" s="111">
        <f>Table1[[#This Row],[Tiyaar/gaz]]/1.0936</f>
        <v>1663.313825896123</v>
      </c>
      <c r="J99" s="99" cm="1">
        <f t="array" ref="J9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21623.079736649601</v>
      </c>
      <c r="K99" s="126"/>
      <c r="M99"/>
      <c r="P99"/>
      <c r="Q99"/>
      <c r="R99"/>
    </row>
    <row r="100" spans="1:18" x14ac:dyDescent="0.3">
      <c r="A100" s="127">
        <v>45981</v>
      </c>
      <c r="B100" s="126" t="s">
        <v>21</v>
      </c>
      <c r="C100" s="126">
        <v>1109</v>
      </c>
      <c r="D100" s="126" t="s">
        <v>87</v>
      </c>
      <c r="E100" s="11">
        <v>1918</v>
      </c>
      <c r="F100" s="11">
        <v>24116</v>
      </c>
      <c r="G100" s="11">
        <v>6626</v>
      </c>
      <c r="H100" s="133">
        <f>_xlfn.XLOOKUP(Table1[[#This Row],[Shipment Number]], 'pivot '!A:A,'pivot '!G:G, "NF")</f>
        <v>2.0092636455680974</v>
      </c>
      <c r="I100" s="111">
        <f>Table1[[#This Row],[Tiyaar/gaz]]/1.0936</f>
        <v>6058.8880760790053</v>
      </c>
      <c r="J100" s="99" cm="1">
        <f t="array" ref="J10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78765.544989027068</v>
      </c>
      <c r="K100" s="126"/>
      <c r="M100"/>
      <c r="P100"/>
      <c r="Q100"/>
      <c r="R100"/>
    </row>
    <row r="101" spans="1:18" x14ac:dyDescent="0.3">
      <c r="A101" s="127">
        <v>45981</v>
      </c>
      <c r="B101" s="126" t="s">
        <v>21</v>
      </c>
      <c r="C101" s="126">
        <v>1110</v>
      </c>
      <c r="D101" s="126" t="s">
        <v>87</v>
      </c>
      <c r="E101" s="11">
        <v>1917</v>
      </c>
      <c r="F101" s="11">
        <v>10009</v>
      </c>
      <c r="G101" s="11">
        <v>1806</v>
      </c>
      <c r="H101" s="133">
        <f>_xlfn.XLOOKUP(Table1[[#This Row],[Shipment Number]], 'pivot '!A:A,'pivot '!G:G, "NF")</f>
        <v>-0.16588581615243925</v>
      </c>
      <c r="I101" s="111">
        <f>Table1[[#This Row],[Tiyaar/gaz]]/1.0936</f>
        <v>1651.4264813460134</v>
      </c>
      <c r="J101" s="99" cm="1">
        <f t="array" ref="J10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21468.544257498175</v>
      </c>
      <c r="K101" s="126"/>
      <c r="M101"/>
      <c r="P101"/>
      <c r="Q101"/>
      <c r="R101"/>
    </row>
    <row r="102" spans="1:18" x14ac:dyDescent="0.3">
      <c r="A102" s="127">
        <v>45981</v>
      </c>
      <c r="B102" s="126" t="s">
        <v>242</v>
      </c>
      <c r="C102" s="126">
        <v>1111</v>
      </c>
      <c r="D102" s="126" t="s">
        <v>85</v>
      </c>
      <c r="E102" s="11">
        <v>1900</v>
      </c>
      <c r="F102" s="11">
        <v>15833</v>
      </c>
      <c r="G102" s="11">
        <v>16832</v>
      </c>
      <c r="H102" s="133">
        <f>_xlfn.XLOOKUP(Table1[[#This Row],[Shipment Number]], 'pivot '!A:A,'pivot '!G:G, "NF")</f>
        <v>2.7893137179663796</v>
      </c>
      <c r="I102" s="111">
        <f>Table1[[#This Row],[Tiyaar/gaz]]/1.0936</f>
        <v>15391.367959034384</v>
      </c>
      <c r="J102" s="99" cm="1">
        <f t="array" ref="J10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153913.67959034385</v>
      </c>
      <c r="K102" s="126"/>
      <c r="M102"/>
      <c r="P102"/>
      <c r="Q102"/>
      <c r="R102"/>
    </row>
    <row r="103" spans="1:18" x14ac:dyDescent="0.3">
      <c r="A103" s="127">
        <v>45981</v>
      </c>
      <c r="B103" s="126" t="s">
        <v>21</v>
      </c>
      <c r="C103" s="126">
        <v>1112</v>
      </c>
      <c r="D103" s="126" t="s">
        <v>85</v>
      </c>
      <c r="E103" s="11">
        <v>1930</v>
      </c>
      <c r="F103" s="11">
        <v>19698</v>
      </c>
      <c r="G103" s="11">
        <v>21453</v>
      </c>
      <c r="H103" s="133">
        <f>_xlfn.XLOOKUP(Table1[[#This Row],[Shipment Number]], 'pivot '!A:A,'pivot '!G:G, "NF")</f>
        <v>0.41191115321976213</v>
      </c>
      <c r="I103" s="111">
        <f>Table1[[#This Row],[Tiyaar/gaz]]/1.0936</f>
        <v>19616.861741038774</v>
      </c>
      <c r="J103" s="99" cm="1">
        <f t="array" ref="J10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196168.61741038773</v>
      </c>
      <c r="K103" s="126"/>
      <c r="M103"/>
      <c r="P103"/>
      <c r="Q103"/>
      <c r="R103"/>
    </row>
    <row r="104" spans="1:18" x14ac:dyDescent="0.3">
      <c r="A104" s="127">
        <v>45982</v>
      </c>
      <c r="B104" s="126" t="s">
        <v>242</v>
      </c>
      <c r="C104" s="126">
        <v>1113</v>
      </c>
      <c r="D104" s="126" t="s">
        <v>85</v>
      </c>
      <c r="E104" s="11">
        <v>1911</v>
      </c>
      <c r="F104" s="11">
        <v>25728</v>
      </c>
      <c r="G104" s="11">
        <v>26729</v>
      </c>
      <c r="H104" s="133">
        <f>_xlfn.XLOOKUP(Table1[[#This Row],[Shipment Number]], 'pivot '!A:A,'pivot '!G:G, "NF")</f>
        <v>5.0011862323350158</v>
      </c>
      <c r="I104" s="111">
        <f>Table1[[#This Row],[Tiyaar/gaz]]/1.0936</f>
        <v>24441.294806144844</v>
      </c>
      <c r="J104" s="99" cm="1">
        <f t="array" ref="J10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244412.94806144843</v>
      </c>
      <c r="K104" s="126"/>
      <c r="M104"/>
      <c r="P104"/>
      <c r="Q104"/>
      <c r="R104"/>
    </row>
    <row r="105" spans="1:18" x14ac:dyDescent="0.3">
      <c r="A105" s="127">
        <v>45982</v>
      </c>
      <c r="B105" s="126" t="s">
        <v>25</v>
      </c>
      <c r="C105" s="126">
        <v>1114</v>
      </c>
      <c r="D105" s="126" t="s">
        <v>85</v>
      </c>
      <c r="E105" s="11">
        <v>1887</v>
      </c>
      <c r="F105" s="11">
        <v>53910</v>
      </c>
      <c r="G105" s="11">
        <v>19686</v>
      </c>
      <c r="H105" s="133">
        <f>_xlfn.XLOOKUP(Table1[[#This Row],[Shipment Number]], 'pivot '!A:A,'pivot '!G:G, "NF")</f>
        <v>2.2914996776577681</v>
      </c>
      <c r="I105" s="111">
        <f>Table1[[#This Row],[Tiyaar/gaz]]/1.0936</f>
        <v>18001.097293343089</v>
      </c>
      <c r="J105" s="99" cm="1">
        <f t="array" ref="J10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180010.97293343089</v>
      </c>
      <c r="K105" s="126"/>
      <c r="M105"/>
      <c r="P105"/>
      <c r="Q105"/>
      <c r="R105"/>
    </row>
    <row r="106" spans="1:18" x14ac:dyDescent="0.3">
      <c r="A106" s="127">
        <v>45982</v>
      </c>
      <c r="B106" s="126" t="s">
        <v>26</v>
      </c>
      <c r="C106" s="126">
        <v>1115</v>
      </c>
      <c r="D106" s="126" t="s">
        <v>85</v>
      </c>
      <c r="E106" s="11" t="s">
        <v>243</v>
      </c>
      <c r="F106" s="11">
        <v>24227</v>
      </c>
      <c r="G106" s="11">
        <v>25825</v>
      </c>
      <c r="H106" s="133">
        <f>_xlfn.XLOOKUP(Table1[[#This Row],[Shipment Number]], 'pivot '!A:A,'pivot '!G:G, "NF")</f>
        <v>2.5274810981442357</v>
      </c>
      <c r="I106" s="111">
        <f>Table1[[#This Row],[Tiyaar/gaz]]/1.0936</f>
        <v>23614.667154352599</v>
      </c>
      <c r="J106" s="99" cm="1">
        <f t="array" ref="J10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236146.671543526</v>
      </c>
      <c r="K106" s="126"/>
      <c r="P106"/>
      <c r="Q106"/>
      <c r="R106"/>
    </row>
    <row r="107" spans="1:18" x14ac:dyDescent="0.3">
      <c r="A107" s="127">
        <v>45982</v>
      </c>
      <c r="B107" s="126" t="s">
        <v>153</v>
      </c>
      <c r="C107" s="126">
        <v>1116</v>
      </c>
      <c r="D107" s="126" t="s">
        <v>85</v>
      </c>
      <c r="E107" s="11">
        <v>1882</v>
      </c>
      <c r="F107" s="11">
        <v>26019</v>
      </c>
      <c r="G107" s="11">
        <v>4064</v>
      </c>
      <c r="H107" s="133">
        <f>_xlfn.XLOOKUP(Table1[[#This Row],[Shipment Number]], 'pivot '!A:A,'pivot '!G:G, "NF")</f>
        <v>3.0061398213499473</v>
      </c>
      <c r="I107" s="111">
        <f>Table1[[#This Row],[Tiyaar/gaz]]/1.0936</f>
        <v>3716.1667885881498</v>
      </c>
      <c r="J107" s="99" cm="1">
        <f t="array" ref="J10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37161.667885881499</v>
      </c>
      <c r="K107" s="126"/>
      <c r="L107"/>
      <c r="P107"/>
      <c r="Q107"/>
      <c r="R107"/>
    </row>
    <row r="108" spans="1:18" x14ac:dyDescent="0.3">
      <c r="A108" s="127">
        <v>45983</v>
      </c>
      <c r="B108" s="126" t="s">
        <v>25</v>
      </c>
      <c r="C108" s="126">
        <v>1117</v>
      </c>
      <c r="D108" s="126" t="s">
        <v>85</v>
      </c>
      <c r="E108" s="11">
        <v>1887</v>
      </c>
      <c r="F108" s="11">
        <v>53910</v>
      </c>
      <c r="G108" s="11">
        <v>33096</v>
      </c>
      <c r="H108" s="133">
        <f>_xlfn.XLOOKUP(Table1[[#This Row],[Shipment Number]], 'pivot '!A:A,'pivot '!G:G, "NF")</f>
        <v>2.2914996776577681</v>
      </c>
      <c r="I108" s="111">
        <f>Table1[[#This Row],[Tiyaar/gaz]]/1.0936</f>
        <v>30263.350402340897</v>
      </c>
      <c r="J108" s="99" cm="1">
        <f t="array" ref="J10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302633.50402340898</v>
      </c>
      <c r="K108" s="126"/>
      <c r="L108"/>
      <c r="P108"/>
      <c r="Q108"/>
      <c r="R108"/>
    </row>
    <row r="109" spans="1:18" x14ac:dyDescent="0.3">
      <c r="A109" s="127">
        <v>45983</v>
      </c>
      <c r="B109" s="126" t="s">
        <v>25</v>
      </c>
      <c r="C109" s="126">
        <v>1118</v>
      </c>
      <c r="D109" s="126" t="s">
        <v>85</v>
      </c>
      <c r="E109" s="11">
        <v>1890</v>
      </c>
      <c r="F109" s="11">
        <v>24030</v>
      </c>
      <c r="G109" s="11">
        <v>8374</v>
      </c>
      <c r="H109" s="133">
        <f>_xlfn.XLOOKUP(Table1[[#This Row],[Shipment Number]], 'pivot '!A:A,'pivot '!G:G, "NF")</f>
        <v>2.8052900224390385</v>
      </c>
      <c r="I109" s="111">
        <f>Table1[[#This Row],[Tiyaar/gaz]]/1.0936</f>
        <v>7657.2787125091445</v>
      </c>
      <c r="J109" s="99" cm="1">
        <f t="array" ref="J10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76572.787125091447</v>
      </c>
      <c r="K109" s="126"/>
      <c r="L109"/>
      <c r="O109"/>
      <c r="P109"/>
      <c r="Q109"/>
    </row>
    <row r="110" spans="1:18" x14ac:dyDescent="0.3">
      <c r="A110" s="127">
        <v>45983</v>
      </c>
      <c r="B110" s="126" t="s">
        <v>25</v>
      </c>
      <c r="C110" s="126">
        <v>1119</v>
      </c>
      <c r="D110" s="126" t="s">
        <v>85</v>
      </c>
      <c r="E110" s="11">
        <v>1890</v>
      </c>
      <c r="F110" s="11">
        <v>24030</v>
      </c>
      <c r="G110" s="11">
        <v>17168</v>
      </c>
      <c r="H110" s="133">
        <f>_xlfn.XLOOKUP(Table1[[#This Row],[Shipment Number]], 'pivot '!A:A,'pivot '!G:G, "NF")</f>
        <v>2.8052900224390385</v>
      </c>
      <c r="I110" s="111">
        <f>Table1[[#This Row],[Tiyaar/gaz]]/1.0936</f>
        <v>15698.610095098758</v>
      </c>
      <c r="J110" s="99" cm="1">
        <f t="array" ref="J11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156986.10095098757</v>
      </c>
      <c r="K110" s="126"/>
      <c r="L110"/>
      <c r="O110"/>
      <c r="P110"/>
      <c r="Q110"/>
    </row>
    <row r="111" spans="1:18" x14ac:dyDescent="0.3">
      <c r="A111" s="127">
        <v>45983</v>
      </c>
      <c r="B111" s="126" t="s">
        <v>25</v>
      </c>
      <c r="C111" s="126">
        <v>1120</v>
      </c>
      <c r="D111" s="126" t="s">
        <v>85</v>
      </c>
      <c r="E111" s="11">
        <v>1877</v>
      </c>
      <c r="F111" s="11">
        <v>25519</v>
      </c>
      <c r="G111" s="11">
        <v>27328</v>
      </c>
      <c r="H111" s="133">
        <f>_xlfn.XLOOKUP(Table1[[#This Row],[Shipment Number]], 'pivot '!A:A,'pivot '!G:G, "NF")</f>
        <v>2.0767778260545811</v>
      </c>
      <c r="I111" s="111">
        <f>Table1[[#This Row],[Tiyaar/gaz]]/1.0936</f>
        <v>24989.027066569131</v>
      </c>
      <c r="J111" s="99" cm="1">
        <f t="array" ref="J11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249890.27066569132</v>
      </c>
      <c r="K111" s="126"/>
      <c r="L111"/>
      <c r="O111"/>
      <c r="P111"/>
      <c r="Q111"/>
    </row>
    <row r="112" spans="1:18" x14ac:dyDescent="0.3">
      <c r="A112" s="127">
        <v>45983</v>
      </c>
      <c r="B112" s="126" t="s">
        <v>25</v>
      </c>
      <c r="C112" s="126">
        <v>1121</v>
      </c>
      <c r="D112" s="126" t="s">
        <v>85</v>
      </c>
      <c r="E112" s="11">
        <v>1887</v>
      </c>
      <c r="F112" s="11">
        <v>53910</v>
      </c>
      <c r="G112" s="11">
        <v>2234</v>
      </c>
      <c r="H112" s="133">
        <f>_xlfn.XLOOKUP(Table1[[#This Row],[Shipment Number]], 'pivot '!A:A,'pivot '!G:G, "NF")</f>
        <v>2.2914996776577681</v>
      </c>
      <c r="I112" s="111">
        <f>Table1[[#This Row],[Tiyaar/gaz]]/1.0936</f>
        <v>2042.7944403803951</v>
      </c>
      <c r="J112" s="99" cm="1">
        <f t="array" ref="J11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20427.944403803951</v>
      </c>
      <c r="K112" s="126"/>
      <c r="L112"/>
      <c r="O112"/>
      <c r="P112"/>
      <c r="Q112"/>
    </row>
    <row r="113" spans="1:17" x14ac:dyDescent="0.3">
      <c r="A113" s="127">
        <v>45983</v>
      </c>
      <c r="B113" s="126" t="s">
        <v>153</v>
      </c>
      <c r="C113" s="126">
        <v>1122</v>
      </c>
      <c r="D113" s="126" t="s">
        <v>85</v>
      </c>
      <c r="E113" s="11">
        <v>1882</v>
      </c>
      <c r="F113" s="11">
        <v>26019</v>
      </c>
      <c r="G113" s="11">
        <v>23535</v>
      </c>
      <c r="H113" s="133">
        <f>_xlfn.XLOOKUP(Table1[[#This Row],[Shipment Number]], 'pivot '!A:A,'pivot '!G:G, "NF")</f>
        <v>3.0061398213499473</v>
      </c>
      <c r="I113" s="111">
        <f>Table1[[#This Row],[Tiyaar/gaz]]/1.0936</f>
        <v>21520.665691294809</v>
      </c>
      <c r="J113" s="99" cm="1">
        <f t="array" ref="J11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215206.65691294809</v>
      </c>
      <c r="K113" s="126"/>
      <c r="O113"/>
      <c r="P113"/>
      <c r="Q113"/>
    </row>
    <row r="114" spans="1:17" x14ac:dyDescent="0.3">
      <c r="A114" s="127">
        <v>45983</v>
      </c>
      <c r="B114" s="126" t="s">
        <v>153</v>
      </c>
      <c r="C114" s="126">
        <v>1123</v>
      </c>
      <c r="D114" s="126" t="s">
        <v>85</v>
      </c>
      <c r="E114" s="11">
        <v>1853</v>
      </c>
      <c r="F114" s="11">
        <v>40243</v>
      </c>
      <c r="G114" s="11">
        <v>25269</v>
      </c>
      <c r="H114" s="133">
        <f>_xlfn.XLOOKUP(Table1[[#This Row],[Shipment Number]], 'pivot '!A:A,'pivot '!G:G, "NF")</f>
        <v>2.1693940838302552</v>
      </c>
      <c r="I114" s="111">
        <f>Table1[[#This Row],[Tiyaar/gaz]]/1.0936</f>
        <v>23106.254572055597</v>
      </c>
      <c r="J114" s="99" cm="1">
        <f t="array" ref="J11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231062.54572055597</v>
      </c>
      <c r="K114" s="126"/>
      <c r="O114"/>
      <c r="P114"/>
      <c r="Q114"/>
    </row>
    <row r="115" spans="1:17" x14ac:dyDescent="0.3">
      <c r="A115" s="127">
        <v>45983</v>
      </c>
      <c r="B115" s="126" t="s">
        <v>153</v>
      </c>
      <c r="C115" s="126">
        <v>1124</v>
      </c>
      <c r="D115" s="126" t="s">
        <v>85</v>
      </c>
      <c r="E115" s="11">
        <v>1853</v>
      </c>
      <c r="F115" s="11">
        <v>40243</v>
      </c>
      <c r="G115" s="11">
        <v>17786</v>
      </c>
      <c r="H115" s="133">
        <f>_xlfn.XLOOKUP(Table1[[#This Row],[Shipment Number]], 'pivot '!A:A,'pivot '!G:G, "NF")</f>
        <v>2.1693940838302552</v>
      </c>
      <c r="I115" s="111">
        <f>Table1[[#This Row],[Tiyaar/gaz]]/1.0936</f>
        <v>16263.71616678859</v>
      </c>
      <c r="J115" s="99" cm="1">
        <f t="array" ref="J11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162637.1616678859</v>
      </c>
      <c r="K115" s="126"/>
      <c r="O115"/>
      <c r="P115"/>
      <c r="Q115"/>
    </row>
    <row r="116" spans="1:17" x14ac:dyDescent="0.3">
      <c r="A116" s="127">
        <v>45985</v>
      </c>
      <c r="B116" s="126" t="s">
        <v>25</v>
      </c>
      <c r="C116" s="126">
        <v>1125</v>
      </c>
      <c r="D116" s="126" t="s">
        <v>85</v>
      </c>
      <c r="E116" s="11">
        <v>1889</v>
      </c>
      <c r="F116" s="11">
        <v>35271</v>
      </c>
      <c r="G116" s="11">
        <v>32780</v>
      </c>
      <c r="H116" s="133">
        <f>_xlfn.XLOOKUP(Table1[[#This Row],[Shipment Number]], 'pivot '!A:A,'pivot '!G:G, "NF")</f>
        <v>2.7905096906993947</v>
      </c>
      <c r="I116" s="111">
        <f>Table1[[#This Row],[Tiyaar/gaz]]/1.0936</f>
        <v>29974.396488661303</v>
      </c>
      <c r="J116" s="99" cm="1">
        <f t="array" ref="J11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299743.96488661302</v>
      </c>
      <c r="K116" s="126"/>
      <c r="O116"/>
      <c r="P116"/>
      <c r="Q116"/>
    </row>
    <row r="117" spans="1:17" x14ac:dyDescent="0.3">
      <c r="A117" s="127">
        <v>45985</v>
      </c>
      <c r="B117" s="126" t="s">
        <v>25</v>
      </c>
      <c r="C117" s="126">
        <v>1126</v>
      </c>
      <c r="D117" s="126" t="s">
        <v>85</v>
      </c>
      <c r="E117" s="11">
        <v>1887</v>
      </c>
      <c r="F117" s="11">
        <v>53910</v>
      </c>
      <c r="G117" s="11">
        <v>2589</v>
      </c>
      <c r="H117" s="133">
        <f>_xlfn.XLOOKUP(Table1[[#This Row],[Shipment Number]], 'pivot '!A:A,'pivot '!G:G, "NF")</f>
        <v>2.2914996776577681</v>
      </c>
      <c r="I117" s="111">
        <f>Table1[[#This Row],[Tiyaar/gaz]]/1.0936</f>
        <v>2367.4103877103148</v>
      </c>
      <c r="J117" s="99" cm="1">
        <f t="array" ref="J11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23674.103877103149</v>
      </c>
      <c r="K117" s="126"/>
      <c r="O117"/>
      <c r="P117"/>
      <c r="Q117"/>
    </row>
    <row r="118" spans="1:17" x14ac:dyDescent="0.3">
      <c r="A118" s="127">
        <v>45985</v>
      </c>
      <c r="B118" s="126" t="s">
        <v>167</v>
      </c>
      <c r="C118" s="126">
        <v>1127</v>
      </c>
      <c r="D118" s="126" t="s">
        <v>85</v>
      </c>
      <c r="E118" s="11" t="s">
        <v>254</v>
      </c>
      <c r="F118" s="11">
        <v>69241</v>
      </c>
      <c r="G118" s="11">
        <v>6844</v>
      </c>
      <c r="H118" s="133">
        <f>_xlfn.XLOOKUP(Table1[[#This Row],[Shipment Number]], 'pivot '!A:A,'pivot '!G:G, "NF")</f>
        <v>79.608292641393618</v>
      </c>
      <c r="I118" s="111">
        <f>Table1[[#This Row],[Tiyaar/gaz]]/1.0936</f>
        <v>6258.2297000731533</v>
      </c>
      <c r="J118" s="99" cm="1">
        <f t="array" ref="J11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62582.297000731531</v>
      </c>
      <c r="K118" s="126"/>
      <c r="O118"/>
      <c r="P118"/>
      <c r="Q118"/>
    </row>
    <row r="119" spans="1:17" x14ac:dyDescent="0.3">
      <c r="A119" s="127">
        <v>45985</v>
      </c>
      <c r="B119" s="126" t="s">
        <v>188</v>
      </c>
      <c r="C119" s="126">
        <v>1128</v>
      </c>
      <c r="D119" s="126" t="s">
        <v>85</v>
      </c>
      <c r="E119" s="11">
        <v>1884</v>
      </c>
      <c r="F119" s="11">
        <v>34783</v>
      </c>
      <c r="G119" s="11">
        <v>37340</v>
      </c>
      <c r="H119" s="133">
        <f>_xlfn.XLOOKUP(Table1[[#This Row],[Shipment Number]], 'pivot '!A:A,'pivot '!G:G, "NF")</f>
        <v>1.8367846580453033</v>
      </c>
      <c r="I119" s="111">
        <f>Table1[[#This Row],[Tiyaar/gaz]]/1.0936</f>
        <v>34144.111192392105</v>
      </c>
      <c r="J119" s="99" cm="1">
        <f t="array" ref="J11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341441.11192392104</v>
      </c>
      <c r="K119" s="126"/>
      <c r="O119"/>
      <c r="P119"/>
      <c r="Q119"/>
    </row>
    <row r="120" spans="1:17" x14ac:dyDescent="0.3">
      <c r="A120" s="127">
        <v>45985</v>
      </c>
      <c r="B120" s="126" t="s">
        <v>188</v>
      </c>
      <c r="C120" s="126">
        <v>1129</v>
      </c>
      <c r="D120" s="126" t="s">
        <v>85</v>
      </c>
      <c r="E120" s="11">
        <v>1926</v>
      </c>
      <c r="F120" s="11">
        <v>79388</v>
      </c>
      <c r="G120" s="11">
        <v>21877</v>
      </c>
      <c r="H120" s="133">
        <f>_xlfn.XLOOKUP(Table1[[#This Row],[Shipment Number]], 'pivot '!A:A,'pivot '!G:G, "NF")</f>
        <v>2.8492897513085467</v>
      </c>
      <c r="I120" s="111">
        <f>Table1[[#This Row],[Tiyaar/gaz]]/1.0936</f>
        <v>20004.572055596196</v>
      </c>
      <c r="J120" s="99" cm="1">
        <f t="array" ref="J12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200045.72055596195</v>
      </c>
      <c r="K120" s="126"/>
      <c r="P120"/>
      <c r="Q120"/>
    </row>
    <row r="121" spans="1:17" x14ac:dyDescent="0.3">
      <c r="A121" s="127">
        <v>45985</v>
      </c>
      <c r="B121" s="126" t="s">
        <v>25</v>
      </c>
      <c r="C121" s="126">
        <v>1130</v>
      </c>
      <c r="D121" s="126" t="s">
        <v>85</v>
      </c>
      <c r="E121" s="11">
        <v>1889</v>
      </c>
      <c r="F121" s="11">
        <v>35271</v>
      </c>
      <c r="G121" s="11">
        <v>4716</v>
      </c>
      <c r="H121" s="133">
        <f>_xlfn.XLOOKUP(Table1[[#This Row],[Shipment Number]], 'pivot '!A:A,'pivot '!G:G, "NF")</f>
        <v>2.7905096906993947</v>
      </c>
      <c r="I121" s="111">
        <f>Table1[[#This Row],[Tiyaar/gaz]]/1.0936</f>
        <v>4312.3628383321147</v>
      </c>
      <c r="J121" s="99" cm="1">
        <f t="array" ref="J12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43123.628383321149</v>
      </c>
      <c r="K121" s="126"/>
      <c r="P121"/>
      <c r="Q121"/>
    </row>
    <row r="122" spans="1:17" x14ac:dyDescent="0.3">
      <c r="A122" s="127">
        <v>45985</v>
      </c>
      <c r="B122" s="126" t="s">
        <v>167</v>
      </c>
      <c r="C122" s="126">
        <v>1131</v>
      </c>
      <c r="D122" s="126" t="s">
        <v>85</v>
      </c>
      <c r="E122" s="11" t="s">
        <v>254</v>
      </c>
      <c r="F122" s="11">
        <v>69241</v>
      </c>
      <c r="G122" s="11">
        <v>8597</v>
      </c>
      <c r="H122" s="133">
        <f>_xlfn.XLOOKUP(Table1[[#This Row],[Shipment Number]], 'pivot '!A:A,'pivot '!G:G, "NF")</f>
        <v>79.608292641393618</v>
      </c>
      <c r="I122" s="111">
        <f>Table1[[#This Row],[Tiyaar/gaz]]/1.0936</f>
        <v>7861.1923920994886</v>
      </c>
      <c r="J122" s="99" cm="1">
        <f t="array" ref="J12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78611.923920994886</v>
      </c>
      <c r="K122" s="126"/>
      <c r="P122"/>
      <c r="Q122"/>
    </row>
    <row r="123" spans="1:17" x14ac:dyDescent="0.3">
      <c r="A123" s="127">
        <v>45986</v>
      </c>
      <c r="B123" s="126" t="s">
        <v>9</v>
      </c>
      <c r="C123" s="126">
        <v>1132</v>
      </c>
      <c r="D123" s="126" t="s">
        <v>85</v>
      </c>
      <c r="E123" s="11">
        <v>1905</v>
      </c>
      <c r="F123" s="11">
        <v>62248</v>
      </c>
      <c r="G123" s="11">
        <v>38493</v>
      </c>
      <c r="H123" s="133">
        <f>_xlfn.XLOOKUP(Table1[[#This Row],[Shipment Number]], 'pivot '!A:A,'pivot '!G:G, "NF")</f>
        <v>2.2231742261903094</v>
      </c>
      <c r="I123" s="111">
        <f>Table1[[#This Row],[Tiyaar/gaz]]/1.0936</f>
        <v>35198.427212874914</v>
      </c>
      <c r="J123" s="99" cm="1">
        <f t="array" ref="J12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351984.27212874917</v>
      </c>
      <c r="K123" s="126"/>
      <c r="P123"/>
      <c r="Q123"/>
    </row>
    <row r="124" spans="1:17" x14ac:dyDescent="0.3">
      <c r="A124" s="127">
        <v>45986</v>
      </c>
      <c r="B124" s="126" t="s">
        <v>21</v>
      </c>
      <c r="C124" s="126">
        <v>1133</v>
      </c>
      <c r="D124" s="126" t="s">
        <v>85</v>
      </c>
      <c r="E124" s="11">
        <v>1934</v>
      </c>
      <c r="F124" s="11">
        <v>38741</v>
      </c>
      <c r="G124" s="11">
        <v>9822</v>
      </c>
      <c r="H124" s="133">
        <f>_xlfn.XLOOKUP(Table1[[#This Row],[Shipment Number]], 'pivot '!A:A,'pivot '!G:G, "NF")</f>
        <v>11.957747196144211</v>
      </c>
      <c r="I124" s="111">
        <f>Table1[[#This Row],[Tiyaar/gaz]]/1.0936</f>
        <v>8981.3460131675201</v>
      </c>
      <c r="J124" s="99" cm="1">
        <f t="array" ref="J12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89813.460131675209</v>
      </c>
      <c r="K124" s="126"/>
      <c r="P124"/>
      <c r="Q124"/>
    </row>
    <row r="125" spans="1:17" x14ac:dyDescent="0.3">
      <c r="A125" s="127">
        <v>45986</v>
      </c>
      <c r="B125" s="126" t="s">
        <v>27</v>
      </c>
      <c r="C125" s="126">
        <v>1134</v>
      </c>
      <c r="D125" s="126" t="s">
        <v>85</v>
      </c>
      <c r="E125" s="11">
        <v>1843</v>
      </c>
      <c r="F125" s="11">
        <v>21089</v>
      </c>
      <c r="G125" s="11">
        <v>22527</v>
      </c>
      <c r="H125" s="133">
        <f>_xlfn.XLOOKUP(Table1[[#This Row],[Shipment Number]], 'pivot '!A:A,'pivot '!G:G, "NF")</f>
        <v>2.3237740855342395</v>
      </c>
      <c r="I125" s="111">
        <f>Table1[[#This Row],[Tiyaar/gaz]]/1.0936</f>
        <v>20598.939283101685</v>
      </c>
      <c r="J125" s="99" cm="1">
        <f t="array" ref="J12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205989.39283101686</v>
      </c>
      <c r="K125" s="126"/>
      <c r="P125"/>
      <c r="Q125"/>
    </row>
    <row r="126" spans="1:17" x14ac:dyDescent="0.3">
      <c r="A126" s="130">
        <v>45986</v>
      </c>
      <c r="B126" s="126" t="s">
        <v>21</v>
      </c>
      <c r="C126" s="126">
        <v>1135</v>
      </c>
      <c r="D126" s="126" t="s">
        <v>85</v>
      </c>
      <c r="E126" s="11">
        <v>1934</v>
      </c>
      <c r="F126" s="11">
        <v>38741</v>
      </c>
      <c r="G126" s="11">
        <v>8240</v>
      </c>
      <c r="H126" s="133">
        <f>_xlfn.XLOOKUP(Table1[[#This Row],[Shipment Number]], 'pivot '!A:A,'pivot '!G:G, "NF")</f>
        <v>11.957747196144211</v>
      </c>
      <c r="I126" s="111">
        <f>Table1[[#This Row],[Tiyaar/gaz]]/1.0936</f>
        <v>7534.7476225310902</v>
      </c>
      <c r="J126" s="99" cm="1">
        <f t="array" ref="J12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75347.476225310907</v>
      </c>
      <c r="K126" s="126"/>
      <c r="P126"/>
      <c r="Q126"/>
    </row>
    <row r="127" spans="1:17" x14ac:dyDescent="0.3">
      <c r="A127" s="127">
        <v>45986</v>
      </c>
      <c r="B127" s="126" t="s">
        <v>188</v>
      </c>
      <c r="C127" s="126">
        <v>1136</v>
      </c>
      <c r="D127" s="126" t="s">
        <v>85</v>
      </c>
      <c r="E127" s="11">
        <v>1926</v>
      </c>
      <c r="F127" s="11">
        <v>79388</v>
      </c>
      <c r="G127" s="11">
        <v>8891</v>
      </c>
      <c r="H127" s="133">
        <f>_xlfn.XLOOKUP(Table1[[#This Row],[Shipment Number]], 'pivot '!A:A,'pivot '!G:G, "NF")</f>
        <v>2.8492897513085467</v>
      </c>
      <c r="I127" s="111">
        <f>Table1[[#This Row],[Tiyaar/gaz]]/1.0936</f>
        <v>8130.0292611558161</v>
      </c>
      <c r="J127" s="99" cm="1">
        <f t="array" ref="J12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81300.292611558165</v>
      </c>
      <c r="K127" s="126"/>
      <c r="P127"/>
      <c r="Q127"/>
    </row>
    <row r="128" spans="1:17" x14ac:dyDescent="0.3">
      <c r="A128" s="127">
        <v>45987</v>
      </c>
      <c r="B128" s="126" t="s">
        <v>188</v>
      </c>
      <c r="C128" s="126">
        <v>1137</v>
      </c>
      <c r="D128" s="126" t="s">
        <v>85</v>
      </c>
      <c r="E128" s="11">
        <v>1926</v>
      </c>
      <c r="F128" s="11">
        <v>79388</v>
      </c>
      <c r="G128" s="11">
        <v>35579</v>
      </c>
      <c r="H128" s="133">
        <f>_xlfn.XLOOKUP(Table1[[#This Row],[Shipment Number]], 'pivot '!A:A,'pivot '!G:G, "NF")</f>
        <v>2.8492897513085467</v>
      </c>
      <c r="I128" s="111">
        <f>Table1[[#This Row],[Tiyaar/gaz]]/1.0936</f>
        <v>32533.833211411853</v>
      </c>
      <c r="J128" s="99" cm="1">
        <f t="array" ref="J12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325338.3321141185</v>
      </c>
      <c r="K128" s="126"/>
      <c r="P128"/>
      <c r="Q128"/>
    </row>
    <row r="129" spans="1:17" x14ac:dyDescent="0.3">
      <c r="A129" s="127">
        <v>45987</v>
      </c>
      <c r="B129" s="126" t="s">
        <v>9</v>
      </c>
      <c r="C129" s="126">
        <v>1138</v>
      </c>
      <c r="D129" s="126" t="s">
        <v>85</v>
      </c>
      <c r="E129" s="11">
        <v>1905</v>
      </c>
      <c r="F129" s="11">
        <v>62248</v>
      </c>
      <c r="G129" s="11">
        <v>6313</v>
      </c>
      <c r="H129" s="133">
        <f>_xlfn.XLOOKUP(Table1[[#This Row],[Shipment Number]], 'pivot '!A:A,'pivot '!G:G, "NF")</f>
        <v>2.2231742261903094</v>
      </c>
      <c r="I129" s="111">
        <f>Table1[[#This Row],[Tiyaar/gaz]]/1.0936</f>
        <v>5772.6773957571331</v>
      </c>
      <c r="J129" s="99" cm="1">
        <f t="array" ref="J12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57726.773957571335</v>
      </c>
      <c r="K129" s="126"/>
      <c r="P129"/>
      <c r="Q129"/>
    </row>
    <row r="130" spans="1:17" x14ac:dyDescent="0.3">
      <c r="A130" s="127">
        <v>45987</v>
      </c>
      <c r="B130" s="126" t="s">
        <v>188</v>
      </c>
      <c r="C130" s="126">
        <v>1139</v>
      </c>
      <c r="D130" s="126" t="s">
        <v>85</v>
      </c>
      <c r="E130" s="11">
        <v>1926</v>
      </c>
      <c r="F130" s="11">
        <v>79388</v>
      </c>
      <c r="G130" s="11">
        <v>11064</v>
      </c>
      <c r="H130" s="133">
        <f>_xlfn.XLOOKUP(Table1[[#This Row],[Shipment Number]], 'pivot '!A:A,'pivot '!G:G, "NF")</f>
        <v>2.8492897513085467</v>
      </c>
      <c r="I130" s="111">
        <f>Table1[[#This Row],[Tiyaar/gaz]]/1.0936</f>
        <v>10117.04462326262</v>
      </c>
      <c r="J130" s="99" cm="1">
        <f t="array" ref="J13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101170.4462326262</v>
      </c>
      <c r="K130" s="126"/>
      <c r="P130"/>
      <c r="Q130"/>
    </row>
    <row r="131" spans="1:17" x14ac:dyDescent="0.3">
      <c r="A131" s="127">
        <v>45988</v>
      </c>
      <c r="B131" s="126" t="s">
        <v>299</v>
      </c>
      <c r="C131" s="126">
        <v>1140</v>
      </c>
      <c r="D131" s="126" t="s">
        <v>85</v>
      </c>
      <c r="E131" s="11">
        <v>1935</v>
      </c>
      <c r="F131" s="11">
        <v>9377</v>
      </c>
      <c r="G131" s="11">
        <v>10015</v>
      </c>
      <c r="H131" s="133">
        <f>_xlfn.XLOOKUP(Table1[[#This Row],[Shipment Number]], 'pivot '!A:A,'pivot '!G:G, "NF")</f>
        <v>2.3373428689272799</v>
      </c>
      <c r="I131" s="111">
        <f>Table1[[#This Row],[Tiyaar/gaz]]/1.0936</f>
        <v>9157.8273591806883</v>
      </c>
      <c r="J131" s="99" cm="1">
        <f t="array" ref="J13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91578.273591806879</v>
      </c>
      <c r="K131" s="126"/>
      <c r="O131"/>
      <c r="P131"/>
      <c r="Q131"/>
    </row>
    <row r="132" spans="1:17" x14ac:dyDescent="0.3">
      <c r="A132" s="127">
        <v>45988</v>
      </c>
      <c r="B132" s="126" t="s">
        <v>9</v>
      </c>
      <c r="C132" s="126">
        <v>1141</v>
      </c>
      <c r="D132" s="126" t="s">
        <v>85</v>
      </c>
      <c r="E132" s="11">
        <v>1905</v>
      </c>
      <c r="F132" s="11">
        <v>62248</v>
      </c>
      <c r="G132" s="11">
        <v>16439</v>
      </c>
      <c r="H132" s="133">
        <f>_xlfn.XLOOKUP(Table1[[#This Row],[Shipment Number]], 'pivot '!A:A,'pivot '!G:G, "NF")</f>
        <v>2.2231742261903094</v>
      </c>
      <c r="I132" s="111">
        <f>Table1[[#This Row],[Tiyaar/gaz]]/1.0936</f>
        <v>15032.004389173373</v>
      </c>
      <c r="J132" s="99" cm="1">
        <f t="array" ref="J13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150320.04389173375</v>
      </c>
      <c r="K132" s="126"/>
      <c r="M132"/>
      <c r="N132"/>
    </row>
    <row r="133" spans="1:17" x14ac:dyDescent="0.3">
      <c r="A133" s="127">
        <v>45988</v>
      </c>
      <c r="B133" s="126" t="s">
        <v>167</v>
      </c>
      <c r="C133" s="126">
        <v>1142</v>
      </c>
      <c r="D133" s="126" t="s">
        <v>87</v>
      </c>
      <c r="E133" s="11">
        <v>1888</v>
      </c>
      <c r="F133" s="11">
        <v>28436</v>
      </c>
      <c r="G133" s="11">
        <v>5770</v>
      </c>
      <c r="H133" s="133">
        <f>_xlfn.XLOOKUP(Table1[[#This Row],[Shipment Number]], 'pivot '!A:A,'pivot '!G:G, "NF")</f>
        <v>4.3752867744535422</v>
      </c>
      <c r="I133" s="111">
        <f>Table1[[#This Row],[Tiyaar/gaz]]/1.0936</f>
        <v>5276.1521580102417</v>
      </c>
      <c r="J133" s="99" cm="1">
        <f t="array" ref="J13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68589.978054133142</v>
      </c>
      <c r="K133" s="126"/>
    </row>
    <row r="134" spans="1:17" x14ac:dyDescent="0.3">
      <c r="A134" s="127">
        <v>45988</v>
      </c>
      <c r="B134" s="126" t="s">
        <v>167</v>
      </c>
      <c r="C134" s="126">
        <v>1143</v>
      </c>
      <c r="D134" s="126" t="s">
        <v>87</v>
      </c>
      <c r="E134" s="11">
        <v>1888</v>
      </c>
      <c r="F134" s="11">
        <v>28436</v>
      </c>
      <c r="G134" s="11">
        <v>20407</v>
      </c>
      <c r="H134" s="133">
        <f>_xlfn.XLOOKUP(Table1[[#This Row],[Shipment Number]], 'pivot '!A:A,'pivot '!G:G, "NF")</f>
        <v>4.3752867744535422</v>
      </c>
      <c r="I134" s="111">
        <f>Table1[[#This Row],[Tiyaar/gaz]]/1.0936</f>
        <v>18660.387710314561</v>
      </c>
      <c r="J134" s="99" cm="1">
        <f t="array" ref="J13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242585.04023408928</v>
      </c>
      <c r="K134" s="126"/>
    </row>
    <row r="135" spans="1:17" x14ac:dyDescent="0.3">
      <c r="A135" s="127">
        <v>45988</v>
      </c>
      <c r="B135" s="126" t="s">
        <v>167</v>
      </c>
      <c r="C135" s="126">
        <v>1144</v>
      </c>
      <c r="D135" s="126" t="s">
        <v>87</v>
      </c>
      <c r="E135" s="11">
        <v>1925</v>
      </c>
      <c r="F135" s="11">
        <v>10000</v>
      </c>
      <c r="G135" s="11">
        <v>10647</v>
      </c>
      <c r="H135" s="133">
        <f>_xlfn.XLOOKUP(Table1[[#This Row],[Shipment Number]], 'pivot '!A:A,'pivot '!G:G, "NF")</f>
        <v>2.642648134601302</v>
      </c>
      <c r="I135" s="111">
        <f>Table1[[#This Row],[Tiyaar/gaz]]/1.0936</f>
        <v>9735.7351865398687</v>
      </c>
      <c r="J135" s="99" cm="1">
        <f t="array" ref="J13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126564.5574250183</v>
      </c>
      <c r="K135" s="126"/>
    </row>
    <row r="136" spans="1:17" x14ac:dyDescent="0.3">
      <c r="A136" s="127">
        <v>45988</v>
      </c>
      <c r="B136" s="126" t="s">
        <v>167</v>
      </c>
      <c r="C136" s="126">
        <v>1145</v>
      </c>
      <c r="D136" s="126" t="s">
        <v>87</v>
      </c>
      <c r="E136" s="11">
        <v>1893</v>
      </c>
      <c r="F136" s="11">
        <v>10212</v>
      </c>
      <c r="G136" s="11">
        <v>10280</v>
      </c>
      <c r="H136" s="133">
        <f>_xlfn.XLOOKUP(Table1[[#This Row],[Shipment Number]], 'pivot '!A:A,'pivot '!G:G, "NF")</f>
        <v>7.9499970056886156</v>
      </c>
      <c r="I136" s="111">
        <f>Table1[[#This Row],[Tiyaar/gaz]]/1.0936</f>
        <v>9400.1463057790788</v>
      </c>
      <c r="J136" s="99" cm="1">
        <f t="array" ref="J13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122201.90197512803</v>
      </c>
      <c r="K136" s="126"/>
    </row>
    <row r="137" spans="1:17" x14ac:dyDescent="0.3">
      <c r="A137" s="127">
        <v>45989</v>
      </c>
      <c r="B137" s="126" t="s">
        <v>167</v>
      </c>
      <c r="C137" s="126">
        <v>1146</v>
      </c>
      <c r="D137" s="126" t="s">
        <v>87</v>
      </c>
      <c r="E137" s="11">
        <v>1894</v>
      </c>
      <c r="F137" s="11">
        <v>8049</v>
      </c>
      <c r="G137" s="11">
        <v>4909</v>
      </c>
      <c r="H137" s="133">
        <f>_xlfn.XLOOKUP(Table1[[#This Row],[Shipment Number]], 'pivot '!A:A,'pivot '!G:G, "NF")</f>
        <v>3.9465025075472653</v>
      </c>
      <c r="I137" s="111">
        <f>Table1[[#This Row],[Tiyaar/gaz]]/1.0936</f>
        <v>4488.844184345282</v>
      </c>
      <c r="J137" s="99" cm="1">
        <f t="array" ref="J13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58354.974396488666</v>
      </c>
      <c r="K137" s="126"/>
    </row>
    <row r="138" spans="1:17" x14ac:dyDescent="0.3">
      <c r="A138" s="127">
        <v>45989</v>
      </c>
      <c r="B138" s="126" t="s">
        <v>184</v>
      </c>
      <c r="C138" s="126">
        <v>1147</v>
      </c>
      <c r="D138" s="126" t="s">
        <v>87</v>
      </c>
      <c r="E138" s="11">
        <v>1906</v>
      </c>
      <c r="F138" s="11">
        <v>36489</v>
      </c>
      <c r="G138" s="11">
        <v>11455</v>
      </c>
      <c r="H138" s="133">
        <f>_xlfn.XLOOKUP(Table1[[#This Row],[Shipment Number]], 'pivot '!A:A,'pivot '!G:G, "NF")</f>
        <v>1.9756492637207401</v>
      </c>
      <c r="I138" s="111">
        <f>Table1[[#This Row],[Tiyaar/gaz]]/1.0936</f>
        <v>10474.579370885151</v>
      </c>
      <c r="J138" s="99" cm="1">
        <f t="array" ref="J13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136169.53182150697</v>
      </c>
      <c r="K138" s="126"/>
    </row>
    <row r="139" spans="1:17" x14ac:dyDescent="0.3">
      <c r="A139" s="127">
        <v>45989</v>
      </c>
      <c r="B139" s="126" t="s">
        <v>184</v>
      </c>
      <c r="C139" s="126">
        <v>1148</v>
      </c>
      <c r="D139" s="126" t="s">
        <v>87</v>
      </c>
      <c r="E139" s="11">
        <v>1883</v>
      </c>
      <c r="F139" s="11">
        <v>8030</v>
      </c>
      <c r="G139" s="11">
        <v>6736</v>
      </c>
      <c r="H139" s="133">
        <f>_xlfn.XLOOKUP(Table1[[#This Row],[Shipment Number]], 'pivot '!A:A,'pivot '!G:G, "NF")</f>
        <v>2.5804841209035771</v>
      </c>
      <c r="I139" s="111">
        <f>Table1[[#This Row],[Tiyaar/gaz]]/1.0936</f>
        <v>6159.4732991953188</v>
      </c>
      <c r="J139" s="99" cm="1">
        <f t="array" ref="J13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80073.152889539138</v>
      </c>
      <c r="K139" s="126"/>
    </row>
    <row r="140" spans="1:17" x14ac:dyDescent="0.3">
      <c r="A140" s="127">
        <v>45990</v>
      </c>
      <c r="B140" s="126" t="s">
        <v>184</v>
      </c>
      <c r="C140" s="126">
        <v>1149</v>
      </c>
      <c r="D140" s="126" t="s">
        <v>87</v>
      </c>
      <c r="E140" s="11">
        <v>1936</v>
      </c>
      <c r="F140" s="11">
        <v>35101</v>
      </c>
      <c r="G140" s="11">
        <v>33442</v>
      </c>
      <c r="H140" s="133">
        <f>_xlfn.XLOOKUP(Table1[[#This Row],[Shipment Number]], 'pivot '!A:A,'pivot '!G:G, "NF")</f>
        <v>2.418701163891825</v>
      </c>
      <c r="I140" s="111">
        <f>Table1[[#This Row],[Tiyaar/gaz]]/1.0936</f>
        <v>30579.73664959766</v>
      </c>
      <c r="J140" s="99" cm="1">
        <f t="array" ref="J14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397536.57644476957</v>
      </c>
      <c r="K140" s="126"/>
    </row>
    <row r="141" spans="1:17" x14ac:dyDescent="0.3">
      <c r="A141" s="127">
        <v>45990</v>
      </c>
      <c r="B141" s="126" t="s">
        <v>184</v>
      </c>
      <c r="C141" s="126">
        <v>1150</v>
      </c>
      <c r="D141" s="126" t="s">
        <v>87</v>
      </c>
      <c r="E141" s="11">
        <v>1936</v>
      </c>
      <c r="F141" s="11">
        <v>35101</v>
      </c>
      <c r="G141" s="11">
        <v>4016</v>
      </c>
      <c r="H141" s="133">
        <f>_xlfn.XLOOKUP(Table1[[#This Row],[Shipment Number]], 'pivot '!A:A,'pivot '!G:G, "NF")</f>
        <v>2.418701163891825</v>
      </c>
      <c r="I141" s="111">
        <f>Table1[[#This Row],[Tiyaar/gaz]]/1.0936</f>
        <v>3672.2750548646673</v>
      </c>
      <c r="J141" s="99" cm="1">
        <f t="array" ref="J14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47739.575713240672</v>
      </c>
      <c r="K141" s="126"/>
    </row>
    <row r="142" spans="1:17" x14ac:dyDescent="0.3">
      <c r="A142" s="127">
        <v>45990</v>
      </c>
      <c r="B142" s="126" t="s">
        <v>184</v>
      </c>
      <c r="C142" s="126">
        <v>1151</v>
      </c>
      <c r="D142" s="126" t="s">
        <v>87</v>
      </c>
      <c r="E142" s="11">
        <v>1937</v>
      </c>
      <c r="F142" s="11">
        <v>11699</v>
      </c>
      <c r="G142" s="11">
        <v>12441</v>
      </c>
      <c r="H142" s="133">
        <f>_xlfn.XLOOKUP(Table1[[#This Row],[Shipment Number]], 'pivot '!A:A,'pivot '!G:G, "NF")</f>
        <v>2.7593064838446679</v>
      </c>
      <c r="I142" s="111">
        <f>Table1[[#This Row],[Tiyaar/gaz]]/1.0936</f>
        <v>11376.188734455012</v>
      </c>
      <c r="J142" s="99" cm="1">
        <f t="array" ref="J14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147890.45354791515</v>
      </c>
      <c r="K142" s="126"/>
    </row>
    <row r="143" spans="1:17" x14ac:dyDescent="0.3">
      <c r="A143" s="127">
        <v>45990</v>
      </c>
      <c r="B143" s="126" t="s">
        <v>184</v>
      </c>
      <c r="C143" s="126">
        <v>1152</v>
      </c>
      <c r="D143" s="126" t="s">
        <v>87</v>
      </c>
      <c r="E143" s="11">
        <v>1939</v>
      </c>
      <c r="F143" s="11">
        <v>26689</v>
      </c>
      <c r="G143" s="11">
        <v>25635</v>
      </c>
      <c r="H143" s="133">
        <f>_xlfn.XLOOKUP(Table1[[#This Row],[Shipment Number]], 'pivot '!A:A,'pivot '!G:G, "NF")</f>
        <v>3.9061461227392442</v>
      </c>
      <c r="I143" s="111">
        <f>Table1[[#This Row],[Tiyaar/gaz]]/1.0936</f>
        <v>23440.929041697149</v>
      </c>
      <c r="J143" s="99" cm="1">
        <f t="array" ref="J14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304732.07754206297</v>
      </c>
      <c r="K143" s="126"/>
    </row>
    <row r="144" spans="1:17" x14ac:dyDescent="0.3">
      <c r="A144" s="127">
        <v>45990</v>
      </c>
      <c r="B144" s="126" t="s">
        <v>297</v>
      </c>
      <c r="C144" s="126">
        <v>1153</v>
      </c>
      <c r="D144" s="126" t="s">
        <v>87</v>
      </c>
      <c r="E144" s="11">
        <v>1913</v>
      </c>
      <c r="F144" s="11">
        <v>10441</v>
      </c>
      <c r="G144" s="11">
        <v>10780</v>
      </c>
      <c r="H144" s="133">
        <f>_xlfn.XLOOKUP(Table1[[#This Row],[Shipment Number]], 'pivot '!A:A,'pivot '!G:G, "NF")</f>
        <v>5.5899639364171634</v>
      </c>
      <c r="I144" s="111">
        <f>Table1[[#This Row],[Tiyaar/gaz]]/1.0936</f>
        <v>9857.3518653986848</v>
      </c>
      <c r="J144" s="99" cm="1">
        <f t="array" ref="J14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128145.57425018291</v>
      </c>
      <c r="K144" s="126"/>
    </row>
    <row r="145" spans="1:11" x14ac:dyDescent="0.3">
      <c r="A145" s="127">
        <v>45990</v>
      </c>
      <c r="B145" s="126" t="s">
        <v>297</v>
      </c>
      <c r="C145" s="126">
        <v>1154</v>
      </c>
      <c r="D145" s="126" t="s">
        <v>87</v>
      </c>
      <c r="E145" s="11">
        <v>1912</v>
      </c>
      <c r="F145" s="11">
        <v>16530</v>
      </c>
      <c r="G145" s="11">
        <v>17770</v>
      </c>
      <c r="H145" s="133">
        <f>_xlfn.XLOOKUP(Table1[[#This Row],[Shipment Number]], 'pivot '!A:A,'pivot '!G:G, "NF")</f>
        <v>1.6994217248592776</v>
      </c>
      <c r="I145" s="111">
        <f>Table1[[#This Row],[Tiyaar/gaz]]/1.0936</f>
        <v>16249.085588880762</v>
      </c>
      <c r="J145" s="99" cm="1">
        <f t="array" ref="J14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211238.11265544989</v>
      </c>
      <c r="K145" s="126"/>
    </row>
    <row r="146" spans="1:11" x14ac:dyDescent="0.3">
      <c r="A146" s="127">
        <v>45990</v>
      </c>
      <c r="B146" s="126" t="s">
        <v>22</v>
      </c>
      <c r="C146" s="126">
        <v>1155</v>
      </c>
      <c r="D146" s="126" t="s">
        <v>87</v>
      </c>
      <c r="E146" s="11">
        <v>1915</v>
      </c>
      <c r="F146" s="11">
        <v>20458</v>
      </c>
      <c r="G146" s="11">
        <v>4931</v>
      </c>
      <c r="H146" s="133">
        <f>_xlfn.XLOOKUP(Table1[[#This Row],[Shipment Number]], 'pivot '!A:A,'pivot '!G:G, "NF")</f>
        <v>3.9550976135880944</v>
      </c>
      <c r="I146" s="111">
        <f>Table1[[#This Row],[Tiyaar/gaz]]/1.0936</f>
        <v>4508.9612289685447</v>
      </c>
      <c r="J146" s="99" cm="1">
        <f t="array" ref="J14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58616.495976591083</v>
      </c>
      <c r="K146" s="126"/>
    </row>
    <row r="147" spans="1:11" x14ac:dyDescent="0.3">
      <c r="A147" s="127">
        <v>45990</v>
      </c>
      <c r="B147" s="126" t="s">
        <v>22</v>
      </c>
      <c r="C147" s="126">
        <v>1156</v>
      </c>
      <c r="D147" s="126" t="s">
        <v>87</v>
      </c>
      <c r="E147" s="11">
        <v>1899</v>
      </c>
      <c r="F147" s="11">
        <v>12051</v>
      </c>
      <c r="G147" s="11">
        <v>6942</v>
      </c>
      <c r="H147" s="133">
        <f>_xlfn.XLOOKUP(Table1[[#This Row],[Shipment Number]], 'pivot '!A:A,'pivot '!G:G, "NF")</f>
        <v>2.3823827980048407</v>
      </c>
      <c r="I147" s="111">
        <f>Table1[[#This Row],[Tiyaar/gaz]]/1.0936</f>
        <v>6347.8419897585964</v>
      </c>
      <c r="J147" s="99" cm="1">
        <f t="array" ref="J14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82521.945866861759</v>
      </c>
      <c r="K147" s="126"/>
    </row>
    <row r="148" spans="1:11" x14ac:dyDescent="0.3">
      <c r="A148" s="127">
        <v>45990</v>
      </c>
      <c r="B148" s="126" t="s">
        <v>21</v>
      </c>
      <c r="C148" s="126">
        <v>1157</v>
      </c>
      <c r="D148" s="126" t="s">
        <v>85</v>
      </c>
      <c r="E148" s="11">
        <v>1934</v>
      </c>
      <c r="F148" s="11">
        <v>38741</v>
      </c>
      <c r="G148" s="11">
        <v>2751</v>
      </c>
      <c r="H148" s="133">
        <f>_xlfn.XLOOKUP(Table1[[#This Row],[Shipment Number]], 'pivot '!A:A,'pivot '!G:G, "NF")</f>
        <v>11.957747196144211</v>
      </c>
      <c r="I148" s="111">
        <f>Table1[[#This Row],[Tiyaar/gaz]]/1.0936</f>
        <v>2515.544989027067</v>
      </c>
      <c r="J148" s="99" cm="1">
        <f t="array" ref="J14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25155.449890270669</v>
      </c>
      <c r="K148" s="126"/>
    </row>
    <row r="149" spans="1:11" x14ac:dyDescent="0.3">
      <c r="A149" s="127">
        <v>45992</v>
      </c>
      <c r="B149" s="126" t="s">
        <v>9</v>
      </c>
      <c r="C149" s="126">
        <v>1158</v>
      </c>
      <c r="D149" s="126" t="s">
        <v>87</v>
      </c>
      <c r="E149" s="11">
        <v>1919</v>
      </c>
      <c r="F149" s="11">
        <v>20185</v>
      </c>
      <c r="G149" s="11">
        <v>21517</v>
      </c>
      <c r="H149" s="133">
        <f>_xlfn.XLOOKUP(Table1[[#This Row],[Shipment Number]], 'pivot '!A:A,'pivot '!G:G, "NF")</f>
        <v>2.5247260209557538</v>
      </c>
      <c r="I149" s="111">
        <f>Table1[[#This Row],[Tiyaar/gaz]]/1.0936</f>
        <v>19675.384052670081</v>
      </c>
      <c r="J149" s="99" cm="1">
        <f t="array" ref="J14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255779.99268471106</v>
      </c>
      <c r="K149" s="126"/>
    </row>
    <row r="150" spans="1:11" x14ac:dyDescent="0.3">
      <c r="A150" s="127">
        <v>45992</v>
      </c>
      <c r="B150" s="126" t="s">
        <v>9</v>
      </c>
      <c r="C150" s="126">
        <v>1159</v>
      </c>
      <c r="D150" s="126" t="s">
        <v>87</v>
      </c>
      <c r="E150" s="11">
        <v>1886</v>
      </c>
      <c r="F150" s="11">
        <v>16886</v>
      </c>
      <c r="G150" s="11">
        <v>18025</v>
      </c>
      <c r="H150" s="133">
        <f>_xlfn.XLOOKUP(Table1[[#This Row],[Shipment Number]], 'pivot '!A:A,'pivot '!G:G, "NF")</f>
        <v>2.3909722593464409</v>
      </c>
      <c r="I150" s="111">
        <f>Table1[[#This Row],[Tiyaar/gaz]]/1.0936</f>
        <v>16482.26042428676</v>
      </c>
      <c r="J150" s="99" cm="1">
        <f t="array" ref="J15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214269.38551572789</v>
      </c>
      <c r="K150" s="126"/>
    </row>
    <row r="151" spans="1:11" x14ac:dyDescent="0.3">
      <c r="A151" s="127">
        <v>45992</v>
      </c>
      <c r="B151" s="126" t="s">
        <v>9</v>
      </c>
      <c r="C151" s="126">
        <v>1160</v>
      </c>
      <c r="D151" s="126" t="s">
        <v>87</v>
      </c>
      <c r="E151" s="11">
        <v>1907</v>
      </c>
      <c r="F151" s="11">
        <v>3042</v>
      </c>
      <c r="G151" s="11">
        <v>3074</v>
      </c>
      <c r="H151" s="133">
        <f>_xlfn.XLOOKUP(Table1[[#This Row],[Shipment Number]], 'pivot '!A:A,'pivot '!G:G, "NF")</f>
        <v>7.5969828881876538</v>
      </c>
      <c r="I151" s="111">
        <f>Table1[[#This Row],[Tiyaar/gaz]]/1.0936</f>
        <v>2810.8997805413314</v>
      </c>
      <c r="J151" s="99" cm="1">
        <f t="array" ref="J15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36541.69714703731</v>
      </c>
      <c r="K151" s="126"/>
    </row>
    <row r="152" spans="1:11" x14ac:dyDescent="0.3">
      <c r="A152" s="127">
        <v>45992</v>
      </c>
      <c r="B152" s="126" t="s">
        <v>21</v>
      </c>
      <c r="C152" s="126">
        <v>1161</v>
      </c>
      <c r="D152" s="126" t="s">
        <v>87</v>
      </c>
      <c r="E152" s="11">
        <v>1918</v>
      </c>
      <c r="F152" s="11">
        <v>24516</v>
      </c>
      <c r="G152" s="11">
        <v>12770</v>
      </c>
      <c r="H152" s="133">
        <f>_xlfn.XLOOKUP(Table1[[#This Row],[Shipment Number]], 'pivot '!A:A,'pivot '!G:G, "NF")</f>
        <v>2.0092636455680974</v>
      </c>
      <c r="I152" s="111">
        <f>Table1[[#This Row],[Tiyaar/gaz]]/1.0936</f>
        <v>11677.029992684713</v>
      </c>
      <c r="J152" s="99" cm="1">
        <f t="array" ref="J15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151801.38990490127</v>
      </c>
      <c r="K152" s="126"/>
    </row>
    <row r="153" spans="1:11" x14ac:dyDescent="0.3">
      <c r="A153" s="127">
        <v>45992</v>
      </c>
      <c r="B153" s="126" t="s">
        <v>22</v>
      </c>
      <c r="C153" s="126">
        <v>1162</v>
      </c>
      <c r="D153" s="126" t="s">
        <v>87</v>
      </c>
      <c r="E153" s="11">
        <v>1915</v>
      </c>
      <c r="F153" s="11">
        <v>20458</v>
      </c>
      <c r="G153" s="11">
        <v>10970</v>
      </c>
      <c r="H153" s="133">
        <f>_xlfn.XLOOKUP(Table1[[#This Row],[Shipment Number]], 'pivot '!A:A,'pivot '!G:G, "NF")</f>
        <v>3.9550976135880944</v>
      </c>
      <c r="I153" s="111">
        <f>Table1[[#This Row],[Tiyaar/gaz]]/1.0936</f>
        <v>10031.089978054133</v>
      </c>
      <c r="J153" s="99" cm="1">
        <f t="array" ref="J15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130404.16971470373</v>
      </c>
      <c r="K153" s="126"/>
    </row>
    <row r="154" spans="1:11" x14ac:dyDescent="0.3">
      <c r="A154" s="127">
        <v>45992</v>
      </c>
      <c r="B154" s="126" t="s">
        <v>22</v>
      </c>
      <c r="C154" s="126">
        <v>1163</v>
      </c>
      <c r="D154" s="126" t="s">
        <v>87</v>
      </c>
      <c r="E154" s="11">
        <v>1899</v>
      </c>
      <c r="F154" s="11">
        <v>12051</v>
      </c>
      <c r="G154" s="11">
        <v>5923</v>
      </c>
      <c r="H154" s="133">
        <f>_xlfn.XLOOKUP(Table1[[#This Row],[Shipment Number]], 'pivot '!A:A,'pivot '!G:G, "NF")</f>
        <v>2.3823827980048407</v>
      </c>
      <c r="I154" s="111">
        <f>Table1[[#This Row],[Tiyaar/gaz]]/1.0936</f>
        <v>5416.0570592538406</v>
      </c>
      <c r="J154" s="99" cm="1">
        <f t="array" ref="J15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70408.741770299923</v>
      </c>
      <c r="K154" s="126"/>
    </row>
    <row r="155" spans="1:11" x14ac:dyDescent="0.3">
      <c r="A155" s="127">
        <v>45992</v>
      </c>
      <c r="B155" s="126" t="s">
        <v>22</v>
      </c>
      <c r="C155" s="126">
        <v>1164</v>
      </c>
      <c r="D155" s="126" t="s">
        <v>87</v>
      </c>
      <c r="E155" s="11">
        <v>1938</v>
      </c>
      <c r="F155" s="11">
        <v>12099</v>
      </c>
      <c r="G155" s="11">
        <v>6492</v>
      </c>
      <c r="H155" s="133">
        <f>_xlfn.XLOOKUP(Table1[[#This Row],[Shipment Number]], 'pivot '!A:A,'pivot '!G:G, "NF")</f>
        <v>3.0644101548714104</v>
      </c>
      <c r="I155" s="111">
        <f>Table1[[#This Row],[Tiyaar/gaz]]/1.0936</f>
        <v>5936.3569861009519</v>
      </c>
      <c r="J155" s="99" cm="1">
        <f t="array" ref="J15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77172.640819312379</v>
      </c>
      <c r="K155" s="126"/>
    </row>
    <row r="156" spans="1:11" x14ac:dyDescent="0.3">
      <c r="A156" s="127">
        <v>45992</v>
      </c>
      <c r="B156" s="126" t="s">
        <v>21</v>
      </c>
      <c r="C156" s="126">
        <v>1165</v>
      </c>
      <c r="D156" s="126" t="s">
        <v>87</v>
      </c>
      <c r="E156" s="11">
        <v>1870</v>
      </c>
      <c r="F156" s="11">
        <v>12087</v>
      </c>
      <c r="G156" s="11">
        <v>12007</v>
      </c>
      <c r="H156" s="133">
        <f>_xlfn.XLOOKUP(Table1[[#This Row],[Shipment Number]], 'pivot '!A:A,'pivot '!G:G, "NF")</f>
        <v>0.69859889853668733</v>
      </c>
      <c r="I156" s="111">
        <f>Table1[[#This Row],[Tiyaar/gaz]]/1.0936</f>
        <v>10979.334308705194</v>
      </c>
      <c r="J156" s="99" cm="1">
        <f t="array" ref="J15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142731.34601316752</v>
      </c>
      <c r="K156" s="126"/>
    </row>
    <row r="157" spans="1:11" x14ac:dyDescent="0.3">
      <c r="A157" s="127">
        <v>45992</v>
      </c>
      <c r="B157" s="126" t="s">
        <v>21</v>
      </c>
      <c r="C157" s="126">
        <v>1166</v>
      </c>
      <c r="D157" s="126" t="s">
        <v>87</v>
      </c>
      <c r="E157" s="11">
        <v>1921</v>
      </c>
      <c r="F157" s="11">
        <v>12000</v>
      </c>
      <c r="G157" s="11">
        <v>12170</v>
      </c>
      <c r="H157" s="133">
        <f>_xlfn.XLOOKUP(Table1[[#This Row],[Shipment Number]], 'pivot '!A:A,'pivot '!G:G, "NF")</f>
        <v>1.2207388441843392</v>
      </c>
      <c r="I157" s="111">
        <f>Table1[[#This Row],[Tiyaar/gaz]]/1.0936</f>
        <v>11128.383321141186</v>
      </c>
      <c r="J157" s="99" cm="1">
        <f t="array" ref="J15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144668.98317483542</v>
      </c>
      <c r="K157" s="126"/>
    </row>
    <row r="158" spans="1:11" x14ac:dyDescent="0.3">
      <c r="A158" s="127">
        <v>45992</v>
      </c>
      <c r="B158" s="126" t="s">
        <v>21</v>
      </c>
      <c r="C158" s="126">
        <v>1167</v>
      </c>
      <c r="D158" s="126" t="s">
        <v>87</v>
      </c>
      <c r="E158" s="11">
        <v>1922</v>
      </c>
      <c r="F158" s="11">
        <v>4048</v>
      </c>
      <c r="G158" s="11">
        <v>4300</v>
      </c>
      <c r="H158" s="133">
        <f>_xlfn.XLOOKUP(Table1[[#This Row],[Shipment Number]], 'pivot '!A:A,'pivot '!G:G, "NF")</f>
        <v>2.8664077883250201</v>
      </c>
      <c r="I158" s="111">
        <f>Table1[[#This Row],[Tiyaar/gaz]]/1.0936</f>
        <v>3931.9678127286029</v>
      </c>
      <c r="J158" s="99" cm="1">
        <f t="array" ref="J15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51115.581565471839</v>
      </c>
      <c r="K158" s="126"/>
    </row>
    <row r="159" spans="1:11" x14ac:dyDescent="0.3">
      <c r="A159" s="127">
        <v>45992</v>
      </c>
      <c r="B159" s="126" t="s">
        <v>21</v>
      </c>
      <c r="C159" s="126">
        <v>1168</v>
      </c>
      <c r="D159" s="126" t="s">
        <v>87</v>
      </c>
      <c r="E159" s="11">
        <v>1917</v>
      </c>
      <c r="F159" s="11">
        <v>10009</v>
      </c>
      <c r="G159" s="11">
        <f>10964-1806</f>
        <v>9158</v>
      </c>
      <c r="H159" s="133">
        <f>_xlfn.XLOOKUP(Table1[[#This Row],[Shipment Number]], 'pivot '!A:A,'pivot '!G:G, "NF")</f>
        <v>-0.16588581615243925</v>
      </c>
      <c r="I159" s="111">
        <f>Table1[[#This Row],[Tiyaar/gaz]]/1.0936</f>
        <v>8374.1770299926848</v>
      </c>
      <c r="J159" s="99" cm="1">
        <f t="array" ref="J15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108864.3013899049</v>
      </c>
      <c r="K159" s="126"/>
    </row>
    <row r="160" spans="1:11" x14ac:dyDescent="0.3">
      <c r="A160" s="127">
        <v>45993</v>
      </c>
      <c r="B160" s="126" t="s">
        <v>184</v>
      </c>
      <c r="C160" s="126">
        <v>1169</v>
      </c>
      <c r="D160" s="126" t="s">
        <v>87</v>
      </c>
      <c r="E160" s="11">
        <v>1939</v>
      </c>
      <c r="F160" s="11">
        <v>26689</v>
      </c>
      <c r="G160" s="11">
        <v>2412</v>
      </c>
      <c r="H160" s="133">
        <f>_xlfn.XLOOKUP(Table1[[#This Row],[Shipment Number]], 'pivot '!A:A,'pivot '!G:G, "NF")</f>
        <v>3.9061461227392442</v>
      </c>
      <c r="I160" s="111">
        <f>Table1[[#This Row],[Tiyaar/gaz]]/1.0936</f>
        <v>2205.5596196049746</v>
      </c>
      <c r="J160" s="99" cm="1">
        <f t="array" ref="J16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28672.275054864669</v>
      </c>
      <c r="K160" s="126"/>
    </row>
    <row r="161" spans="1:12" x14ac:dyDescent="0.3">
      <c r="A161" s="127">
        <v>45993</v>
      </c>
      <c r="B161" s="126" t="s">
        <v>22</v>
      </c>
      <c r="C161" s="126">
        <v>1170</v>
      </c>
      <c r="D161" s="126" t="s">
        <v>87</v>
      </c>
      <c r="E161" s="11">
        <v>1938</v>
      </c>
      <c r="F161" s="11">
        <v>12099</v>
      </c>
      <c r="G161" s="11">
        <f>6221+113</f>
        <v>6334</v>
      </c>
      <c r="H161" s="133">
        <f>_xlfn.XLOOKUP(Table1[[#This Row],[Shipment Number]], 'pivot '!A:A,'pivot '!G:G, "NF")</f>
        <v>3.0644101548714104</v>
      </c>
      <c r="I161" s="111">
        <f>Table1[[#This Row],[Tiyaar/gaz]]/1.0936</f>
        <v>5791.8800292611559</v>
      </c>
      <c r="J161" s="99" cm="1">
        <f t="array" ref="J16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75294.440380395026</v>
      </c>
      <c r="K161" s="126"/>
    </row>
    <row r="162" spans="1:12" x14ac:dyDescent="0.3">
      <c r="A162" s="127">
        <v>45993</v>
      </c>
      <c r="B162" s="126" t="s">
        <v>299</v>
      </c>
      <c r="C162" s="126">
        <v>1171</v>
      </c>
      <c r="D162" s="126" t="s">
        <v>85</v>
      </c>
      <c r="E162" s="11">
        <v>1933</v>
      </c>
      <c r="F162" s="11">
        <v>34339</v>
      </c>
      <c r="G162" s="11">
        <v>31700</v>
      </c>
      <c r="H162" s="133">
        <f>_xlfn.XLOOKUP(Table1[[#This Row],[Shipment Number]], 'pivot '!A:A,'pivot '!G:G, "NF")</f>
        <v>3.0999556830553843</v>
      </c>
      <c r="I162" s="111">
        <f>Table1[[#This Row],[Tiyaar/gaz]]/1.0936</f>
        <v>28986.832479882956</v>
      </c>
      <c r="J162" s="99" cm="1">
        <f t="array" ref="J16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289868.32479882956</v>
      </c>
      <c r="K162" s="126"/>
    </row>
    <row r="163" spans="1:12" x14ac:dyDescent="0.3">
      <c r="A163" s="127">
        <v>45993</v>
      </c>
      <c r="B163" s="126" t="s">
        <v>22</v>
      </c>
      <c r="C163" s="126">
        <v>1172</v>
      </c>
      <c r="D163" s="126" t="s">
        <v>87</v>
      </c>
      <c r="E163" s="11">
        <v>1915</v>
      </c>
      <c r="F163" s="11">
        <v>20458</v>
      </c>
      <c r="G163" s="11">
        <v>3204</v>
      </c>
      <c r="H163" s="133">
        <f>_xlfn.XLOOKUP(Table1[[#This Row],[Shipment Number]], 'pivot '!A:A,'pivot '!G:G, "NF")</f>
        <v>3.9550976135880944</v>
      </c>
      <c r="I163" s="111">
        <f>Table1[[#This Row],[Tiyaar/gaz]]/1.0936</f>
        <v>2929.7732260424291</v>
      </c>
      <c r="J163" s="99" cm="1">
        <f t="array" ref="J16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38087.05193855158</v>
      </c>
      <c r="K163" s="126"/>
      <c r="L163"/>
    </row>
    <row r="164" spans="1:12" x14ac:dyDescent="0.3">
      <c r="A164" s="127">
        <v>45993</v>
      </c>
      <c r="B164" s="126" t="s">
        <v>167</v>
      </c>
      <c r="C164" s="126">
        <v>1173</v>
      </c>
      <c r="D164" s="126" t="s">
        <v>87</v>
      </c>
      <c r="E164" s="11">
        <v>1894</v>
      </c>
      <c r="F164" s="11">
        <v>8049</v>
      </c>
      <c r="G164" s="11">
        <v>3546</v>
      </c>
      <c r="H164" s="133">
        <f>_xlfn.XLOOKUP(Table1[[#This Row],[Shipment Number]], 'pivot '!A:A,'pivot '!G:G, "NF")</f>
        <v>3.9465025075472653</v>
      </c>
      <c r="I164" s="111">
        <f>Table1[[#This Row],[Tiyaar/gaz]]/1.0936</f>
        <v>3242.5018288222386</v>
      </c>
      <c r="J164" s="99" cm="1">
        <f t="array" ref="J16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42152.5237746891</v>
      </c>
      <c r="K164" s="126"/>
    </row>
    <row r="165" spans="1:12" x14ac:dyDescent="0.3">
      <c r="A165" s="127">
        <v>45993</v>
      </c>
      <c r="B165" s="126" t="s">
        <v>188</v>
      </c>
      <c r="C165" s="126">
        <v>1174</v>
      </c>
      <c r="D165" s="126" t="s">
        <v>85</v>
      </c>
      <c r="E165" s="11">
        <v>1842</v>
      </c>
      <c r="F165" s="11">
        <v>6327</v>
      </c>
      <c r="G165" s="11">
        <v>6375</v>
      </c>
      <c r="H165" s="133">
        <f>_xlfn.XLOOKUP(Table1[[#This Row],[Shipment Number]], 'pivot '!A:A,'pivot '!G:G, "NF")</f>
        <v>3.0958344476228348</v>
      </c>
      <c r="I165" s="111">
        <f>Table1[[#This Row],[Tiyaar/gaz]]/1.0936</f>
        <v>5829.3708851499641</v>
      </c>
      <c r="J165" s="99" cm="1">
        <f t="array" ref="J16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58293.708851499643</v>
      </c>
      <c r="K165" s="126"/>
    </row>
    <row r="166" spans="1:12" x14ac:dyDescent="0.3">
      <c r="A166" s="127">
        <v>45993</v>
      </c>
      <c r="B166" s="126" t="s">
        <v>21</v>
      </c>
      <c r="C166" s="126">
        <v>1175</v>
      </c>
      <c r="D166" s="126" t="s">
        <v>85</v>
      </c>
      <c r="E166" s="11">
        <v>1958</v>
      </c>
      <c r="F166" s="11">
        <v>54197</v>
      </c>
      <c r="G166" s="11">
        <v>6304</v>
      </c>
      <c r="H166" s="133">
        <f>_xlfn.XLOOKUP(Table1[[#This Row],[Shipment Number]], 'pivot '!A:A,'pivot '!G:G, "NF")</f>
        <v>0.37091242859318641</v>
      </c>
      <c r="I166" s="111">
        <f>Table1[[#This Row],[Tiyaar/gaz]]/1.0936</f>
        <v>5764.4476956839799</v>
      </c>
      <c r="J166" s="99" cm="1">
        <f t="array" ref="J16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57644.476956839797</v>
      </c>
      <c r="K166" s="126"/>
    </row>
    <row r="167" spans="1:12" x14ac:dyDescent="0.3">
      <c r="A167" s="127">
        <v>45993</v>
      </c>
      <c r="B167" s="126" t="s">
        <v>242</v>
      </c>
      <c r="C167" s="126">
        <v>1176</v>
      </c>
      <c r="D167" s="126" t="s">
        <v>85</v>
      </c>
      <c r="E167" s="11">
        <v>1910</v>
      </c>
      <c r="F167" s="11">
        <v>28367</v>
      </c>
      <c r="G167" s="11">
        <v>3396</v>
      </c>
      <c r="H167" s="133">
        <f>_xlfn.XLOOKUP(Table1[[#This Row],[Shipment Number]], 'pivot '!A:A,'pivot '!G:G, "NF")</f>
        <v>2.9822277444124978</v>
      </c>
      <c r="I167" s="111">
        <f>Table1[[#This Row],[Tiyaar/gaz]]/1.0936</f>
        <v>3105.3401609363573</v>
      </c>
      <c r="J167" s="99" cm="1">
        <f t="array" ref="J16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31053.401609363573</v>
      </c>
      <c r="K167" s="126"/>
    </row>
    <row r="168" spans="1:12" x14ac:dyDescent="0.3">
      <c r="A168" s="127">
        <v>45993</v>
      </c>
      <c r="B168" s="126" t="s">
        <v>21</v>
      </c>
      <c r="C168" s="126">
        <v>1177</v>
      </c>
      <c r="D168" s="126" t="s">
        <v>85</v>
      </c>
      <c r="E168" s="11">
        <v>1958</v>
      </c>
      <c r="F168" s="11">
        <v>54197</v>
      </c>
      <c r="G168" s="11">
        <v>2197</v>
      </c>
      <c r="H168" s="133">
        <f>_xlfn.XLOOKUP(Table1[[#This Row],[Shipment Number]], 'pivot '!A:A,'pivot '!G:G, "NF")</f>
        <v>0.37091242859318641</v>
      </c>
      <c r="I168" s="111">
        <f>Table1[[#This Row],[Tiyaar/gaz]]/1.0936</f>
        <v>2008.9612289685444</v>
      </c>
      <c r="J168" s="99" cm="1">
        <f t="array" ref="J16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20089.612289685443</v>
      </c>
      <c r="K168" s="126"/>
    </row>
    <row r="169" spans="1:12" x14ac:dyDescent="0.3">
      <c r="A169" s="127">
        <v>45994</v>
      </c>
      <c r="B169" s="126" t="s">
        <v>21</v>
      </c>
      <c r="C169" s="126">
        <v>1178</v>
      </c>
      <c r="D169" s="126" t="s">
        <v>85</v>
      </c>
      <c r="E169" s="11">
        <v>1958</v>
      </c>
      <c r="F169" s="11">
        <v>54197</v>
      </c>
      <c r="G169" s="11">
        <v>30179</v>
      </c>
      <c r="H169" s="133">
        <f>_xlfn.XLOOKUP(Table1[[#This Row],[Shipment Number]], 'pivot '!A:A,'pivot '!G:G, "NF")</f>
        <v>0.37091242859318641</v>
      </c>
      <c r="I169" s="111">
        <f>Table1[[#This Row],[Tiyaar/gaz]]/1.0936</f>
        <v>27596.013167520119</v>
      </c>
      <c r="J169" s="99" cm="1">
        <f t="array" ref="J16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275960.13167520118</v>
      </c>
      <c r="K169" s="126"/>
    </row>
    <row r="170" spans="1:12" x14ac:dyDescent="0.3">
      <c r="A170" s="127">
        <v>45994</v>
      </c>
      <c r="B170" s="126" t="s">
        <v>299</v>
      </c>
      <c r="C170" s="126">
        <v>1179</v>
      </c>
      <c r="D170" s="126" t="s">
        <v>85</v>
      </c>
      <c r="E170" s="11">
        <v>1933</v>
      </c>
      <c r="F170" s="11">
        <v>34339</v>
      </c>
      <c r="G170" s="11">
        <v>4689</v>
      </c>
      <c r="H170" s="133">
        <f>_xlfn.XLOOKUP(Table1[[#This Row],[Shipment Number]], 'pivot '!A:A,'pivot '!G:G, "NF")</f>
        <v>3.0999556830553843</v>
      </c>
      <c r="I170" s="111">
        <f>Table1[[#This Row],[Tiyaar/gaz]]/1.0936</f>
        <v>4287.6737381126559</v>
      </c>
      <c r="J170" s="99" cm="1">
        <f t="array" ref="J17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42876.737381126557</v>
      </c>
      <c r="K170" s="126"/>
    </row>
    <row r="171" spans="1:12" x14ac:dyDescent="0.3">
      <c r="A171" s="127">
        <v>45994</v>
      </c>
      <c r="B171" s="126" t="s">
        <v>188</v>
      </c>
      <c r="C171" s="126">
        <v>1180</v>
      </c>
      <c r="D171" s="126" t="s">
        <v>85</v>
      </c>
      <c r="E171" s="11">
        <v>1926</v>
      </c>
      <c r="F171" s="11">
        <v>79338</v>
      </c>
      <c r="G171" s="11">
        <v>6934</v>
      </c>
      <c r="H171" s="133">
        <f>_xlfn.XLOOKUP(Table1[[#This Row],[Shipment Number]], 'pivot '!A:A,'pivot '!G:G, "NF")</f>
        <v>2.8492897513085467</v>
      </c>
      <c r="I171" s="111">
        <f>Table1[[#This Row],[Tiyaar/gaz]]/1.0936</f>
        <v>6340.5267008046822</v>
      </c>
      <c r="J171" s="99" cm="1">
        <f t="array" ref="J17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63405.267008046823</v>
      </c>
      <c r="K171" s="126"/>
    </row>
    <row r="172" spans="1:12" x14ac:dyDescent="0.3">
      <c r="A172" s="127">
        <v>45994</v>
      </c>
      <c r="B172" s="126" t="s">
        <v>188</v>
      </c>
      <c r="C172" s="126">
        <v>1181</v>
      </c>
      <c r="D172" s="126" t="s">
        <v>85</v>
      </c>
      <c r="E172" s="11">
        <v>1842</v>
      </c>
      <c r="F172" s="11">
        <v>6327</v>
      </c>
      <c r="G172" s="11">
        <v>330</v>
      </c>
      <c r="H172" s="133">
        <f>_xlfn.XLOOKUP(Table1[[#This Row],[Shipment Number]], 'pivot '!A:A,'pivot '!G:G, "NF")</f>
        <v>3.0958344476228348</v>
      </c>
      <c r="I172" s="111">
        <f>Table1[[#This Row],[Tiyaar/gaz]]/1.0936</f>
        <v>301.75566934893931</v>
      </c>
      <c r="J172" s="99" cm="1">
        <f t="array" ref="J17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3017.5566934893932</v>
      </c>
      <c r="K172" s="126"/>
    </row>
    <row r="173" spans="1:12" x14ac:dyDescent="0.3">
      <c r="A173" s="127">
        <v>45994</v>
      </c>
      <c r="B173" s="126" t="s">
        <v>21</v>
      </c>
      <c r="C173" s="126">
        <v>1182</v>
      </c>
      <c r="D173" s="126" t="s">
        <v>85</v>
      </c>
      <c r="E173" s="11">
        <v>1923</v>
      </c>
      <c r="F173" s="11">
        <f>17127-2087</f>
        <v>15040</v>
      </c>
      <c r="G173" s="11">
        <v>13217</v>
      </c>
      <c r="H173" s="133">
        <f>_xlfn.XLOOKUP(Table1[[#This Row],[Shipment Number]], 'pivot '!A:A,'pivot '!G:G, "NF")</f>
        <v>2.8681380254945452</v>
      </c>
      <c r="I173" s="111">
        <f>Table1[[#This Row],[Tiyaar/gaz]]/1.0936</f>
        <v>12085.771762984639</v>
      </c>
      <c r="J173" s="99" cm="1">
        <f t="array" ref="J17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120857.71762984639</v>
      </c>
      <c r="K173" s="126"/>
    </row>
    <row r="174" spans="1:12" x14ac:dyDescent="0.3">
      <c r="A174" s="127">
        <v>45994</v>
      </c>
      <c r="B174" s="126" t="s">
        <v>242</v>
      </c>
      <c r="C174" s="126">
        <v>1183</v>
      </c>
      <c r="D174" s="126" t="s">
        <v>85</v>
      </c>
      <c r="E174" s="11">
        <v>1914</v>
      </c>
      <c r="F174" s="11">
        <v>26497</v>
      </c>
      <c r="G174" s="11">
        <v>10929</v>
      </c>
      <c r="H174" s="133">
        <f>_xlfn.XLOOKUP(Table1[[#This Row],[Shipment Number]], 'pivot '!A:A,'pivot '!G:G, "NF")</f>
        <v>2.7508573039931434</v>
      </c>
      <c r="I174" s="111">
        <f>Table1[[#This Row],[Tiyaar/gaz]]/1.0936</f>
        <v>9993.5991221653258</v>
      </c>
      <c r="J174" s="99" cm="1">
        <f t="array" ref="J17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99935.991221653254</v>
      </c>
      <c r="K174" s="126"/>
    </row>
    <row r="175" spans="1:12" x14ac:dyDescent="0.3">
      <c r="A175" s="127">
        <v>45994</v>
      </c>
      <c r="B175" s="126" t="s">
        <v>21</v>
      </c>
      <c r="C175" s="126">
        <v>1184</v>
      </c>
      <c r="D175" s="126" t="s">
        <v>85</v>
      </c>
      <c r="E175" s="11">
        <v>1958</v>
      </c>
      <c r="F175" s="11">
        <v>54197</v>
      </c>
      <c r="G175" s="11">
        <v>8094</v>
      </c>
      <c r="H175" s="133">
        <f>_xlfn.XLOOKUP(Table1[[#This Row],[Shipment Number]], 'pivot '!A:A,'pivot '!G:G, "NF")</f>
        <v>0.37091242859318641</v>
      </c>
      <c r="I175" s="111">
        <f>Table1[[#This Row],[Tiyaar/gaz]]/1.0936</f>
        <v>7401.2435991221664</v>
      </c>
      <c r="J175" s="99" cm="1">
        <f t="array" ref="J17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74012.435991221661</v>
      </c>
      <c r="K175" s="126"/>
    </row>
    <row r="176" spans="1:12" x14ac:dyDescent="0.3">
      <c r="A176" s="127">
        <v>45994</v>
      </c>
      <c r="B176" s="126" t="s">
        <v>21</v>
      </c>
      <c r="C176" s="126">
        <v>1185</v>
      </c>
      <c r="D176" s="126" t="s">
        <v>85</v>
      </c>
      <c r="E176" s="11">
        <v>1934</v>
      </c>
      <c r="F176" s="11">
        <v>38741</v>
      </c>
      <c r="G176" s="11">
        <v>2146</v>
      </c>
      <c r="H176" s="133">
        <f>_xlfn.XLOOKUP(Table1[[#This Row],[Shipment Number]], 'pivot '!A:A,'pivot '!G:G, "NF")</f>
        <v>11.957747196144211</v>
      </c>
      <c r="I176" s="111">
        <f>Table1[[#This Row],[Tiyaar/gaz]]/1.0936</f>
        <v>1962.3262618873448</v>
      </c>
      <c r="J176" s="99" cm="1">
        <f t="array" ref="J17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19623.262618873447</v>
      </c>
      <c r="K176" s="126"/>
    </row>
    <row r="177" spans="1:11" x14ac:dyDescent="0.3">
      <c r="A177" s="127">
        <v>45994</v>
      </c>
      <c r="B177" s="126" t="s">
        <v>242</v>
      </c>
      <c r="C177" s="126">
        <v>1186</v>
      </c>
      <c r="D177" s="126" t="s">
        <v>85</v>
      </c>
      <c r="E177" s="11">
        <v>1910</v>
      </c>
      <c r="F177" s="11">
        <v>28367</v>
      </c>
      <c r="G177" s="11">
        <v>4854</v>
      </c>
      <c r="H177" s="133">
        <f>_xlfn.XLOOKUP(Table1[[#This Row],[Shipment Number]], 'pivot '!A:A,'pivot '!G:G, "NF")</f>
        <v>2.9822277444124978</v>
      </c>
      <c r="I177" s="111">
        <f>Table1[[#This Row],[Tiyaar/gaz]]/1.0936</f>
        <v>4438.5515727871252</v>
      </c>
      <c r="J177" s="99" cm="1">
        <f t="array" ref="J17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44385.51572787125</v>
      </c>
      <c r="K177" s="126"/>
    </row>
    <row r="178" spans="1:11" x14ac:dyDescent="0.3">
      <c r="A178" s="127">
        <v>45994</v>
      </c>
      <c r="B178" s="126" t="s">
        <v>27</v>
      </c>
      <c r="C178" s="126">
        <v>1187</v>
      </c>
      <c r="D178" s="126" t="s">
        <v>85</v>
      </c>
      <c r="E178" s="11">
        <v>1904</v>
      </c>
      <c r="F178" s="11">
        <v>44990</v>
      </c>
      <c r="G178" s="11">
        <v>30694</v>
      </c>
      <c r="H178" s="133">
        <f>_xlfn.XLOOKUP(Table1[[#This Row],[Shipment Number]], 'pivot '!A:A,'pivot '!G:G, "NF")</f>
        <v>2.8537269031417623</v>
      </c>
      <c r="I178" s="111">
        <f>Table1[[#This Row],[Tiyaar/gaz]]/1.0936</f>
        <v>28066.934893928312</v>
      </c>
      <c r="J178" s="99" cm="1">
        <f t="array" ref="J17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280669.34893928311</v>
      </c>
      <c r="K178" s="126"/>
    </row>
    <row r="179" spans="1:11" x14ac:dyDescent="0.3">
      <c r="A179" s="127">
        <v>45995</v>
      </c>
      <c r="B179" s="126" t="s">
        <v>9</v>
      </c>
      <c r="C179" s="126">
        <v>1188</v>
      </c>
      <c r="D179" s="126" t="s">
        <v>85</v>
      </c>
      <c r="E179" s="11">
        <v>1909</v>
      </c>
      <c r="F179" s="11">
        <v>33679</v>
      </c>
      <c r="G179" s="11">
        <v>9005</v>
      </c>
      <c r="H179" s="133">
        <f>_xlfn.XLOOKUP(Table1[[#This Row],[Shipment Number]], 'pivot '!A:A,'pivot '!G:G, "NF")</f>
        <v>2.6128672585551129</v>
      </c>
      <c r="I179" s="111">
        <f>Table1[[#This Row],[Tiyaar/gaz]]/1.0936</f>
        <v>8234.2721287490858</v>
      </c>
      <c r="J179" s="99" cm="1">
        <f t="array" ref="J17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82342.721287490858</v>
      </c>
      <c r="K179" s="126"/>
    </row>
    <row r="180" spans="1:11" x14ac:dyDescent="0.3">
      <c r="A180" s="127">
        <v>45995</v>
      </c>
      <c r="B180" s="126" t="s">
        <v>9</v>
      </c>
      <c r="C180" s="126">
        <v>1189</v>
      </c>
      <c r="D180" s="126" t="s">
        <v>85</v>
      </c>
      <c r="E180" s="11">
        <v>1905</v>
      </c>
      <c r="F180" s="11">
        <v>62248</v>
      </c>
      <c r="G180" s="11">
        <v>2108</v>
      </c>
      <c r="H180" s="133">
        <f>_xlfn.XLOOKUP(Table1[[#This Row],[Shipment Number]], 'pivot '!A:A,'pivot '!G:G, "NF")</f>
        <v>2.2231742261903094</v>
      </c>
      <c r="I180" s="111">
        <f>Table1[[#This Row],[Tiyaar/gaz]]/1.0936</f>
        <v>1927.5786393562548</v>
      </c>
      <c r="J180" s="99" cm="1">
        <f t="array" ref="J18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19275.78639356255</v>
      </c>
      <c r="K180" s="126"/>
    </row>
    <row r="181" spans="1:11" x14ac:dyDescent="0.3">
      <c r="A181" s="127">
        <v>45995</v>
      </c>
      <c r="B181" s="126" t="s">
        <v>21</v>
      </c>
      <c r="C181" s="126">
        <v>1190</v>
      </c>
      <c r="D181" s="126" t="s">
        <v>85</v>
      </c>
      <c r="E181" s="11">
        <v>1958</v>
      </c>
      <c r="F181" s="11">
        <v>54197</v>
      </c>
      <c r="G181" s="11">
        <v>2260</v>
      </c>
      <c r="H181" s="133">
        <f>_xlfn.XLOOKUP(Table1[[#This Row],[Shipment Number]], 'pivot '!A:A,'pivot '!G:G, "NF")</f>
        <v>0.37091242859318641</v>
      </c>
      <c r="I181" s="111">
        <f>Table1[[#This Row],[Tiyaar/gaz]]/1.0936</f>
        <v>2066.5691294806147</v>
      </c>
      <c r="J181" s="99" cm="1">
        <f t="array" ref="J18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20665.691294806147</v>
      </c>
      <c r="K181" s="126"/>
    </row>
    <row r="182" spans="1:11" x14ac:dyDescent="0.3">
      <c r="A182" s="127">
        <v>45996</v>
      </c>
      <c r="B182" s="126" t="s">
        <v>9</v>
      </c>
      <c r="C182" s="126">
        <v>1191</v>
      </c>
      <c r="D182" s="126" t="s">
        <v>85</v>
      </c>
      <c r="E182" s="11">
        <v>1909</v>
      </c>
      <c r="F182" s="11">
        <v>33679</v>
      </c>
      <c r="G182" s="11">
        <v>26864</v>
      </c>
      <c r="H182" s="133">
        <f>_xlfn.XLOOKUP(Table1[[#This Row],[Shipment Number]], 'pivot '!A:A,'pivot '!G:G, "NF")</f>
        <v>2.6128672585551129</v>
      </c>
      <c r="I182" s="111">
        <f>Table1[[#This Row],[Tiyaar/gaz]]/1.0936</f>
        <v>24564.740307242137</v>
      </c>
      <c r="J182" s="99" cm="1">
        <f t="array" ref="J18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245647.40307242138</v>
      </c>
      <c r="K182" s="126"/>
    </row>
    <row r="183" spans="1:11" x14ac:dyDescent="0.3">
      <c r="A183" s="127">
        <v>45996</v>
      </c>
      <c r="B183" s="126" t="s">
        <v>356</v>
      </c>
      <c r="C183" s="126">
        <v>1192</v>
      </c>
      <c r="D183" s="126" t="s">
        <v>85</v>
      </c>
      <c r="E183" s="11">
        <v>1940</v>
      </c>
      <c r="F183" s="11">
        <v>12985</v>
      </c>
      <c r="G183" s="11">
        <v>13622</v>
      </c>
      <c r="H183" s="133">
        <f>_xlfn.XLOOKUP(Table1[[#This Row],[Shipment Number]], 'pivot '!A:A,'pivot '!G:G, "NF")</f>
        <v>4.073097679811184</v>
      </c>
      <c r="I183" s="111">
        <f>Table1[[#This Row],[Tiyaar/gaz]]/1.0936</f>
        <v>12456.108266276518</v>
      </c>
      <c r="J183" s="99" cm="1">
        <f t="array" ref="J18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124561.08266276518</v>
      </c>
      <c r="K183" s="126"/>
    </row>
    <row r="184" spans="1:11" x14ac:dyDescent="0.3">
      <c r="A184" s="127">
        <v>45997</v>
      </c>
      <c r="B184" s="126" t="s">
        <v>26</v>
      </c>
      <c r="C184" s="126">
        <v>1193</v>
      </c>
      <c r="D184" s="126" t="s">
        <v>85</v>
      </c>
      <c r="E184" s="11">
        <v>1943</v>
      </c>
      <c r="F184" s="11">
        <v>24195</v>
      </c>
      <c r="G184" s="11">
        <v>17841</v>
      </c>
      <c r="H184" s="133">
        <f>_xlfn.XLOOKUP(Table1[[#This Row],[Shipment Number]], 'pivot '!A:A,'pivot '!G:G, "NF")</f>
        <v>2.8974379557221539</v>
      </c>
      <c r="I184" s="111">
        <f>Table1[[#This Row],[Tiyaar/gaz]]/1.0936</f>
        <v>16314.008778346746</v>
      </c>
      <c r="J184" s="99" cm="1">
        <f t="array" ref="J18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Row],[Quality]]="Silky",Table1[[#This Row],[tiyar/meters]]*13,
  Table1[[#This Row],[Quality]]="Crinkle",Table1[[#This Row],[tiyar/meters]]*10
)</f>
        <v>163140.08778346746</v>
      </c>
      <c r="K184" s="126"/>
    </row>
    <row r="185" spans="1:11" x14ac:dyDescent="0.3">
      <c r="A185" s="127">
        <v>45997</v>
      </c>
      <c r="B185" s="126" t="s">
        <v>196</v>
      </c>
      <c r="C185" s="126">
        <v>1194</v>
      </c>
      <c r="D185" s="126" t="s">
        <v>385</v>
      </c>
      <c r="E185" s="11">
        <v>1961</v>
      </c>
      <c r="F185" s="11">
        <v>13869</v>
      </c>
      <c r="G185" s="11">
        <v>5493</v>
      </c>
      <c r="H185" s="133">
        <f>_xlfn.XLOOKUP(Table1[[#This Row],[Shipment Number]], 'pivot '!A:A,'pivot '!G:G, "NF")</f>
        <v>63.783544033593046</v>
      </c>
      <c r="I185" s="111">
        <f>Table1[[#This Row],[Tiyaar/gaz]]/1.0936</f>
        <v>5022.8602779809808</v>
      </c>
      <c r="J185" s="99" cm="1">
        <f t="array" ref="J18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60274.323335771769</v>
      </c>
      <c r="K185" s="126"/>
    </row>
    <row r="186" spans="1:11" x14ac:dyDescent="0.3">
      <c r="A186" s="127">
        <v>45997</v>
      </c>
      <c r="B186" s="126" t="s">
        <v>153</v>
      </c>
      <c r="C186" s="126">
        <v>1195</v>
      </c>
      <c r="D186" s="126" t="s">
        <v>85</v>
      </c>
      <c r="E186" s="11">
        <v>1928</v>
      </c>
      <c r="F186" s="11">
        <v>20436</v>
      </c>
      <c r="G186" s="11">
        <v>16752</v>
      </c>
      <c r="H186" s="133">
        <f>_xlfn.XLOOKUP(Table1[[#This Row],[Shipment Number]], 'pivot '!A:A,'pivot '!G:G, "NF")</f>
        <v>1.9903055597198147</v>
      </c>
      <c r="I186" s="111">
        <f>Table1[[#This Row],[Tiyaar/gaz]]/1.0936</f>
        <v>15318.215069495247</v>
      </c>
      <c r="J186" s="99" cm="1">
        <f t="array" ref="J18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153182.15069495246</v>
      </c>
      <c r="K186" s="126"/>
    </row>
    <row r="187" spans="1:11" x14ac:dyDescent="0.3">
      <c r="A187" s="127">
        <v>45997</v>
      </c>
      <c r="B187" s="126" t="s">
        <v>27</v>
      </c>
      <c r="C187" s="126">
        <v>1196</v>
      </c>
      <c r="D187" s="126" t="s">
        <v>85</v>
      </c>
      <c r="E187" s="11">
        <v>1904</v>
      </c>
      <c r="F187" s="11">
        <v>44990</v>
      </c>
      <c r="G187" s="11">
        <v>8911</v>
      </c>
      <c r="H187" s="133">
        <f>_xlfn.XLOOKUP(Table1[[#This Row],[Shipment Number]], 'pivot '!A:A,'pivot '!G:G, "NF")</f>
        <v>2.8537269031417623</v>
      </c>
      <c r="I187" s="111">
        <f>Table1[[#This Row],[Tiyaar/gaz]]/1.0936</f>
        <v>8148.3174835406007</v>
      </c>
      <c r="J187" s="99" cm="1">
        <f t="array" ref="J18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81483.174835406011</v>
      </c>
      <c r="K187" s="126"/>
    </row>
    <row r="188" spans="1:11" x14ac:dyDescent="0.3">
      <c r="A188" s="127">
        <v>45997</v>
      </c>
      <c r="B188" s="126" t="s">
        <v>26</v>
      </c>
      <c r="C188" s="126">
        <v>1197</v>
      </c>
      <c r="D188" s="126" t="s">
        <v>85</v>
      </c>
      <c r="E188" s="11">
        <v>1943</v>
      </c>
      <c r="F188" s="11">
        <v>24195</v>
      </c>
      <c r="G188" s="11">
        <v>7852</v>
      </c>
      <c r="H188" s="133">
        <f>_xlfn.XLOOKUP(Table1[[#This Row],[Shipment Number]], 'pivot '!A:A,'pivot '!G:G, "NF")</f>
        <v>2.8974379557221539</v>
      </c>
      <c r="I188" s="111">
        <f>Table1[[#This Row],[Tiyaar/gaz]]/1.0936</f>
        <v>7179.9561082662767</v>
      </c>
      <c r="J188" s="99" cm="1">
        <f t="array" ref="J18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71799.561082662767</v>
      </c>
      <c r="K188" s="126"/>
    </row>
    <row r="189" spans="1:11" x14ac:dyDescent="0.3">
      <c r="A189" s="127">
        <v>45997</v>
      </c>
      <c r="B189" s="126" t="s">
        <v>153</v>
      </c>
      <c r="C189" s="126">
        <v>1198</v>
      </c>
      <c r="D189" s="126" t="s">
        <v>85</v>
      </c>
      <c r="E189" s="11">
        <v>1928</v>
      </c>
      <c r="F189" s="11">
        <v>20436</v>
      </c>
      <c r="G189" s="11">
        <v>5152</v>
      </c>
      <c r="H189" s="133">
        <f>_xlfn.XLOOKUP(Table1[[#This Row],[Shipment Number]], 'pivot '!A:A,'pivot '!G:G, "NF")</f>
        <v>1.9903055597198147</v>
      </c>
      <c r="I189" s="111">
        <f>Table1[[#This Row],[Tiyaar/gaz]]/1.0936</f>
        <v>4711.0460863204098</v>
      </c>
      <c r="J189" s="99" cm="1">
        <f t="array" ref="J18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47110.460863204098</v>
      </c>
      <c r="K189" s="126"/>
    </row>
    <row r="190" spans="1:11" x14ac:dyDescent="0.3">
      <c r="A190" s="127">
        <v>45997</v>
      </c>
      <c r="B190" s="126" t="s">
        <v>27</v>
      </c>
      <c r="C190" s="126">
        <v>1199</v>
      </c>
      <c r="D190" s="126" t="s">
        <v>85</v>
      </c>
      <c r="E190" s="11">
        <v>1904</v>
      </c>
      <c r="F190" s="11">
        <v>44990</v>
      </c>
      <c r="G190" s="11">
        <v>8192</v>
      </c>
      <c r="H190" s="133">
        <f>_xlfn.XLOOKUP(Table1[[#This Row],[Shipment Number]], 'pivot '!A:A,'pivot '!G:G, "NF")</f>
        <v>2.8537269031417623</v>
      </c>
      <c r="I190" s="111">
        <f>Table1[[#This Row],[Tiyaar/gaz]]/1.0936</f>
        <v>7490.8558888076086</v>
      </c>
      <c r="J190" s="99" cm="1">
        <f t="array" ref="J19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74908.558888076092</v>
      </c>
      <c r="K190" s="126"/>
    </row>
    <row r="191" spans="1:11" x14ac:dyDescent="0.3">
      <c r="A191" s="127">
        <v>45997</v>
      </c>
      <c r="B191" s="126" t="s">
        <v>9</v>
      </c>
      <c r="C191" s="126">
        <v>1200</v>
      </c>
      <c r="D191" s="126" t="s">
        <v>85</v>
      </c>
      <c r="E191" s="11">
        <v>1905</v>
      </c>
      <c r="F191" s="11">
        <v>62248</v>
      </c>
      <c r="G191" s="11">
        <v>3208</v>
      </c>
      <c r="H191" s="133">
        <f>_xlfn.XLOOKUP(Table1[[#This Row],[Shipment Number]], 'pivot '!A:A,'pivot '!G:G, "NF")</f>
        <v>2.2231742261903094</v>
      </c>
      <c r="I191" s="111">
        <f>Table1[[#This Row],[Tiyaar/gaz]]/1.0936</f>
        <v>2933.4308705193857</v>
      </c>
      <c r="J191" s="99" cm="1">
        <f t="array" ref="J19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29334.308705193856</v>
      </c>
      <c r="K191" s="126"/>
    </row>
    <row r="192" spans="1:11" x14ac:dyDescent="0.3">
      <c r="A192" s="127">
        <v>45999</v>
      </c>
      <c r="B192" s="126" t="s">
        <v>242</v>
      </c>
      <c r="C192" s="126">
        <v>1201</v>
      </c>
      <c r="D192" s="126" t="s">
        <v>85</v>
      </c>
      <c r="E192" s="11">
        <v>1927</v>
      </c>
      <c r="F192" s="11">
        <v>21117</v>
      </c>
      <c r="G192" s="11">
        <v>8637</v>
      </c>
      <c r="H192" s="133">
        <f>_xlfn.XLOOKUP(Table1[[#This Row],[Shipment Number]], 'pivot '!A:A,'pivot '!G:G, "NF")</f>
        <v>3.5185199234321232</v>
      </c>
      <c r="I192" s="111">
        <f>Table1[[#This Row],[Tiyaar/gaz]]/1.0936</f>
        <v>7897.7688368690569</v>
      </c>
      <c r="J192" s="99" cm="1">
        <f t="array" ref="J19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78977.688368690564</v>
      </c>
      <c r="K192" s="126"/>
    </row>
    <row r="193" spans="1:11" x14ac:dyDescent="0.3">
      <c r="A193" s="127">
        <v>45999</v>
      </c>
      <c r="B193" s="126" t="s">
        <v>21</v>
      </c>
      <c r="C193" s="126">
        <v>1202</v>
      </c>
      <c r="D193" s="126" t="s">
        <v>85</v>
      </c>
      <c r="E193" s="11">
        <v>1934</v>
      </c>
      <c r="F193" s="11">
        <v>38741</v>
      </c>
      <c r="G193" s="11">
        <v>3196</v>
      </c>
      <c r="H193" s="133">
        <f>_xlfn.XLOOKUP(Table1[[#This Row],[Shipment Number]], 'pivot '!A:A,'pivot '!G:G, "NF")</f>
        <v>11.957747196144211</v>
      </c>
      <c r="I193" s="111">
        <f>Table1[[#This Row],[Tiyaar/gaz]]/1.0936</f>
        <v>2922.4579370885153</v>
      </c>
      <c r="J193" s="99" cm="1">
        <f t="array" ref="J19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29224.579370885152</v>
      </c>
      <c r="K193" s="126"/>
    </row>
    <row r="194" spans="1:11" x14ac:dyDescent="0.3">
      <c r="A194" s="127">
        <v>45999</v>
      </c>
      <c r="B194" s="126" t="s">
        <v>242</v>
      </c>
      <c r="C194" s="126">
        <v>1203</v>
      </c>
      <c r="D194" s="126" t="s">
        <v>85</v>
      </c>
      <c r="E194" s="11">
        <v>1927</v>
      </c>
      <c r="F194" s="11">
        <v>21117</v>
      </c>
      <c r="G194" s="11">
        <v>13644</v>
      </c>
      <c r="H194" s="133">
        <f>_xlfn.XLOOKUP(Table1[[#This Row],[Shipment Number]], 'pivot '!A:A,'pivot '!G:G, "NF")</f>
        <v>3.5185199234321232</v>
      </c>
      <c r="I194" s="111">
        <f>Table1[[#This Row],[Tiyaar/gaz]]/1.0936</f>
        <v>12476.225310899781</v>
      </c>
      <c r="J194" s="99" cm="1">
        <f t="array" ref="J19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124762.25310899781</v>
      </c>
      <c r="K194" s="126"/>
    </row>
    <row r="195" spans="1:11" x14ac:dyDescent="0.3">
      <c r="A195" s="127">
        <v>45999</v>
      </c>
      <c r="B195" s="126" t="s">
        <v>242</v>
      </c>
      <c r="C195" s="126">
        <v>1204</v>
      </c>
      <c r="D195" s="126" t="s">
        <v>85</v>
      </c>
      <c r="E195" s="11">
        <v>1910</v>
      </c>
      <c r="F195" s="11">
        <v>28367</v>
      </c>
      <c r="G195" s="11">
        <v>21847</v>
      </c>
      <c r="H195" s="133">
        <f>_xlfn.XLOOKUP(Table1[[#This Row],[Shipment Number]], 'pivot '!A:A,'pivot '!G:G, "NF")</f>
        <v>2.9822277444124978</v>
      </c>
      <c r="I195" s="111">
        <f>Table1[[#This Row],[Tiyaar/gaz]]/1.0936</f>
        <v>19977.139722019023</v>
      </c>
      <c r="J195" s="99" cm="1">
        <f t="array" ref="J19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199771.39722019024</v>
      </c>
      <c r="K195" s="126"/>
    </row>
    <row r="196" spans="1:11" x14ac:dyDescent="0.3">
      <c r="A196" s="127">
        <v>45999</v>
      </c>
      <c r="B196" s="126" t="s">
        <v>242</v>
      </c>
      <c r="C196" s="126">
        <v>1205</v>
      </c>
      <c r="D196" s="126" t="s">
        <v>85</v>
      </c>
      <c r="E196" s="11">
        <v>1914</v>
      </c>
      <c r="F196" s="11">
        <v>26497</v>
      </c>
      <c r="G196" s="11">
        <v>6293</v>
      </c>
      <c r="H196" s="133">
        <f>_xlfn.XLOOKUP(Table1[[#This Row],[Shipment Number]], 'pivot '!A:A,'pivot '!G:G, "NF")</f>
        <v>2.7508573039931434</v>
      </c>
      <c r="I196" s="111">
        <f>Table1[[#This Row],[Tiyaar/gaz]]/1.0936</f>
        <v>5754.3891733723485</v>
      </c>
      <c r="J196" s="99" cm="1">
        <f t="array" ref="J19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57543.891733723489</v>
      </c>
      <c r="K196" s="126"/>
    </row>
    <row r="197" spans="1:11" x14ac:dyDescent="0.3">
      <c r="A197" s="127">
        <v>46000</v>
      </c>
      <c r="B197" s="126" t="s">
        <v>242</v>
      </c>
      <c r="C197" s="126">
        <v>1206</v>
      </c>
      <c r="D197" s="126" t="s">
        <v>85</v>
      </c>
      <c r="E197" s="11">
        <v>1914</v>
      </c>
      <c r="F197" s="11">
        <v>26492</v>
      </c>
      <c r="G197" s="11">
        <v>10958</v>
      </c>
      <c r="H197" s="133">
        <f>_xlfn.XLOOKUP(Table1[[#This Row],[Shipment Number]], 'pivot '!A:A,'pivot '!G:G, "NF")</f>
        <v>2.7508573039931434</v>
      </c>
      <c r="I197" s="111">
        <f>Table1[[#This Row],[Tiyaar/gaz]]/1.0936</f>
        <v>10020.117044623263</v>
      </c>
      <c r="J197" s="99" cm="1">
        <f t="array" ref="J19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100201.17044623263</v>
      </c>
      <c r="K197" s="126"/>
    </row>
    <row r="198" spans="1:11" x14ac:dyDescent="0.3">
      <c r="A198" s="127">
        <v>46000</v>
      </c>
      <c r="B198" s="126" t="s">
        <v>153</v>
      </c>
      <c r="C198" s="126">
        <v>1207</v>
      </c>
      <c r="D198" s="126" t="s">
        <v>85</v>
      </c>
      <c r="E198" s="11">
        <v>1852</v>
      </c>
      <c r="F198" s="11">
        <v>21887</v>
      </c>
      <c r="G198" s="11">
        <v>23315</v>
      </c>
      <c r="H198" s="133">
        <f>_xlfn.XLOOKUP(Table1[[#This Row],[Shipment Number]], 'pivot '!A:A,'pivot '!G:G, "NF")</f>
        <v>2.5928850684781821</v>
      </c>
      <c r="I198" s="111">
        <f>Table1[[#This Row],[Tiyaar/gaz]]/1.0936</f>
        <v>21319.495245062182</v>
      </c>
      <c r="J198" s="99" cm="1">
        <f t="array" ref="J19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213194.95245062181</v>
      </c>
      <c r="K198" s="126"/>
    </row>
    <row r="199" spans="1:11" x14ac:dyDescent="0.3">
      <c r="A199" s="127">
        <v>46000</v>
      </c>
      <c r="B199" s="126" t="s">
        <v>9</v>
      </c>
      <c r="C199" s="126">
        <v>1208</v>
      </c>
      <c r="D199" s="126" t="s">
        <v>85</v>
      </c>
      <c r="E199" s="11">
        <v>1931</v>
      </c>
      <c r="F199" s="11">
        <v>12032</v>
      </c>
      <c r="G199" s="11">
        <v>12896</v>
      </c>
      <c r="H199" s="133">
        <f>_xlfn.XLOOKUP(Table1[[#This Row],[Shipment Number]], 'pivot '!A:A,'pivot '!G:G, "NF")</f>
        <v>1.9926380177123235</v>
      </c>
      <c r="I199" s="111">
        <f>Table1[[#This Row],[Tiyaar/gaz]]/1.0936</f>
        <v>11792.245793708853</v>
      </c>
      <c r="J199" s="99" cm="1">
        <f t="array" ref="J19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117922.45793708853</v>
      </c>
      <c r="K199" s="126"/>
    </row>
    <row r="200" spans="1:11" x14ac:dyDescent="0.3">
      <c r="A200" s="127">
        <v>46000</v>
      </c>
      <c r="B200" s="126" t="s">
        <v>9</v>
      </c>
      <c r="C200" s="126">
        <v>1209</v>
      </c>
      <c r="D200" s="126" t="s">
        <v>85</v>
      </c>
      <c r="E200" s="11">
        <v>1908</v>
      </c>
      <c r="F200" s="11">
        <v>13850</v>
      </c>
      <c r="G200" s="11">
        <v>14782</v>
      </c>
      <c r="H200" s="133">
        <f>_xlfn.XLOOKUP(Table1[[#This Row],[Shipment Number]], 'pivot '!A:A,'pivot '!G:G, "NF")</f>
        <v>2.4055944794656909</v>
      </c>
      <c r="I200" s="111">
        <f>Table1[[#This Row],[Tiyaar/gaz]]/1.0936</f>
        <v>13516.825164594002</v>
      </c>
      <c r="J200" s="99" cm="1">
        <f t="array" ref="J20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135168.25164594001</v>
      </c>
      <c r="K200" s="126"/>
    </row>
    <row r="201" spans="1:11" x14ac:dyDescent="0.3">
      <c r="A201" s="127">
        <v>46000</v>
      </c>
      <c r="B201" s="126" t="s">
        <v>153</v>
      </c>
      <c r="C201" s="126">
        <v>1210</v>
      </c>
      <c r="D201" s="126" t="s">
        <v>85</v>
      </c>
      <c r="E201" s="11">
        <v>1929</v>
      </c>
      <c r="F201" s="11">
        <v>34122</v>
      </c>
      <c r="G201" s="11">
        <v>18749</v>
      </c>
      <c r="H201" s="133">
        <f>_xlfn.XLOOKUP(Table1[[#This Row],[Shipment Number]], 'pivot '!A:A,'pivot '!G:G, "NF")</f>
        <v>1.1572014476905821</v>
      </c>
      <c r="I201" s="111">
        <f>Table1[[#This Row],[Tiyaar/gaz]]/1.0936</f>
        <v>17144.294074615947</v>
      </c>
      <c r="J201" s="99" cm="1">
        <f t="array" ref="J20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171442.94074615947</v>
      </c>
      <c r="K201" s="126"/>
    </row>
    <row r="202" spans="1:11" x14ac:dyDescent="0.3">
      <c r="A202" s="127">
        <v>46000</v>
      </c>
      <c r="B202" s="126" t="s">
        <v>153</v>
      </c>
      <c r="C202" s="126">
        <v>1211</v>
      </c>
      <c r="D202" s="126" t="s">
        <v>85</v>
      </c>
      <c r="E202" s="11">
        <v>1929</v>
      </c>
      <c r="F202" s="11">
        <v>34122</v>
      </c>
      <c r="G202" s="11">
        <v>18135</v>
      </c>
      <c r="H202" s="133">
        <f>_xlfn.XLOOKUP(Table1[[#This Row],[Shipment Number]], 'pivot '!A:A,'pivot '!G:G, "NF")</f>
        <v>1.1572014476905821</v>
      </c>
      <c r="I202" s="111">
        <f>Table1[[#This Row],[Tiyaar/gaz]]/1.0936</f>
        <v>16582.845647403075</v>
      </c>
      <c r="J202" s="99" cm="1">
        <f t="array" ref="J20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165828.45647403074</v>
      </c>
      <c r="K202" s="126"/>
    </row>
    <row r="203" spans="1:11" x14ac:dyDescent="0.3">
      <c r="A203" s="127">
        <v>46000</v>
      </c>
      <c r="B203" s="126" t="s">
        <v>21</v>
      </c>
      <c r="C203" s="126">
        <v>1212</v>
      </c>
      <c r="D203" s="126" t="s">
        <v>85</v>
      </c>
      <c r="E203" s="11">
        <v>1958</v>
      </c>
      <c r="F203" s="11">
        <v>54197</v>
      </c>
      <c r="G203" s="11">
        <v>10016</v>
      </c>
      <c r="H203" s="133">
        <f>_xlfn.XLOOKUP(Table1[[#This Row],[Shipment Number]], 'pivot '!A:A,'pivot '!G:G, "NF")</f>
        <v>0.37091242859318641</v>
      </c>
      <c r="I203" s="111">
        <f>Table1[[#This Row],[Tiyaar/gaz]]/1.0936</f>
        <v>9158.7417702999282</v>
      </c>
      <c r="J203" s="99" cm="1">
        <f t="array" ref="J20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91587.417702999286</v>
      </c>
      <c r="K203" s="126"/>
    </row>
    <row r="204" spans="1:11" x14ac:dyDescent="0.3">
      <c r="A204" s="127">
        <v>46000</v>
      </c>
      <c r="B204" s="126" t="s">
        <v>21</v>
      </c>
      <c r="C204" s="126">
        <v>1213</v>
      </c>
      <c r="D204" s="126" t="s">
        <v>85</v>
      </c>
      <c r="E204" s="11">
        <v>1923</v>
      </c>
      <c r="F204" s="11">
        <v>15040</v>
      </c>
      <c r="G204" s="11">
        <v>2759</v>
      </c>
      <c r="H204" s="133">
        <f>_xlfn.XLOOKUP(Table1[[#This Row],[Shipment Number]], 'pivot '!A:A,'pivot '!G:G, "NF")</f>
        <v>2.8681380254945452</v>
      </c>
      <c r="I204" s="111">
        <f>Table1[[#This Row],[Tiyaar/gaz]]/1.0936</f>
        <v>2522.8602779809803</v>
      </c>
      <c r="J204" s="99" cm="1">
        <f t="array" ref="J20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25228.602779809804</v>
      </c>
      <c r="K204" s="126"/>
    </row>
    <row r="205" spans="1:11" x14ac:dyDescent="0.3">
      <c r="A205" s="127">
        <v>46000</v>
      </c>
      <c r="B205" s="126" t="s">
        <v>21</v>
      </c>
      <c r="C205" s="126">
        <v>1214</v>
      </c>
      <c r="D205" s="126" t="s">
        <v>85</v>
      </c>
      <c r="E205" s="11">
        <v>1975</v>
      </c>
      <c r="F205" s="11">
        <v>10040</v>
      </c>
      <c r="G205" s="11">
        <v>5797</v>
      </c>
      <c r="H205" s="133">
        <f>_xlfn.XLOOKUP(Table1[[#This Row],[Shipment Number]], 'pivot '!A:A,'pivot '!G:G, "NF")</f>
        <v>2.78461865777561</v>
      </c>
      <c r="I205" s="111">
        <f>Table1[[#This Row],[Tiyaar/gaz]]/1.0936</f>
        <v>5300.8412582297005</v>
      </c>
      <c r="J205" s="99" cm="1">
        <f t="array" ref="J20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53008.412582297009</v>
      </c>
      <c r="K205" s="126"/>
    </row>
    <row r="206" spans="1:11" x14ac:dyDescent="0.3">
      <c r="A206" s="127">
        <v>46000</v>
      </c>
      <c r="B206" s="126" t="s">
        <v>21</v>
      </c>
      <c r="C206" s="126">
        <v>1215</v>
      </c>
      <c r="D206" s="126" t="s">
        <v>85</v>
      </c>
      <c r="E206" s="11">
        <v>1975</v>
      </c>
      <c r="F206" s="11">
        <v>10040</v>
      </c>
      <c r="G206" s="11">
        <v>4877</v>
      </c>
      <c r="H206" s="133">
        <f>_xlfn.XLOOKUP(Table1[[#This Row],[Shipment Number]], 'pivot '!A:A,'pivot '!G:G, "NF")</f>
        <v>2.78461865777561</v>
      </c>
      <c r="I206" s="111">
        <f>Table1[[#This Row],[Tiyaar/gaz]]/1.0936</f>
        <v>4459.583028529627</v>
      </c>
      <c r="J206" s="99" cm="1">
        <f t="array" ref="J20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44595.830285296266</v>
      </c>
      <c r="K206" s="126"/>
    </row>
    <row r="207" spans="1:11" x14ac:dyDescent="0.3">
      <c r="A207" s="127">
        <v>46000</v>
      </c>
      <c r="B207" s="126" t="s">
        <v>21</v>
      </c>
      <c r="C207" s="126">
        <v>1216</v>
      </c>
      <c r="D207" s="126" t="s">
        <v>85</v>
      </c>
      <c r="E207" s="11">
        <v>1934</v>
      </c>
      <c r="F207" s="11">
        <v>38741</v>
      </c>
      <c r="G207" s="11">
        <v>8497</v>
      </c>
      <c r="H207" s="133">
        <f>_xlfn.XLOOKUP(Table1[[#This Row],[Shipment Number]], 'pivot '!A:A,'pivot '!G:G, "NF")</f>
        <v>11.957747196144211</v>
      </c>
      <c r="I207" s="111">
        <f>Table1[[#This Row],[Tiyaar/gaz]]/1.0936</f>
        <v>7769.7512801755674</v>
      </c>
      <c r="J207" s="99" cm="1">
        <f t="array" ref="J20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77697.512801755671</v>
      </c>
      <c r="K207" s="126"/>
    </row>
    <row r="208" spans="1:11" x14ac:dyDescent="0.3">
      <c r="A208" s="127">
        <v>46000</v>
      </c>
      <c r="B208" s="126" t="s">
        <v>9</v>
      </c>
      <c r="C208" s="126">
        <v>1217</v>
      </c>
      <c r="D208" s="126" t="s">
        <v>85</v>
      </c>
      <c r="E208" s="11">
        <v>1903</v>
      </c>
      <c r="F208" s="11">
        <v>11492</v>
      </c>
      <c r="G208" s="11">
        <v>12289</v>
      </c>
      <c r="H208" s="133">
        <f>_xlfn.XLOOKUP(Table1[[#This Row],[Shipment Number]], 'pivot '!A:A,'pivot '!G:G, "NF")</f>
        <v>2.2172098474534323</v>
      </c>
      <c r="I208" s="111">
        <f>Table1[[#This Row],[Tiyaar/gaz]]/1.0936</f>
        <v>11237.198244330652</v>
      </c>
      <c r="J208" s="99" cm="1">
        <f t="array" ref="J20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112371.98244330651</v>
      </c>
      <c r="K208" s="126"/>
    </row>
    <row r="209" spans="1:11" x14ac:dyDescent="0.3">
      <c r="A209" s="127">
        <v>46001</v>
      </c>
      <c r="B209" s="126" t="s">
        <v>184</v>
      </c>
      <c r="C209" s="126">
        <v>1218</v>
      </c>
      <c r="D209" s="126" t="s">
        <v>87</v>
      </c>
      <c r="E209" s="11">
        <v>1942</v>
      </c>
      <c r="F209" s="11">
        <v>46746</v>
      </c>
      <c r="G209" s="11">
        <v>49567</v>
      </c>
      <c r="H209" s="133">
        <f>_xlfn.XLOOKUP(Table1[[#This Row],[Shipment Number]], 'pivot '!A:A,'pivot '!G:G, "NF")</f>
        <v>3.0406538584479392</v>
      </c>
      <c r="I209" s="111">
        <f>Table1[[#This Row],[Tiyaar/gaz]]/1.0936</f>
        <v>45324.615947329927</v>
      </c>
      <c r="J209" s="99" cm="1">
        <f t="array" ref="J20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589220.007315289</v>
      </c>
      <c r="K209" s="126"/>
    </row>
    <row r="210" spans="1:11" x14ac:dyDescent="0.3">
      <c r="A210" s="127">
        <v>46002</v>
      </c>
      <c r="B210" s="126" t="s">
        <v>184</v>
      </c>
      <c r="C210" s="126">
        <v>1219</v>
      </c>
      <c r="D210" s="126" t="s">
        <v>87</v>
      </c>
      <c r="E210" s="11">
        <v>1946</v>
      </c>
      <c r="F210" s="11">
        <v>38879</v>
      </c>
      <c r="G210" s="11">
        <v>40771</v>
      </c>
      <c r="H210" s="133">
        <f>_xlfn.XLOOKUP(Table1[[#This Row],[Shipment Number]], 'pivot '!A:A,'pivot '!G:G, "NF")</f>
        <v>4.1090158118731779</v>
      </c>
      <c r="I210" s="111">
        <f>Table1[[#This Row],[Tiyaar/gaz]]/1.0936</f>
        <v>37281.455742501836</v>
      </c>
      <c r="J210" s="99" cm="1">
        <f t="array" ref="J21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484658.92465252389</v>
      </c>
      <c r="K210" s="126"/>
    </row>
    <row r="211" spans="1:11" x14ac:dyDescent="0.3">
      <c r="A211" s="127">
        <v>46002</v>
      </c>
      <c r="B211" s="126" t="s">
        <v>22</v>
      </c>
      <c r="C211" s="126">
        <v>1220</v>
      </c>
      <c r="D211" s="126" t="s">
        <v>87</v>
      </c>
      <c r="E211" s="11">
        <v>1968</v>
      </c>
      <c r="F211" s="11">
        <v>17879</v>
      </c>
      <c r="G211" s="11">
        <v>18944</v>
      </c>
      <c r="H211" s="133">
        <f>_xlfn.XLOOKUP(Table1[[#This Row],[Shipment Number]], 'pivot '!A:A,'pivot '!G:G, "NF")</f>
        <v>3.1120071431981984</v>
      </c>
      <c r="I211" s="111">
        <f>Table1[[#This Row],[Tiyaar/gaz]]/1.0936</f>
        <v>17322.604242867594</v>
      </c>
      <c r="J211" s="99" cm="1">
        <f t="array" ref="J21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225193.85515727871</v>
      </c>
      <c r="K211" s="126"/>
    </row>
    <row r="212" spans="1:11" x14ac:dyDescent="0.3">
      <c r="A212" s="127">
        <v>46002</v>
      </c>
      <c r="B212" s="126" t="s">
        <v>22</v>
      </c>
      <c r="C212" s="126">
        <v>1221</v>
      </c>
      <c r="D212" s="126" t="s">
        <v>87</v>
      </c>
      <c r="E212" s="11" t="s">
        <v>415</v>
      </c>
      <c r="F212" s="11">
        <v>12958</v>
      </c>
      <c r="G212" s="11">
        <v>13748</v>
      </c>
      <c r="H212" s="133">
        <f>_xlfn.XLOOKUP(Table1[[#This Row],[Shipment Number]], 'pivot '!A:A,'pivot '!G:G, "NF")</f>
        <v>2.9840710966147554</v>
      </c>
      <c r="I212" s="111">
        <f>Table1[[#This Row],[Tiyaar/gaz]]/1.0936</f>
        <v>12571.32406730066</v>
      </c>
      <c r="J212" s="99" cm="1">
        <f t="array" ref="J21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163427.21287490858</v>
      </c>
      <c r="K212" s="126"/>
    </row>
    <row r="213" spans="1:11" x14ac:dyDescent="0.3">
      <c r="A213" s="127">
        <v>46002</v>
      </c>
      <c r="B213" s="126" t="s">
        <v>22</v>
      </c>
      <c r="C213" s="126">
        <v>1222</v>
      </c>
      <c r="D213" s="126" t="s">
        <v>87</v>
      </c>
      <c r="E213" s="11">
        <v>1945</v>
      </c>
      <c r="F213" s="11">
        <v>18112</v>
      </c>
      <c r="G213" s="11">
        <v>19394</v>
      </c>
      <c r="H213" s="133">
        <f>_xlfn.XLOOKUP(Table1[[#This Row],[Shipment Number]], 'pivot '!A:A,'pivot '!G:G, "NF")</f>
        <v>2.0865213862343239</v>
      </c>
      <c r="I213" s="111">
        <f>Table1[[#This Row],[Tiyaar/gaz]]/1.0936</f>
        <v>17734.08924652524</v>
      </c>
      <c r="J213" s="99" cm="1">
        <f t="array" ref="J21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
)</f>
        <v>230543.16020482813</v>
      </c>
      <c r="K213" s="126"/>
    </row>
    <row r="214" spans="1:11" x14ac:dyDescent="0.3">
      <c r="A214" s="127">
        <v>46002</v>
      </c>
      <c r="B214" s="126" t="s">
        <v>167</v>
      </c>
      <c r="C214" s="126">
        <v>1223</v>
      </c>
      <c r="D214" s="126" t="s">
        <v>87</v>
      </c>
      <c r="E214" s="11">
        <v>1888</v>
      </c>
      <c r="F214" s="11">
        <v>12000</v>
      </c>
      <c r="G214" s="11">
        <v>3560</v>
      </c>
      <c r="H214" s="133">
        <f>_xlfn.XLOOKUP(Table1[[#This Row],[Shipment Number]], 'pivot '!A:A,'pivot '!G:G, "NF")</f>
        <v>4.3752867744535422</v>
      </c>
      <c r="I214" s="111">
        <f>Table1[[#This Row],[Tiyaar/gaz]]/1.0936</f>
        <v>3255.3035844915876</v>
      </c>
      <c r="J214" s="99" cm="1">
        <f t="array" ref="J21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
)</f>
        <v>42318.946598390641</v>
      </c>
      <c r="K214" s="126"/>
    </row>
    <row r="215" spans="1:11" x14ac:dyDescent="0.3">
      <c r="A215" s="127">
        <v>46002</v>
      </c>
      <c r="B215" s="126" t="s">
        <v>22</v>
      </c>
      <c r="C215" s="126">
        <v>1224</v>
      </c>
      <c r="D215" s="126" t="s">
        <v>87</v>
      </c>
      <c r="E215" s="11">
        <v>1915</v>
      </c>
      <c r="F215" s="11">
        <v>20458</v>
      </c>
      <c r="G215" s="11">
        <v>2383</v>
      </c>
      <c r="H215" s="133">
        <f>_xlfn.XLOOKUP(Table1[[#This Row],[Shipment Number]], 'pivot '!A:A,'pivot '!G:G, "NF")</f>
        <v>3.9550976135880944</v>
      </c>
      <c r="I215" s="111">
        <f>Table1[[#This Row],[Tiyaar/gaz]]/1.0936</f>
        <v>2179.0416971470377</v>
      </c>
      <c r="J215" s="99" cm="1">
        <f t="array" ref="J21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
)</f>
        <v>28327.542062911489</v>
      </c>
      <c r="K215" s="126"/>
    </row>
    <row r="216" spans="1:11" x14ac:dyDescent="0.3">
      <c r="A216" s="127">
        <v>46002</v>
      </c>
      <c r="B216" s="126" t="s">
        <v>21</v>
      </c>
      <c r="C216" s="126">
        <v>1225</v>
      </c>
      <c r="D216" s="126" t="s">
        <v>87</v>
      </c>
      <c r="E216" s="11">
        <v>1921</v>
      </c>
      <c r="F216" s="11">
        <v>12000</v>
      </c>
      <c r="G216" s="11">
        <v>793</v>
      </c>
      <c r="H216" s="133">
        <f>_xlfn.XLOOKUP(Table1[[#This Row],[Shipment Number]], 'pivot '!A:A,'pivot '!G:G, "NF")</f>
        <v>1.2207388441843392</v>
      </c>
      <c r="I216" s="111">
        <f>Table1[[#This Row],[Tiyaar/gaz]]/1.0936</f>
        <v>725.12801755669352</v>
      </c>
      <c r="J216" s="99" cm="1">
        <f t="array" ref="J21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
)</f>
        <v>9426.6642282370158</v>
      </c>
      <c r="K216" s="126"/>
    </row>
    <row r="217" spans="1:11" x14ac:dyDescent="0.3">
      <c r="A217" s="127">
        <v>46002</v>
      </c>
      <c r="B217" s="126" t="s">
        <v>21</v>
      </c>
      <c r="C217" s="126">
        <v>1226</v>
      </c>
      <c r="D217" s="126" t="s">
        <v>87</v>
      </c>
      <c r="E217" s="11">
        <v>1870</v>
      </c>
      <c r="F217" s="11">
        <v>12087</v>
      </c>
      <c r="G217" s="11">
        <v>1119</v>
      </c>
      <c r="H217" s="133">
        <f>_xlfn.XLOOKUP(Table1[[#This Row],[Shipment Number]], 'pivot '!A:A,'pivot '!G:G, "NF")</f>
        <v>0.69859889853668733</v>
      </c>
      <c r="I217" s="111">
        <f>Table1[[#This Row],[Tiyaar/gaz]]/1.0936</f>
        <v>1023.226042428676</v>
      </c>
      <c r="J217" s="99" cm="1">
        <f t="array" ref="J21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
)</f>
        <v>13301.938551572788</v>
      </c>
      <c r="K217" s="126"/>
    </row>
    <row r="218" spans="1:11" x14ac:dyDescent="0.3">
      <c r="A218" s="127">
        <v>46003</v>
      </c>
      <c r="B218" s="126" t="s">
        <v>297</v>
      </c>
      <c r="C218" s="126">
        <v>1227</v>
      </c>
      <c r="D218" s="126" t="s">
        <v>87</v>
      </c>
      <c r="E218" s="11">
        <v>1962</v>
      </c>
      <c r="F218" s="11">
        <v>36110</v>
      </c>
      <c r="G218" s="11">
        <v>7398</v>
      </c>
      <c r="H218" s="133">
        <f>_xlfn.XLOOKUP(Table1[[#This Row],[Shipment Number]], 'pivot '!A:A,'pivot '!G:G, "NF")</f>
        <v>81.266093990219673</v>
      </c>
      <c r="I218" s="111">
        <f>Table1[[#This Row],[Tiyaar/gaz]]/1.0936</f>
        <v>6764.813460131676</v>
      </c>
      <c r="J218" s="99" cm="1">
        <f t="array" ref="J21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
)</f>
        <v>87942.57498171179</v>
      </c>
      <c r="K218" s="126"/>
    </row>
    <row r="219" spans="1:11" x14ac:dyDescent="0.3">
      <c r="A219" s="127">
        <v>46003</v>
      </c>
      <c r="B219" s="126" t="s">
        <v>188</v>
      </c>
      <c r="C219" s="126">
        <v>1228</v>
      </c>
      <c r="D219" s="126" t="s">
        <v>85</v>
      </c>
      <c r="E219" s="11">
        <v>1970</v>
      </c>
      <c r="F219" s="11">
        <v>42406</v>
      </c>
      <c r="G219" s="11">
        <v>5062</v>
      </c>
      <c r="H219" s="133">
        <f>_xlfn.XLOOKUP(Table1[[#This Row],[Shipment Number]], 'pivot '!A:A,'pivot '!G:G, "NF")</f>
        <v>2.598806168855532</v>
      </c>
      <c r="I219" s="111">
        <f>Table1[[#This Row],[Tiyaar/gaz]]/1.0936</f>
        <v>4628.7490855888809</v>
      </c>
      <c r="J219" s="99" cm="1">
        <f t="array" ref="J21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
)</f>
        <v>46287.490855888813</v>
      </c>
      <c r="K219" s="126"/>
    </row>
    <row r="220" spans="1:11" x14ac:dyDescent="0.3">
      <c r="A220" s="127">
        <v>46003</v>
      </c>
      <c r="B220" s="126" t="s">
        <v>188</v>
      </c>
      <c r="C220" s="126">
        <v>1229</v>
      </c>
      <c r="D220" s="126" t="s">
        <v>85</v>
      </c>
      <c r="E220" s="11">
        <v>1970</v>
      </c>
      <c r="F220" s="11">
        <v>42406</v>
      </c>
      <c r="G220" s="11">
        <v>40108</v>
      </c>
      <c r="H220" s="133">
        <f>_xlfn.XLOOKUP(Table1[[#This Row],[Shipment Number]], 'pivot '!A:A,'pivot '!G:G, "NF")</f>
        <v>2.598806168855532</v>
      </c>
      <c r="I220" s="111">
        <f>Table1[[#This Row],[Tiyaar/gaz]]/1.0936</f>
        <v>36675.201170446235</v>
      </c>
      <c r="J220" s="99" cm="1">
        <f t="array" ref="J22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
)</f>
        <v>366752.01170446235</v>
      </c>
      <c r="K220" s="126"/>
    </row>
    <row r="221" spans="1:11" x14ac:dyDescent="0.3">
      <c r="A221" s="127">
        <v>46003</v>
      </c>
      <c r="B221" s="126" t="s">
        <v>196</v>
      </c>
      <c r="C221" s="126">
        <v>1230</v>
      </c>
      <c r="D221" s="126" t="s">
        <v>85</v>
      </c>
      <c r="E221" s="11">
        <v>1944</v>
      </c>
      <c r="F221" s="11">
        <v>14691</v>
      </c>
      <c r="G221" s="11">
        <v>15699</v>
      </c>
      <c r="H221" s="133">
        <f>_xlfn.XLOOKUP(Table1[[#This Row],[Shipment Number]], 'pivot '!A:A,'pivot '!G:G, "NF")</f>
        <v>2.2847991223445661</v>
      </c>
      <c r="I221" s="111">
        <f>Table1[[#This Row],[Tiyaar/gaz]]/1.0936</f>
        <v>14355.340160936359</v>
      </c>
      <c r="J221" s="99" cm="1">
        <f t="array" ref="J22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
)</f>
        <v>143553.40160936359</v>
      </c>
      <c r="K221" s="126"/>
    </row>
    <row r="222" spans="1:11" x14ac:dyDescent="0.3">
      <c r="A222" s="127">
        <v>46003</v>
      </c>
      <c r="B222" s="126" t="s">
        <v>25</v>
      </c>
      <c r="C222" s="126">
        <v>1231</v>
      </c>
      <c r="D222" s="126" t="s">
        <v>85</v>
      </c>
      <c r="E222" s="11">
        <v>1955</v>
      </c>
      <c r="F222" s="11">
        <v>50443</v>
      </c>
      <c r="G222" s="11">
        <v>11875</v>
      </c>
      <c r="H222" s="133">
        <f>_xlfn.XLOOKUP(Table1[[#This Row],[Shipment Number]], 'pivot '!A:A,'pivot '!G:G, "NF")</f>
        <v>27.243017501368001</v>
      </c>
      <c r="I222" s="111">
        <f>Table1[[#This Row],[Tiyaar/gaz]]/1.0936</f>
        <v>10858.632040965618</v>
      </c>
      <c r="J222" s="99" cm="1">
        <f t="array" ref="J22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
)</f>
        <v>108586.32040965618</v>
      </c>
      <c r="K222" s="126"/>
    </row>
    <row r="223" spans="1:11" x14ac:dyDescent="0.3">
      <c r="A223" s="127">
        <v>46003</v>
      </c>
      <c r="B223" s="126" t="s">
        <v>242</v>
      </c>
      <c r="C223" s="126">
        <v>1232</v>
      </c>
      <c r="D223" s="126" t="s">
        <v>417</v>
      </c>
      <c r="E223" s="11">
        <v>1902</v>
      </c>
      <c r="F223" s="11">
        <v>49995</v>
      </c>
      <c r="G223" s="11">
        <v>21629</v>
      </c>
      <c r="H223" s="133">
        <f>_xlfn.XLOOKUP(Table1[[#This Row],[Shipment Number]], 'pivot '!A:A,'pivot '!G:G, "NF")</f>
        <v>24.601092150180619</v>
      </c>
      <c r="I223" s="111">
        <f>Table1[[#This Row],[Tiyaar/gaz]]/1.0936</f>
        <v>19777.798098024872</v>
      </c>
      <c r="J223" s="99" cm="1">
        <f t="array" ref="J22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
)</f>
        <v>217555.7790782736</v>
      </c>
      <c r="K223" s="126"/>
    </row>
    <row r="224" spans="1:11" x14ac:dyDescent="0.3">
      <c r="A224" s="127">
        <v>46003</v>
      </c>
      <c r="B224" s="126" t="s">
        <v>242</v>
      </c>
      <c r="C224" s="126">
        <v>1233</v>
      </c>
      <c r="D224" s="126" t="s">
        <v>417</v>
      </c>
      <c r="E224" s="11">
        <v>1902</v>
      </c>
      <c r="F224" s="11">
        <v>49995</v>
      </c>
      <c r="G224" s="11">
        <v>19595</v>
      </c>
      <c r="H224" s="133">
        <f>_xlfn.XLOOKUP(Table1[[#This Row],[Shipment Number]], 'pivot '!A:A,'pivot '!G:G, "NF")</f>
        <v>24.601092150180619</v>
      </c>
      <c r="I224" s="111">
        <f>Table1[[#This Row],[Tiyaar/gaz]]/1.0936</f>
        <v>17917.885881492319</v>
      </c>
      <c r="J224" s="99" cm="1">
        <f t="array" ref="J22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
)</f>
        <v>197096.7446964155</v>
      </c>
      <c r="K224" s="126"/>
    </row>
    <row r="225" spans="1:11" x14ac:dyDescent="0.3">
      <c r="A225" s="127">
        <v>46003</v>
      </c>
      <c r="B225" s="126" t="s">
        <v>25</v>
      </c>
      <c r="C225" s="126">
        <v>1234</v>
      </c>
      <c r="D225" s="126" t="s">
        <v>85</v>
      </c>
      <c r="E225" s="11">
        <v>1955</v>
      </c>
      <c r="F225" s="11">
        <v>50443</v>
      </c>
      <c r="G225" s="11">
        <v>28261</v>
      </c>
      <c r="H225" s="133">
        <f>_xlfn.XLOOKUP(Table1[[#This Row],[Shipment Number]], 'pivot '!A:A,'pivot '!G:G, "NF")</f>
        <v>27.243017501368001</v>
      </c>
      <c r="I225" s="111">
        <f>Table1[[#This Row],[Tiyaar/gaz]]/1.0936</f>
        <v>25842.172640819314</v>
      </c>
      <c r="J225" s="99" cm="1">
        <f t="array" ref="J22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
)</f>
        <v>258421.72640819312</v>
      </c>
      <c r="K225" s="126"/>
    </row>
    <row r="226" spans="1:11" x14ac:dyDescent="0.3">
      <c r="A226" s="127">
        <v>46003</v>
      </c>
      <c r="B226" s="126" t="s">
        <v>21</v>
      </c>
      <c r="C226" s="126">
        <v>1235</v>
      </c>
      <c r="D226" s="126" t="s">
        <v>85</v>
      </c>
      <c r="E226" s="11">
        <v>1934</v>
      </c>
      <c r="F226" s="11">
        <v>38741</v>
      </c>
      <c r="G226" s="11">
        <v>2649</v>
      </c>
      <c r="H226" s="133">
        <f>_xlfn.XLOOKUP(Table1[[#This Row],[Shipment Number]], 'pivot '!A:A,'pivot '!G:G, "NF")</f>
        <v>11.957747196144211</v>
      </c>
      <c r="I226" s="111">
        <f>Table1[[#This Row],[Tiyaar/gaz]]/1.0936</f>
        <v>2422.2750548646673</v>
      </c>
      <c r="J226" s="99" cm="1">
        <f t="array" ref="J22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
)</f>
        <v>24222.750548646673</v>
      </c>
      <c r="K226" s="126"/>
    </row>
    <row r="227" spans="1:11" x14ac:dyDescent="0.3">
      <c r="A227"/>
      <c r="B227"/>
      <c r="C227"/>
      <c r="D227"/>
      <c r="E227" s="14"/>
      <c r="F227" s="14"/>
      <c r="G227" s="14"/>
      <c r="H227" s="43"/>
      <c r="I227" s="94" cm="1">
        <f t="array" aca="1" ref="I227" ca="1">SUMPRODUCT( SUBTOTAL(109, OFFSET(Table1[tiyar/meters], ROW(Table1[tiyar/meters])-MIN(ROW(Table1[tiyar/meters])), 0, 1)), --(Table1[Bill Number]&lt;&gt;"October Closing CF") )</f>
        <v>1669504.3891733729</v>
      </c>
      <c r="J227" s="43" cm="1">
        <f t="array" aca="1" ref="J227" ca="1">SUMPRODUCT( SUBTOTAL(109, OFFSET(Table1[billing], ROW(Table1[billing])-MIN(ROW(Table1[billing])), 0, 1)), --(Table1[Bill Number]&lt;&gt;"October Closing CF") )</f>
        <v>18500240.490124363</v>
      </c>
      <c r="K227" s="14">
        <f>SUMIFS(Table1[billing], Table1[Bill Number], "&lt;&gt;October Closing CF")</f>
        <v>18500240.490124363</v>
      </c>
    </row>
  </sheetData>
  <phoneticPr fontId="7" alignment="center"/>
  <conditionalFormatting sqref="H2:H226">
    <cfRule type="cellIs" dxfId="6" priority="1" operator="greaterThan">
      <formula>3.5</formula>
    </cfRule>
  </conditionalFormatting>
  <pageMargins left="0.7" right="0.7" top="0.75" bottom="0.75" header="0.3" footer="0.3"/>
  <pageSetup scale="47" fitToHeight="0"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A4BE-4176-4481-B8C4-81155CC199DF}">
  <sheetPr>
    <pageSetUpPr fitToPage="1"/>
  </sheetPr>
  <dimension ref="A1:P74"/>
  <sheetViews>
    <sheetView topLeftCell="A48" zoomScale="145" zoomScaleNormal="90" workbookViewId="0">
      <selection activeCell="H57" sqref="H57"/>
    </sheetView>
  </sheetViews>
  <sheetFormatPr defaultRowHeight="14.4" x14ac:dyDescent="0.3"/>
  <cols>
    <col min="1" max="1" width="19.6640625" bestFit="1" customWidth="1"/>
    <col min="2" max="2" width="17.33203125" bestFit="1" customWidth="1"/>
    <col min="3" max="3" width="18.6640625" customWidth="1"/>
    <col min="4" max="4" width="10.6640625" bestFit="1" customWidth="1"/>
    <col min="5" max="5" width="20" bestFit="1" customWidth="1"/>
    <col min="6" max="6" width="13" bestFit="1" customWidth="1"/>
    <col min="7" max="7" width="12.6640625" customWidth="1"/>
    <col min="8" max="8" width="13.33203125" customWidth="1"/>
    <col min="9" max="9" width="13.88671875" bestFit="1" customWidth="1"/>
    <col min="10" max="10" width="12.88671875" customWidth="1"/>
    <col min="11" max="11" width="20" bestFit="1" customWidth="1"/>
    <col min="12" max="12" width="21" bestFit="1" customWidth="1"/>
    <col min="13" max="13" width="13.33203125" bestFit="1" customWidth="1"/>
    <col min="14" max="14" width="11.21875" bestFit="1" customWidth="1"/>
    <col min="15" max="15" width="11" bestFit="1" customWidth="1"/>
    <col min="16" max="16" width="14.109375" bestFit="1" customWidth="1"/>
  </cols>
  <sheetData>
    <row r="1" spans="1:16" x14ac:dyDescent="0.3">
      <c r="A1" s="8" t="s">
        <v>75</v>
      </c>
      <c r="B1" s="8" t="s">
        <v>2</v>
      </c>
      <c r="C1" s="8" t="s">
        <v>90</v>
      </c>
      <c r="D1" s="12" t="s">
        <v>91</v>
      </c>
      <c r="E1" s="12" t="s">
        <v>4</v>
      </c>
      <c r="F1" s="12" t="s">
        <v>92</v>
      </c>
      <c r="G1" s="12" t="s">
        <v>5</v>
      </c>
      <c r="H1" s="12" t="s">
        <v>93</v>
      </c>
      <c r="I1" s="13" t="s">
        <v>94</v>
      </c>
    </row>
    <row r="2" spans="1:16" x14ac:dyDescent="0.3">
      <c r="A2" s="85">
        <v>45947</v>
      </c>
      <c r="B2" s="82" t="s">
        <v>95</v>
      </c>
      <c r="C2" s="82" t="s">
        <v>96</v>
      </c>
      <c r="D2" s="83"/>
      <c r="E2" s="83"/>
      <c r="F2" s="83"/>
      <c r="G2" s="83">
        <f>D2*E2</f>
        <v>0</v>
      </c>
      <c r="H2" s="11"/>
      <c r="I2" s="84">
        <v>2567858</v>
      </c>
    </row>
    <row r="3" spans="1:16" x14ac:dyDescent="0.3">
      <c r="A3" s="85">
        <v>45947</v>
      </c>
      <c r="B3" s="82" t="s">
        <v>97</v>
      </c>
      <c r="C3" s="82" t="s">
        <v>96</v>
      </c>
      <c r="D3" s="83"/>
      <c r="E3" s="83"/>
      <c r="F3" s="83"/>
      <c r="G3" s="83">
        <f>D3*E3</f>
        <v>0</v>
      </c>
      <c r="H3" s="11">
        <v>0</v>
      </c>
      <c r="I3" s="84">
        <v>0</v>
      </c>
    </row>
    <row r="4" spans="1:16" x14ac:dyDescent="0.3">
      <c r="A4" s="85">
        <v>45947</v>
      </c>
      <c r="B4" s="82" t="s">
        <v>150</v>
      </c>
      <c r="C4" s="82" t="s">
        <v>96</v>
      </c>
      <c r="D4" s="11"/>
      <c r="E4" s="11"/>
      <c r="F4" s="11"/>
      <c r="G4" s="11">
        <f>D4*E4</f>
        <v>0</v>
      </c>
      <c r="H4" s="11">
        <v>0</v>
      </c>
      <c r="I4" s="87">
        <v>76420</v>
      </c>
    </row>
    <row r="5" spans="1:16" ht="15" thickBot="1" x14ac:dyDescent="0.35">
      <c r="A5" s="85">
        <v>45947</v>
      </c>
      <c r="B5" s="82" t="s">
        <v>170</v>
      </c>
      <c r="C5" s="82" t="s">
        <v>96</v>
      </c>
      <c r="D5" s="11"/>
      <c r="E5" s="11"/>
      <c r="F5" s="11"/>
      <c r="G5" s="11">
        <f t="shared" ref="G5:G6" si="0">D5*E5</f>
        <v>0</v>
      </c>
      <c r="H5" s="11"/>
      <c r="I5" s="87">
        <v>350775</v>
      </c>
    </row>
    <row r="6" spans="1:16" ht="15" thickTop="1" x14ac:dyDescent="0.3">
      <c r="A6" s="85">
        <v>45947</v>
      </c>
      <c r="B6" s="95" t="s">
        <v>178</v>
      </c>
      <c r="C6" s="82" t="s">
        <v>96</v>
      </c>
      <c r="D6" s="11"/>
      <c r="E6" s="11"/>
      <c r="F6" s="11"/>
      <c r="G6" s="11">
        <f t="shared" si="0"/>
        <v>0</v>
      </c>
      <c r="H6" s="11"/>
      <c r="I6" s="11">
        <v>-1000</v>
      </c>
      <c r="K6" s="17">
        <f>SUM(Table3[Total])</f>
        <v>5400000</v>
      </c>
      <c r="L6" s="3" t="s">
        <v>2</v>
      </c>
      <c r="M6" t="s">
        <v>88</v>
      </c>
    </row>
    <row r="7" spans="1:16" x14ac:dyDescent="0.3">
      <c r="A7" s="85">
        <v>45979</v>
      </c>
      <c r="B7" s="95" t="s">
        <v>193</v>
      </c>
      <c r="C7" s="82" t="s">
        <v>96</v>
      </c>
      <c r="D7" s="11"/>
      <c r="E7" s="11"/>
      <c r="F7" s="11"/>
      <c r="G7" s="11">
        <f>D7*E7</f>
        <v>0</v>
      </c>
      <c r="H7" s="11"/>
      <c r="I7" s="11">
        <v>330400</v>
      </c>
    </row>
    <row r="8" spans="1:16" x14ac:dyDescent="0.3">
      <c r="A8" s="1">
        <v>45980</v>
      </c>
      <c r="B8" t="s">
        <v>95</v>
      </c>
      <c r="D8" s="11"/>
      <c r="E8" s="11"/>
      <c r="F8" s="11"/>
      <c r="G8" s="11">
        <f>D8*E8</f>
        <v>0</v>
      </c>
      <c r="H8" s="11">
        <f>SUMIFS(Table14[Debit], Table14[Date], Table3[[#This Row],[Date]], Table14[Party], Table3[[#This Row],[Party Name]])</f>
        <v>408012</v>
      </c>
      <c r="I8" s="11">
        <f>(D8*E8)-Table3[[#This Row],[Paid]]</f>
        <v>-408012</v>
      </c>
      <c r="K8" s="11"/>
      <c r="L8" s="3" t="s">
        <v>99</v>
      </c>
      <c r="M8" t="s">
        <v>100</v>
      </c>
      <c r="N8" t="s">
        <v>101</v>
      </c>
      <c r="O8" t="s">
        <v>102</v>
      </c>
      <c r="P8" t="s">
        <v>103</v>
      </c>
    </row>
    <row r="9" spans="1:16" x14ac:dyDescent="0.3">
      <c r="A9" s="1">
        <v>45980</v>
      </c>
      <c r="B9" t="s">
        <v>170</v>
      </c>
      <c r="D9" s="11"/>
      <c r="E9" s="11"/>
      <c r="F9" s="11"/>
      <c r="G9" s="11">
        <f t="shared" ref="G9:G10" si="1">D9*E9</f>
        <v>0</v>
      </c>
      <c r="H9" s="11">
        <f>SUMIFS(Table14[Debit], Table14[Date], Table3[[#This Row],[Date]], Table14[Party], Table3[[#This Row],[Party Name]])</f>
        <v>2000</v>
      </c>
      <c r="I9" s="11">
        <f>(D9*E9)-Table3[[#This Row],[Paid]]</f>
        <v>-2000</v>
      </c>
      <c r="K9" s="11"/>
      <c r="L9" s="26">
        <v>45947</v>
      </c>
      <c r="M9" s="14"/>
      <c r="N9" s="14">
        <v>0</v>
      </c>
      <c r="O9" s="14">
        <v>0</v>
      </c>
      <c r="P9" s="14">
        <v>2994053</v>
      </c>
    </row>
    <row r="10" spans="1:16" x14ac:dyDescent="0.3">
      <c r="A10" s="1">
        <v>45980</v>
      </c>
      <c r="B10" t="s">
        <v>193</v>
      </c>
      <c r="D10" s="11"/>
      <c r="E10" s="11"/>
      <c r="F10" s="11"/>
      <c r="G10" s="11">
        <f t="shared" si="1"/>
        <v>0</v>
      </c>
      <c r="H10" s="11">
        <f>SUMIFS(Table14[Debit], Table14[Date], Table3[[#This Row],[Date]], Table14[Party], Table3[[#This Row],[Party Name]])</f>
        <v>4000</v>
      </c>
      <c r="I10" s="11">
        <f>(D10*E10)-Table3[[#This Row],[Paid]]</f>
        <v>-4000</v>
      </c>
      <c r="K10" s="11"/>
      <c r="L10" s="42" t="s">
        <v>96</v>
      </c>
      <c r="M10" s="14"/>
      <c r="N10" s="14">
        <v>0</v>
      </c>
      <c r="O10" s="14">
        <v>0</v>
      </c>
      <c r="P10" s="14">
        <v>2994053</v>
      </c>
    </row>
    <row r="11" spans="1:16" x14ac:dyDescent="0.3">
      <c r="A11" s="1">
        <v>45981</v>
      </c>
      <c r="B11" t="s">
        <v>95</v>
      </c>
      <c r="C11" t="s">
        <v>224</v>
      </c>
      <c r="D11" s="11">
        <v>456</v>
      </c>
      <c r="E11" s="11">
        <v>810</v>
      </c>
      <c r="F11" s="11">
        <v>80300</v>
      </c>
      <c r="G11" s="11">
        <f t="shared" ref="G11:G12" si="2">D11*E11</f>
        <v>369360</v>
      </c>
      <c r="H11" s="11">
        <f>SUMIFS(Table14[Debit], Table14[Date], Table3[[#This Row],[Date]], Table14[Party], Table3[[#This Row],[Party Name]])</f>
        <v>80300</v>
      </c>
      <c r="I11" s="11">
        <f>(D11*E11)-Table3[[#This Row],[Paid]]</f>
        <v>289060</v>
      </c>
      <c r="K11" s="11"/>
      <c r="L11" s="26">
        <v>45979</v>
      </c>
      <c r="M11" s="14"/>
      <c r="N11" s="14">
        <v>0</v>
      </c>
      <c r="O11" s="14"/>
      <c r="P11" s="14">
        <v>330400</v>
      </c>
    </row>
    <row r="12" spans="1:16" x14ac:dyDescent="0.3">
      <c r="A12" s="1">
        <v>45982</v>
      </c>
      <c r="B12" t="s">
        <v>95</v>
      </c>
      <c r="D12" s="11"/>
      <c r="E12" s="11"/>
      <c r="F12" s="11"/>
      <c r="G12" s="11">
        <f t="shared" si="2"/>
        <v>0</v>
      </c>
      <c r="H12" s="11">
        <f>SUMIFS(Table14[Debit], Table14[Date], Table3[[#This Row],[Date]], Table14[Party], Table3[[#This Row],[Party Name]])</f>
        <v>300152</v>
      </c>
      <c r="I12" s="11">
        <f>(D12*E12)-Table3[[#This Row],[Paid]]</f>
        <v>-300152</v>
      </c>
      <c r="K12" s="11"/>
      <c r="L12" s="42" t="s">
        <v>96</v>
      </c>
      <c r="M12" s="14"/>
      <c r="N12" s="14">
        <v>0</v>
      </c>
      <c r="O12" s="14"/>
      <c r="P12" s="14">
        <v>330400</v>
      </c>
    </row>
    <row r="13" spans="1:16" x14ac:dyDescent="0.3">
      <c r="A13" s="1">
        <v>45984</v>
      </c>
      <c r="B13" t="s">
        <v>95</v>
      </c>
      <c r="C13" t="s">
        <v>224</v>
      </c>
      <c r="D13" s="11">
        <v>394</v>
      </c>
      <c r="E13" s="11">
        <v>810</v>
      </c>
      <c r="F13" s="11">
        <v>67500</v>
      </c>
      <c r="G13" s="11">
        <f t="shared" ref="G13:G19" si="3">D13*E13</f>
        <v>319140</v>
      </c>
      <c r="H13" s="11">
        <f>SUMIFS(Table14[Debit], Table14[Date], Table3[[#This Row],[Date]], Table14[Party], Table3[[#This Row],[Party Name]])</f>
        <v>200068</v>
      </c>
      <c r="I13" s="11">
        <f>(D13*E13)-Table3[[#This Row],[Paid]]</f>
        <v>119072</v>
      </c>
      <c r="K13" s="11"/>
      <c r="L13" s="26">
        <v>45982</v>
      </c>
      <c r="M13" s="14"/>
      <c r="N13" s="14">
        <v>0</v>
      </c>
      <c r="O13" s="14">
        <v>300152</v>
      </c>
      <c r="P13" s="14">
        <v>-300152</v>
      </c>
    </row>
    <row r="14" spans="1:16" x14ac:dyDescent="0.3">
      <c r="A14" s="1">
        <v>45985</v>
      </c>
      <c r="B14" t="s">
        <v>95</v>
      </c>
      <c r="D14" s="11"/>
      <c r="E14" s="11"/>
      <c r="F14" s="11"/>
      <c r="G14" s="11">
        <f t="shared" si="3"/>
        <v>0</v>
      </c>
      <c r="H14" s="11">
        <f>SUMIFS(Table14[Debit], Table14[Date], Table3[[#This Row],[Date]], Table14[Party], Table3[[#This Row],[Party Name]])</f>
        <v>67500</v>
      </c>
      <c r="I14" s="11">
        <f>(D14*E14)-Table3[[#This Row],[Paid]]</f>
        <v>-67500</v>
      </c>
      <c r="K14" s="11"/>
      <c r="L14" s="42" t="s">
        <v>104</v>
      </c>
      <c r="M14" s="14"/>
      <c r="N14" s="14">
        <v>0</v>
      </c>
      <c r="O14" s="14">
        <v>300152</v>
      </c>
      <c r="P14" s="14">
        <v>-300152</v>
      </c>
    </row>
    <row r="15" spans="1:16" x14ac:dyDescent="0.3">
      <c r="A15" s="1">
        <v>45984</v>
      </c>
      <c r="B15" t="s">
        <v>170</v>
      </c>
      <c r="C15">
        <v>9662</v>
      </c>
      <c r="D15" s="11">
        <v>152</v>
      </c>
      <c r="E15" s="11">
        <v>775</v>
      </c>
      <c r="F15" s="11"/>
      <c r="G15" s="11">
        <f t="shared" si="3"/>
        <v>117800</v>
      </c>
      <c r="H15" s="11">
        <f>SUMIFS(Table14[Debit], Table14[Date], Table3[[#This Row],[Date]], Table14[Party], Table3[[#This Row],[Party Name]])</f>
        <v>0</v>
      </c>
      <c r="I15" s="11">
        <f>(D15*E15)-Table3[[#This Row],[Paid]]</f>
        <v>117800</v>
      </c>
      <c r="K15" s="11"/>
      <c r="L15" s="26">
        <v>45980</v>
      </c>
      <c r="M15" s="14"/>
      <c r="N15" s="14">
        <v>0</v>
      </c>
      <c r="O15" s="14">
        <v>414012</v>
      </c>
      <c r="P15" s="14">
        <v>-414012</v>
      </c>
    </row>
    <row r="16" spans="1:16" x14ac:dyDescent="0.3">
      <c r="A16" s="1">
        <v>45984</v>
      </c>
      <c r="B16" t="s">
        <v>150</v>
      </c>
      <c r="C16" t="s">
        <v>255</v>
      </c>
      <c r="D16" s="11">
        <v>30</v>
      </c>
      <c r="E16" s="11">
        <v>580</v>
      </c>
      <c r="F16" s="11"/>
      <c r="G16" s="11">
        <f t="shared" si="3"/>
        <v>17400</v>
      </c>
      <c r="H16" s="11">
        <f>SUMIFS(Table14[Debit], Table14[Date], Table3[[#This Row],[Date]], Table14[Party], Table3[[#This Row],[Party Name]])</f>
        <v>0</v>
      </c>
      <c r="I16" s="11">
        <f>(D16*E16)-Table3[[#This Row],[Paid]]</f>
        <v>17400</v>
      </c>
      <c r="K16" s="11"/>
      <c r="L16" s="42" t="s">
        <v>104</v>
      </c>
      <c r="M16" s="14"/>
      <c r="N16" s="14">
        <v>0</v>
      </c>
      <c r="O16" s="14">
        <v>414012</v>
      </c>
      <c r="P16" s="14">
        <v>-414012</v>
      </c>
    </row>
    <row r="17" spans="1:16" x14ac:dyDescent="0.3">
      <c r="A17" s="1">
        <v>45985</v>
      </c>
      <c r="B17" t="s">
        <v>150</v>
      </c>
      <c r="C17" t="s">
        <v>255</v>
      </c>
      <c r="D17" s="11">
        <v>152</v>
      </c>
      <c r="E17" s="11">
        <v>580</v>
      </c>
      <c r="F17" s="11"/>
      <c r="G17" s="11">
        <f t="shared" si="3"/>
        <v>88160</v>
      </c>
      <c r="H17" s="11">
        <f>SUMIFS(Table14[Debit], Table14[Date], Table3[[#This Row],[Date]], Table14[Party], Table3[[#This Row],[Party Name]])</f>
        <v>40000</v>
      </c>
      <c r="I17" s="11">
        <f>(D17*E17)-Table3[[#This Row],[Paid]]</f>
        <v>48160</v>
      </c>
      <c r="K17" s="11"/>
      <c r="L17" s="26">
        <v>45981</v>
      </c>
      <c r="M17" s="14">
        <v>456</v>
      </c>
      <c r="N17" s="14">
        <v>369360</v>
      </c>
      <c r="O17" s="14">
        <v>80300</v>
      </c>
      <c r="P17" s="14">
        <v>289060</v>
      </c>
    </row>
    <row r="18" spans="1:16" x14ac:dyDescent="0.3">
      <c r="A18" s="1">
        <v>45986</v>
      </c>
      <c r="B18" t="s">
        <v>95</v>
      </c>
      <c r="C18" t="s">
        <v>270</v>
      </c>
      <c r="D18" s="11">
        <v>470</v>
      </c>
      <c r="E18" s="11">
        <v>810</v>
      </c>
      <c r="F18" s="11">
        <v>72800</v>
      </c>
      <c r="G18" s="11">
        <f t="shared" si="3"/>
        <v>380700</v>
      </c>
      <c r="H18" s="11">
        <f>SUMIFS(Table14[Debit], Table14[Date], Table3[[#This Row],[Date]], Table14[Party], Table3[[#This Row],[Party Name]])</f>
        <v>107800</v>
      </c>
      <c r="I18" s="11">
        <f>(D18*E18)-Table3[[#This Row],[Paid]]</f>
        <v>272900</v>
      </c>
      <c r="L18" s="42" t="s">
        <v>224</v>
      </c>
      <c r="M18" s="14">
        <v>456</v>
      </c>
      <c r="N18" s="14">
        <v>369360</v>
      </c>
      <c r="O18" s="14">
        <v>80300</v>
      </c>
      <c r="P18" s="14">
        <v>289060</v>
      </c>
    </row>
    <row r="19" spans="1:16" x14ac:dyDescent="0.3">
      <c r="A19" s="1">
        <v>45986</v>
      </c>
      <c r="B19" t="s">
        <v>95</v>
      </c>
      <c r="C19" t="s">
        <v>271</v>
      </c>
      <c r="D19" s="11">
        <v>206</v>
      </c>
      <c r="E19" s="11">
        <v>765</v>
      </c>
      <c r="F19" s="11">
        <v>35000</v>
      </c>
      <c r="G19" s="11">
        <f t="shared" si="3"/>
        <v>157590</v>
      </c>
      <c r="H19" s="11"/>
      <c r="I19" s="11">
        <f>(D19*E19)-Table3[[#This Row],[Paid]]</f>
        <v>157590</v>
      </c>
      <c r="L19" s="26">
        <v>45984</v>
      </c>
      <c r="M19" s="14">
        <v>576</v>
      </c>
      <c r="N19" s="14">
        <v>454340</v>
      </c>
      <c r="O19" s="14">
        <v>200068</v>
      </c>
      <c r="P19" s="14">
        <v>254272</v>
      </c>
    </row>
    <row r="20" spans="1:16" x14ac:dyDescent="0.3">
      <c r="A20" s="1">
        <v>45987</v>
      </c>
      <c r="B20" t="s">
        <v>95</v>
      </c>
      <c r="C20" t="s">
        <v>284</v>
      </c>
      <c r="D20" s="11">
        <v>281</v>
      </c>
      <c r="E20" s="11">
        <v>810</v>
      </c>
      <c r="F20" s="11">
        <v>45700</v>
      </c>
      <c r="G20" s="11">
        <f t="shared" ref="G20:G21" si="4">D20*E20</f>
        <v>227610</v>
      </c>
      <c r="H20" s="11">
        <f>SUMIFS(Table14[Debit], Table14[Date], Table3[[#This Row],[Date]], Table14[Party], Table3[[#This Row],[Party Name]])</f>
        <v>347823</v>
      </c>
      <c r="I20" s="11">
        <f>(D20*E20)-Table3[[#This Row],[Paid]]</f>
        <v>-120213</v>
      </c>
      <c r="L20" s="42" t="s">
        <v>224</v>
      </c>
      <c r="M20" s="14">
        <v>394</v>
      </c>
      <c r="N20" s="14">
        <v>319140</v>
      </c>
      <c r="O20" s="14">
        <v>200068</v>
      </c>
      <c r="P20" s="14">
        <v>119072</v>
      </c>
    </row>
    <row r="21" spans="1:16" x14ac:dyDescent="0.3">
      <c r="A21" s="1">
        <v>45987</v>
      </c>
      <c r="B21" t="s">
        <v>178</v>
      </c>
      <c r="C21" t="s">
        <v>280</v>
      </c>
      <c r="D21" s="11">
        <v>384</v>
      </c>
      <c r="E21" s="11">
        <v>780</v>
      </c>
      <c r="F21" s="11">
        <v>100000</v>
      </c>
      <c r="G21" s="11">
        <f t="shared" si="4"/>
        <v>299520</v>
      </c>
      <c r="H21" s="11">
        <f>SUMIFS(Table14[Debit], Table14[Date], Table3[[#This Row],[Date]], Table14[Party], Table3[[#This Row],[Party Name]])</f>
        <v>100000</v>
      </c>
      <c r="I21" s="11">
        <f>(D21*E21)-Table3[[#This Row],[Paid]]</f>
        <v>199520</v>
      </c>
      <c r="L21" s="42">
        <v>9662</v>
      </c>
      <c r="M21" s="14">
        <v>152</v>
      </c>
      <c r="N21" s="14">
        <v>117800</v>
      </c>
      <c r="O21" s="14">
        <v>0</v>
      </c>
      <c r="P21" s="14">
        <v>117800</v>
      </c>
    </row>
    <row r="22" spans="1:16" x14ac:dyDescent="0.3">
      <c r="A22" s="1">
        <v>45988</v>
      </c>
      <c r="B22" t="s">
        <v>95</v>
      </c>
      <c r="C22" t="s">
        <v>292</v>
      </c>
      <c r="D22" s="11">
        <v>496</v>
      </c>
      <c r="E22" s="11">
        <v>810</v>
      </c>
      <c r="F22" s="11">
        <v>106000</v>
      </c>
      <c r="G22" s="11">
        <f t="shared" ref="G22:G23" si="5">D22*E22</f>
        <v>401760</v>
      </c>
      <c r="H22" s="11">
        <f>SUMIFS(Table14[Debit], Table14[Date], Table3[[#This Row],[Date]], Table14[Party], Table3[[#This Row],[Party Name]])</f>
        <v>106000</v>
      </c>
      <c r="I22" s="11">
        <f>(D22*E22)-Table3[[#This Row],[Paid]]</f>
        <v>295760</v>
      </c>
      <c r="L22" s="42" t="s">
        <v>255</v>
      </c>
      <c r="M22" s="14">
        <v>30</v>
      </c>
      <c r="N22" s="14">
        <v>17400</v>
      </c>
      <c r="O22" s="14">
        <v>0</v>
      </c>
      <c r="P22" s="14">
        <v>17400</v>
      </c>
    </row>
    <row r="23" spans="1:16" x14ac:dyDescent="0.3">
      <c r="A23" s="1">
        <v>45988</v>
      </c>
      <c r="B23" t="s">
        <v>170</v>
      </c>
      <c r="D23" s="11"/>
      <c r="E23" s="11"/>
      <c r="F23" s="11"/>
      <c r="G23" s="11">
        <f t="shared" si="5"/>
        <v>0</v>
      </c>
      <c r="H23" s="11">
        <f>SUMIFS(Table14[Debit], Table14[Date], Table3[[#This Row],[Date]], Table14[Party], Table3[[#This Row],[Party Name]])</f>
        <v>175000</v>
      </c>
      <c r="I23" s="11">
        <f>(D23*E23)-Table3[[#This Row],[Paid]]</f>
        <v>-175000</v>
      </c>
      <c r="L23" s="26">
        <v>45985</v>
      </c>
      <c r="M23" s="14">
        <v>152</v>
      </c>
      <c r="N23" s="14">
        <v>88160</v>
      </c>
      <c r="O23" s="14">
        <v>107500</v>
      </c>
      <c r="P23" s="14">
        <v>-19340</v>
      </c>
    </row>
    <row r="24" spans="1:16" x14ac:dyDescent="0.3">
      <c r="A24" s="1">
        <v>45989</v>
      </c>
      <c r="B24" t="s">
        <v>95</v>
      </c>
      <c r="C24" t="s">
        <v>310</v>
      </c>
      <c r="D24" s="11">
        <v>287</v>
      </c>
      <c r="E24" s="11">
        <v>810</v>
      </c>
      <c r="F24" s="11">
        <v>46100</v>
      </c>
      <c r="G24" s="11">
        <f t="shared" ref="G24:G25" si="6">D24*E24</f>
        <v>232470</v>
      </c>
      <c r="H24" s="11">
        <f>SUMIFS(Table14[Debit], Table14[Date], Table3[[#This Row],[Date]], Table14[Party], Table3[[#This Row],[Party Name]])</f>
        <v>46100</v>
      </c>
      <c r="I24" s="11">
        <f>(D24*E24)-Table3[[#This Row],[Paid]]</f>
        <v>186370</v>
      </c>
      <c r="L24" s="42" t="s">
        <v>104</v>
      </c>
      <c r="M24" s="14"/>
      <c r="N24" s="14">
        <v>0</v>
      </c>
      <c r="O24" s="14">
        <v>67500</v>
      </c>
      <c r="P24" s="14">
        <v>-67500</v>
      </c>
    </row>
    <row r="25" spans="1:16" x14ac:dyDescent="0.3">
      <c r="A25" s="1">
        <v>45990</v>
      </c>
      <c r="B25" t="s">
        <v>95</v>
      </c>
      <c r="D25" s="11"/>
      <c r="E25" s="11"/>
      <c r="F25" s="11"/>
      <c r="G25" s="11">
        <f t="shared" si="6"/>
        <v>0</v>
      </c>
      <c r="H25" s="11">
        <f>SUMIFS(Table14[Debit], Table14[Date], Table3[[#This Row],[Date]], Table14[Party], Table3[[#This Row],[Party Name]])</f>
        <v>400338</v>
      </c>
      <c r="I25" s="11">
        <f>(D25*E25)-Table3[[#This Row],[Paid]]</f>
        <v>-400338</v>
      </c>
      <c r="L25" s="42" t="s">
        <v>255</v>
      </c>
      <c r="M25" s="14">
        <v>152</v>
      </c>
      <c r="N25" s="14">
        <v>88160</v>
      </c>
      <c r="O25" s="14">
        <v>40000</v>
      </c>
      <c r="P25" s="14">
        <v>48160</v>
      </c>
    </row>
    <row r="26" spans="1:16" x14ac:dyDescent="0.3">
      <c r="A26" s="1">
        <v>45992</v>
      </c>
      <c r="B26" t="s">
        <v>95</v>
      </c>
      <c r="C26" t="s">
        <v>224</v>
      </c>
      <c r="D26" s="11">
        <v>433</v>
      </c>
      <c r="E26" s="11">
        <v>810</v>
      </c>
      <c r="F26" s="11">
        <v>74400</v>
      </c>
      <c r="G26" s="11">
        <f t="shared" ref="G26:G27" si="7">D26*E26</f>
        <v>350730</v>
      </c>
      <c r="H26" s="11">
        <f>SUMIFS(Table14[Debit], Table14[Date], Table3[[#This Row],[Date]], Table14[Party], Table3[[#This Row],[Party Name]])</f>
        <v>300204</v>
      </c>
      <c r="I26" s="11">
        <f>(D26*E26)-Table3[[#This Row],[Paid]]</f>
        <v>50526</v>
      </c>
      <c r="L26" s="26">
        <v>45986</v>
      </c>
      <c r="M26" s="14">
        <v>676</v>
      </c>
      <c r="N26" s="14">
        <v>538290</v>
      </c>
      <c r="O26" s="14">
        <v>107800</v>
      </c>
      <c r="P26" s="14">
        <v>430490</v>
      </c>
    </row>
    <row r="27" spans="1:16" x14ac:dyDescent="0.3">
      <c r="A27" s="1">
        <v>45993</v>
      </c>
      <c r="B27" t="s">
        <v>95</v>
      </c>
      <c r="D27" s="11"/>
      <c r="E27" s="11"/>
      <c r="F27" s="11"/>
      <c r="G27" s="11">
        <f t="shared" si="7"/>
        <v>0</v>
      </c>
      <c r="H27" s="11">
        <f>SUMIFS(Table14[Debit], Table14[Date], Table3[[#This Row],[Date]], Table14[Party], Table3[[#This Row],[Party Name]])</f>
        <v>274600</v>
      </c>
      <c r="I27" s="11">
        <f>(D27*E27)-Table3[[#This Row],[Paid]]</f>
        <v>-274600</v>
      </c>
      <c r="L27" s="42" t="s">
        <v>270</v>
      </c>
      <c r="M27" s="14">
        <v>470</v>
      </c>
      <c r="N27" s="14">
        <v>380700</v>
      </c>
      <c r="O27" s="14">
        <v>107800</v>
      </c>
      <c r="P27" s="14">
        <v>272900</v>
      </c>
    </row>
    <row r="28" spans="1:16" x14ac:dyDescent="0.3">
      <c r="A28" s="1">
        <v>45994</v>
      </c>
      <c r="B28" t="s">
        <v>95</v>
      </c>
      <c r="D28" s="11"/>
      <c r="E28" s="11"/>
      <c r="F28" s="11"/>
      <c r="G28" s="11">
        <f>D28*E28</f>
        <v>0</v>
      </c>
      <c r="H28" s="11">
        <f>SUMIFS(Table14[Debit], Table14[Date], Table3[[#This Row],[Date]], Table14[Party], Table3[[#This Row],[Party Name]])</f>
        <v>250768</v>
      </c>
      <c r="I28" s="11">
        <f>(D28*E28)-Table3[[#This Row],[Paid]]</f>
        <v>-250768</v>
      </c>
      <c r="L28" s="42" t="s">
        <v>271</v>
      </c>
      <c r="M28" s="14">
        <v>206</v>
      </c>
      <c r="N28" s="14">
        <v>157590</v>
      </c>
      <c r="O28" s="14"/>
      <c r="P28" s="14">
        <v>157590</v>
      </c>
    </row>
    <row r="29" spans="1:16" x14ac:dyDescent="0.3">
      <c r="A29" s="1">
        <v>45994</v>
      </c>
      <c r="B29" t="s">
        <v>344</v>
      </c>
      <c r="C29" t="s">
        <v>342</v>
      </c>
      <c r="D29" s="11">
        <v>225</v>
      </c>
      <c r="E29" s="11">
        <v>830</v>
      </c>
      <c r="F29" s="11">
        <v>50000</v>
      </c>
      <c r="G29" s="11">
        <f>D29*E29</f>
        <v>186750</v>
      </c>
      <c r="H29" s="11">
        <f>SUMIFS(Table14[Debit], Table14[Date], Table3[[#This Row],[Date]], Table14[Party], Table3[[#This Row],[Party Name]])</f>
        <v>50000</v>
      </c>
      <c r="I29" s="11">
        <f>(D29*E29)-Table3[[#This Row],[Paid]]</f>
        <v>136750</v>
      </c>
      <c r="K29" s="14"/>
      <c r="L29" s="26">
        <v>45987</v>
      </c>
      <c r="M29" s="14">
        <v>665</v>
      </c>
      <c r="N29" s="14">
        <v>527130</v>
      </c>
      <c r="O29" s="14">
        <v>447823</v>
      </c>
      <c r="P29" s="14">
        <v>79307</v>
      </c>
    </row>
    <row r="30" spans="1:16" x14ac:dyDescent="0.3">
      <c r="A30" s="1">
        <v>45995</v>
      </c>
      <c r="B30" t="s">
        <v>344</v>
      </c>
      <c r="C30" t="s">
        <v>374</v>
      </c>
      <c r="D30" s="11">
        <v>195</v>
      </c>
      <c r="E30" s="11">
        <v>830</v>
      </c>
      <c r="F30" s="11"/>
      <c r="G30" s="11">
        <f>D30*E30</f>
        <v>161850</v>
      </c>
      <c r="H30" s="11">
        <f>SUMIFS(Table14[Debit], Table14[Date], Table3[[#This Row],[Date]], Table14[Party], Table3[[#This Row],[Party Name]])</f>
        <v>170000</v>
      </c>
      <c r="I30" s="11">
        <f>(D30*E30)-Table3[[#This Row],[Paid]]</f>
        <v>-8150</v>
      </c>
      <c r="L30" s="42" t="s">
        <v>284</v>
      </c>
      <c r="M30" s="14">
        <v>281</v>
      </c>
      <c r="N30" s="14">
        <v>227610</v>
      </c>
      <c r="O30" s="14">
        <v>347823</v>
      </c>
      <c r="P30" s="14">
        <v>-120213</v>
      </c>
    </row>
    <row r="31" spans="1:16" x14ac:dyDescent="0.3">
      <c r="A31" s="1">
        <v>45995</v>
      </c>
      <c r="B31" t="s">
        <v>95</v>
      </c>
      <c r="C31" t="s">
        <v>355</v>
      </c>
      <c r="D31" s="11">
        <v>471</v>
      </c>
      <c r="E31" s="11">
        <v>810</v>
      </c>
      <c r="F31" s="11">
        <v>118000</v>
      </c>
      <c r="G31" s="11">
        <f>D31*E31</f>
        <v>381510</v>
      </c>
      <c r="H31" s="11">
        <f>SUMIFS(Table14[Debit], Table14[Date], Table3[[#This Row],[Date]], Table14[Party], Table3[[#This Row],[Party Name]])</f>
        <v>418188</v>
      </c>
      <c r="I31" s="11">
        <f>(D31*E31)-Table3[[#This Row],[Paid]]</f>
        <v>-36678</v>
      </c>
      <c r="L31" s="42" t="s">
        <v>280</v>
      </c>
      <c r="M31" s="14">
        <v>384</v>
      </c>
      <c r="N31" s="14">
        <v>299520</v>
      </c>
      <c r="O31" s="14">
        <v>100000</v>
      </c>
      <c r="P31" s="14">
        <v>199520</v>
      </c>
    </row>
    <row r="32" spans="1:16" x14ac:dyDescent="0.3">
      <c r="A32" s="1">
        <v>45996</v>
      </c>
      <c r="B32" t="s">
        <v>344</v>
      </c>
      <c r="C32" t="s">
        <v>375</v>
      </c>
      <c r="D32" s="11">
        <v>215</v>
      </c>
      <c r="E32" s="11">
        <v>810</v>
      </c>
      <c r="F32" s="11">
        <v>40450</v>
      </c>
      <c r="G32" s="11">
        <f>D32*E32</f>
        <v>174150</v>
      </c>
      <c r="H32" s="11">
        <f>SUMIFS(Table14[Debit], Table14[Date], Table3[[#This Row],[Date]], Table14[Party], Table3[[#This Row],[Party Name]])</f>
        <v>40450</v>
      </c>
      <c r="I32" s="11">
        <f>(D32*E32)-Table3[[#This Row],[Paid]]</f>
        <v>133700</v>
      </c>
      <c r="L32" s="26">
        <v>45988</v>
      </c>
      <c r="M32" s="14">
        <v>496</v>
      </c>
      <c r="N32" s="14">
        <v>401760</v>
      </c>
      <c r="O32" s="14">
        <v>281000</v>
      </c>
      <c r="P32" s="14">
        <v>120760</v>
      </c>
    </row>
    <row r="33" spans="1:16" x14ac:dyDescent="0.3">
      <c r="A33" s="1">
        <v>45997</v>
      </c>
      <c r="B33" t="s">
        <v>95</v>
      </c>
      <c r="C33" t="s">
        <v>372</v>
      </c>
      <c r="D33" s="11">
        <v>61</v>
      </c>
      <c r="E33" s="11">
        <v>810</v>
      </c>
      <c r="F33" s="11"/>
      <c r="G33" s="11">
        <f t="shared" ref="G33:G39" si="8">D33*E33</f>
        <v>49410</v>
      </c>
      <c r="H33" s="11">
        <f>SUMIFS(Table14[Debit], Table14[Date], Table3[[#This Row],[Date]], Table14[Party], Table3[[#This Row],[Party Name]])</f>
        <v>200510</v>
      </c>
      <c r="I33" s="11">
        <f>(D33*E33)-Table3[[#This Row],[Paid]]</f>
        <v>-151100</v>
      </c>
      <c r="L33" s="42" t="s">
        <v>104</v>
      </c>
      <c r="M33" s="14"/>
      <c r="N33" s="14">
        <v>0</v>
      </c>
      <c r="O33" s="14">
        <v>175000</v>
      </c>
      <c r="P33" s="14">
        <v>-175000</v>
      </c>
    </row>
    <row r="34" spans="1:16" x14ac:dyDescent="0.3">
      <c r="A34" s="1">
        <v>45997</v>
      </c>
      <c r="B34" t="s">
        <v>344</v>
      </c>
      <c r="C34" t="s">
        <v>374</v>
      </c>
      <c r="D34" s="11">
        <v>188</v>
      </c>
      <c r="E34" s="11">
        <v>810</v>
      </c>
      <c r="F34" s="11"/>
      <c r="G34" s="11">
        <f t="shared" si="8"/>
        <v>152280</v>
      </c>
      <c r="H34" s="11">
        <f>SUMIFS(Table14[Debit], Table14[Date], Table3[[#This Row],[Date]], Table14[Party], Table3[[#This Row],[Party Name]])</f>
        <v>128500</v>
      </c>
      <c r="I34" s="11">
        <f>(D34*E34)-Table3[[#This Row],[Paid]]</f>
        <v>23780</v>
      </c>
      <c r="L34" s="42" t="s">
        <v>292</v>
      </c>
      <c r="M34" s="14">
        <v>496</v>
      </c>
      <c r="N34" s="14">
        <v>401760</v>
      </c>
      <c r="O34" s="14">
        <v>106000</v>
      </c>
      <c r="P34" s="14">
        <v>295760</v>
      </c>
    </row>
    <row r="35" spans="1:16" x14ac:dyDescent="0.3">
      <c r="A35" s="1">
        <v>45997</v>
      </c>
      <c r="B35" t="s">
        <v>170</v>
      </c>
      <c r="C35" t="s">
        <v>373</v>
      </c>
      <c r="D35" s="11">
        <v>134</v>
      </c>
      <c r="E35" s="11">
        <v>580</v>
      </c>
      <c r="F35" s="11"/>
      <c r="G35" s="11">
        <f t="shared" si="8"/>
        <v>77720</v>
      </c>
      <c r="H35" s="11">
        <f>SUMIFS(Table14[Debit], Table14[Date], Table3[[#This Row],[Date]], Table14[Party], Table3[[#This Row],[Party Name]])</f>
        <v>150000</v>
      </c>
      <c r="I35" s="11">
        <f>(D35*E35)-Table3[[#This Row],[Paid]]</f>
        <v>-72280</v>
      </c>
      <c r="L35" s="26">
        <v>45989</v>
      </c>
      <c r="M35" s="14">
        <v>287</v>
      </c>
      <c r="N35" s="14">
        <v>232470</v>
      </c>
      <c r="O35" s="14">
        <v>46100</v>
      </c>
      <c r="P35" s="14">
        <v>186370</v>
      </c>
    </row>
    <row r="36" spans="1:16" x14ac:dyDescent="0.3">
      <c r="A36" s="1">
        <v>45997</v>
      </c>
      <c r="B36" t="s">
        <v>150</v>
      </c>
      <c r="D36" s="11"/>
      <c r="E36" s="11"/>
      <c r="F36" s="11"/>
      <c r="G36" s="11">
        <f t="shared" si="8"/>
        <v>0</v>
      </c>
      <c r="H36" s="11">
        <f>SUMIFS(Table14[Debit], Table14[Date], Table3[[#This Row],[Date]], Table14[Party], Table3[[#This Row],[Party Name]])</f>
        <v>50000</v>
      </c>
      <c r="I36" s="11">
        <f>(D36*E36)-Table3[[#This Row],[Paid]]</f>
        <v>-50000</v>
      </c>
      <c r="L36" s="42" t="s">
        <v>310</v>
      </c>
      <c r="M36" s="14">
        <v>287</v>
      </c>
      <c r="N36" s="14">
        <v>232470</v>
      </c>
      <c r="O36" s="14">
        <v>46100</v>
      </c>
      <c r="P36" s="14">
        <v>186370</v>
      </c>
    </row>
    <row r="37" spans="1:16" x14ac:dyDescent="0.3">
      <c r="A37" s="1">
        <v>45997</v>
      </c>
      <c r="B37" t="s">
        <v>371</v>
      </c>
      <c r="C37">
        <v>8618</v>
      </c>
      <c r="D37" s="11">
        <v>182</v>
      </c>
      <c r="E37" s="11">
        <v>720</v>
      </c>
      <c r="F37" s="11"/>
      <c r="G37" s="11">
        <f t="shared" si="8"/>
        <v>131040</v>
      </c>
      <c r="H37" s="11">
        <f>SUMIFS(Table14[Debit], Table14[Date], Table3[[#This Row],[Date]], Table14[Party], Table3[[#This Row],[Party Name]])</f>
        <v>100000</v>
      </c>
      <c r="I37" s="11">
        <f>(D37*E37)-Table3[[#This Row],[Paid]]</f>
        <v>31040</v>
      </c>
      <c r="L37" s="26">
        <v>45990</v>
      </c>
      <c r="M37" s="14"/>
      <c r="N37" s="14">
        <v>0</v>
      </c>
      <c r="O37" s="14">
        <v>400338</v>
      </c>
      <c r="P37" s="14">
        <v>-400338</v>
      </c>
    </row>
    <row r="38" spans="1:16" x14ac:dyDescent="0.3">
      <c r="A38" s="1">
        <v>45996</v>
      </c>
      <c r="B38" t="s">
        <v>371</v>
      </c>
      <c r="C38">
        <v>8618</v>
      </c>
      <c r="D38" s="11">
        <v>227</v>
      </c>
      <c r="E38" s="11">
        <v>720</v>
      </c>
      <c r="F38" s="11"/>
      <c r="G38" s="11">
        <f t="shared" si="8"/>
        <v>163440</v>
      </c>
      <c r="H38" s="11">
        <f>SUMIFS(Table14[Debit], Table14[Date], Table3[[#This Row],[Date]], Table14[Party], Table3[[#This Row],[Party Name]])</f>
        <v>0</v>
      </c>
      <c r="I38" s="11">
        <f>(D38*E38)-Table3[[#This Row],[Paid]]</f>
        <v>163440</v>
      </c>
      <c r="L38" s="42" t="s">
        <v>104</v>
      </c>
      <c r="M38" s="14"/>
      <c r="N38" s="14">
        <v>0</v>
      </c>
      <c r="O38" s="14">
        <v>400338</v>
      </c>
      <c r="P38" s="14">
        <v>-400338</v>
      </c>
    </row>
    <row r="39" spans="1:16" x14ac:dyDescent="0.3">
      <c r="A39" s="1">
        <v>45997</v>
      </c>
      <c r="B39" t="s">
        <v>371</v>
      </c>
      <c r="C39">
        <v>8618</v>
      </c>
      <c r="D39" s="11">
        <v>135</v>
      </c>
      <c r="E39" s="11">
        <v>720</v>
      </c>
      <c r="F39" s="11"/>
      <c r="G39" s="11">
        <f t="shared" si="8"/>
        <v>97200</v>
      </c>
      <c r="H39" s="11"/>
      <c r="I39" s="11">
        <f>(D39*E39)-Table3[[#This Row],[Paid]]</f>
        <v>97200</v>
      </c>
      <c r="L39" s="26">
        <v>45992</v>
      </c>
      <c r="M39" s="14">
        <v>433</v>
      </c>
      <c r="N39" s="14">
        <v>350730</v>
      </c>
      <c r="O39" s="14">
        <v>300204</v>
      </c>
      <c r="P39" s="14">
        <v>50526</v>
      </c>
    </row>
    <row r="40" spans="1:16" x14ac:dyDescent="0.3">
      <c r="A40" s="1">
        <v>45996</v>
      </c>
      <c r="B40" t="s">
        <v>170</v>
      </c>
      <c r="C40" t="s">
        <v>376</v>
      </c>
      <c r="D40" s="11">
        <v>139</v>
      </c>
      <c r="E40" s="11">
        <v>580</v>
      </c>
      <c r="F40" s="11"/>
      <c r="G40" s="11">
        <f>D40*E40</f>
        <v>80620</v>
      </c>
      <c r="H40" s="11"/>
      <c r="I40" s="11">
        <f>(D40*E40)-Table3[[#This Row],[Paid]]</f>
        <v>80620</v>
      </c>
      <c r="L40" s="42" t="s">
        <v>224</v>
      </c>
      <c r="M40" s="14">
        <v>433</v>
      </c>
      <c r="N40" s="14">
        <v>350730</v>
      </c>
      <c r="O40" s="14">
        <v>300204</v>
      </c>
      <c r="P40" s="14">
        <v>50526</v>
      </c>
    </row>
    <row r="41" spans="1:16" x14ac:dyDescent="0.3">
      <c r="A41" s="1">
        <v>45997</v>
      </c>
      <c r="B41" t="s">
        <v>170</v>
      </c>
      <c r="C41" t="s">
        <v>98</v>
      </c>
      <c r="D41" s="11">
        <v>128</v>
      </c>
      <c r="E41" s="11">
        <v>580</v>
      </c>
      <c r="F41" s="11"/>
      <c r="G41" s="11">
        <f t="shared" ref="G41:G48" si="9">D41*E41</f>
        <v>74240</v>
      </c>
      <c r="H41" s="11"/>
      <c r="I41" s="11">
        <f>(D41*E41)-Table3[[#This Row],[Paid]]</f>
        <v>74240</v>
      </c>
      <c r="L41" s="26">
        <v>45993</v>
      </c>
      <c r="M41" s="14"/>
      <c r="N41" s="14">
        <v>0</v>
      </c>
      <c r="O41" s="14">
        <v>274600</v>
      </c>
      <c r="P41" s="14">
        <v>-274600</v>
      </c>
    </row>
    <row r="42" spans="1:16" x14ac:dyDescent="0.3">
      <c r="A42" s="1">
        <v>45998</v>
      </c>
      <c r="B42" t="s">
        <v>170</v>
      </c>
      <c r="C42" t="s">
        <v>98</v>
      </c>
      <c r="D42" s="11">
        <v>146</v>
      </c>
      <c r="E42" s="11">
        <v>580</v>
      </c>
      <c r="F42" s="11"/>
      <c r="G42" s="11">
        <f t="shared" si="9"/>
        <v>84680</v>
      </c>
      <c r="H42" s="11"/>
      <c r="I42" s="11">
        <f>(D42*E42)-Table3[[#This Row],[Paid]]</f>
        <v>84680</v>
      </c>
      <c r="L42" s="42" t="s">
        <v>104</v>
      </c>
      <c r="M42" s="14"/>
      <c r="N42" s="14">
        <v>0</v>
      </c>
      <c r="O42" s="14">
        <v>274600</v>
      </c>
      <c r="P42" s="14">
        <v>-274600</v>
      </c>
    </row>
    <row r="43" spans="1:16" x14ac:dyDescent="0.3">
      <c r="A43" s="1">
        <v>45998</v>
      </c>
      <c r="B43" t="s">
        <v>344</v>
      </c>
      <c r="C43" t="s">
        <v>384</v>
      </c>
      <c r="D43" s="11">
        <v>191</v>
      </c>
      <c r="E43" s="11">
        <v>810</v>
      </c>
      <c r="F43" s="11"/>
      <c r="G43" s="11">
        <f t="shared" si="9"/>
        <v>154710</v>
      </c>
      <c r="H43" s="11"/>
      <c r="I43" s="11">
        <f>(D43*E43)-Table3[[#This Row],[Paid]]</f>
        <v>154710</v>
      </c>
      <c r="L43" s="26">
        <v>45994</v>
      </c>
      <c r="M43" s="14">
        <v>225</v>
      </c>
      <c r="N43" s="14">
        <v>186750</v>
      </c>
      <c r="O43" s="14">
        <v>300768</v>
      </c>
      <c r="P43" s="14">
        <v>-114018</v>
      </c>
    </row>
    <row r="44" spans="1:16" x14ac:dyDescent="0.3">
      <c r="A44" s="1">
        <v>45999</v>
      </c>
      <c r="B44" t="s">
        <v>371</v>
      </c>
      <c r="C44">
        <v>8618</v>
      </c>
      <c r="D44" s="11">
        <v>172</v>
      </c>
      <c r="E44" s="11">
        <v>580</v>
      </c>
      <c r="F44" s="11"/>
      <c r="G44" s="11">
        <f t="shared" si="9"/>
        <v>99760</v>
      </c>
      <c r="H44" s="11">
        <f>SUMIFS(Table14[Debit], Table14[Date], Table3[[#This Row],[Date]], Table14[Party], Table3[[#This Row],[Party Name]])</f>
        <v>120000</v>
      </c>
      <c r="I44" s="11">
        <f>(D44*E44)-Table3[[#This Row],[Paid]]</f>
        <v>-20240</v>
      </c>
      <c r="L44" s="42" t="s">
        <v>104</v>
      </c>
      <c r="M44" s="14"/>
      <c r="N44" s="14">
        <v>0</v>
      </c>
      <c r="O44" s="14">
        <v>250768</v>
      </c>
      <c r="P44" s="14">
        <v>-250768</v>
      </c>
    </row>
    <row r="45" spans="1:16" x14ac:dyDescent="0.3">
      <c r="A45" s="1">
        <v>46000</v>
      </c>
      <c r="B45" t="s">
        <v>95</v>
      </c>
      <c r="D45" s="11"/>
      <c r="E45" s="11"/>
      <c r="F45" s="11"/>
      <c r="G45" s="11">
        <f t="shared" si="9"/>
        <v>0</v>
      </c>
      <c r="H45" s="11">
        <f>SUMIFS(Table14[Debit], Table14[Date], Table3[[#This Row],[Date]], Table14[Party], Table3[[#This Row],[Party Name]])</f>
        <v>200050</v>
      </c>
      <c r="I45" s="11">
        <f>(D45*E45)-Table3[[#This Row],[Paid]]</f>
        <v>-200050</v>
      </c>
      <c r="L45" s="42" t="s">
        <v>342</v>
      </c>
      <c r="M45" s="14">
        <v>225</v>
      </c>
      <c r="N45" s="14">
        <v>186750</v>
      </c>
      <c r="O45" s="14">
        <v>50000</v>
      </c>
      <c r="P45" s="14">
        <v>136750</v>
      </c>
    </row>
    <row r="46" spans="1:16" x14ac:dyDescent="0.3">
      <c r="A46" s="1">
        <v>46000</v>
      </c>
      <c r="B46" t="s">
        <v>371</v>
      </c>
      <c r="D46" s="11"/>
      <c r="E46" s="11"/>
      <c r="F46" s="11"/>
      <c r="G46" s="11">
        <f t="shared" si="9"/>
        <v>0</v>
      </c>
      <c r="H46" s="11">
        <f>SUMIFS(Table14[Debit], Table14[Date], Table3[[#This Row],[Date]], Table14[Party], Table3[[#This Row],[Party Name]])</f>
        <v>70000</v>
      </c>
      <c r="I46" s="11">
        <f>(D46*E46)-Table3[[#This Row],[Paid]]</f>
        <v>-70000</v>
      </c>
      <c r="L46" s="26">
        <v>45995</v>
      </c>
      <c r="M46" s="14">
        <v>666</v>
      </c>
      <c r="N46" s="14">
        <v>543360</v>
      </c>
      <c r="O46" s="14">
        <v>588188</v>
      </c>
      <c r="P46" s="14">
        <v>-44828</v>
      </c>
    </row>
    <row r="47" spans="1:16" x14ac:dyDescent="0.3">
      <c r="A47" s="1">
        <v>46000</v>
      </c>
      <c r="B47" t="s">
        <v>178</v>
      </c>
      <c r="D47" s="11"/>
      <c r="E47" s="11"/>
      <c r="F47" s="11"/>
      <c r="G47" s="11">
        <f t="shared" si="9"/>
        <v>0</v>
      </c>
      <c r="H47" s="11">
        <f>SUMIFS(Table14[Debit], Table14[Date], Table3[[#This Row],[Date]], Table14[Party], Table3[[#This Row],[Party Name]])</f>
        <v>100000</v>
      </c>
      <c r="I47" s="11">
        <f>(D47*E47)-Table3[[#This Row],[Paid]]</f>
        <v>-100000</v>
      </c>
      <c r="L47" s="42" t="s">
        <v>355</v>
      </c>
      <c r="M47" s="14">
        <v>471</v>
      </c>
      <c r="N47" s="14">
        <v>381510</v>
      </c>
      <c r="O47" s="14">
        <v>418188</v>
      </c>
      <c r="P47" s="14">
        <v>-36678</v>
      </c>
    </row>
    <row r="48" spans="1:16" x14ac:dyDescent="0.3">
      <c r="A48" s="1">
        <v>46000</v>
      </c>
      <c r="B48" t="s">
        <v>344</v>
      </c>
      <c r="C48" t="s">
        <v>404</v>
      </c>
      <c r="D48" s="11">
        <v>170</v>
      </c>
      <c r="E48" s="11">
        <v>810</v>
      </c>
      <c r="F48" s="11"/>
      <c r="G48" s="11">
        <f t="shared" si="9"/>
        <v>137700</v>
      </c>
      <c r="H48" s="11">
        <f>SUMIFS(Table14[Debit], Table14[Date], Table3[[#This Row],[Date]], Table14[Party], Table3[[#This Row],[Party Name]])</f>
        <v>100000</v>
      </c>
      <c r="I48" s="11">
        <f>(D48*E48)-Table3[[#This Row],[Paid]]</f>
        <v>37700</v>
      </c>
      <c r="L48" s="42" t="s">
        <v>374</v>
      </c>
      <c r="M48" s="14">
        <v>195</v>
      </c>
      <c r="N48" s="14">
        <v>161850</v>
      </c>
      <c r="O48" s="14">
        <v>170000</v>
      </c>
      <c r="P48" s="14">
        <v>-8150</v>
      </c>
    </row>
    <row r="49" spans="1:16" x14ac:dyDescent="0.3">
      <c r="A49" s="1">
        <v>46001</v>
      </c>
      <c r="B49" t="s">
        <v>371</v>
      </c>
      <c r="D49" s="11"/>
      <c r="E49" s="11"/>
      <c r="F49" s="11"/>
      <c r="G49" s="11">
        <f t="shared" ref="G49:G52" si="10">D49*E49</f>
        <v>0</v>
      </c>
      <c r="H49" s="11">
        <f>SUMIFS(Table14[Debit], Table14[Date], Table3[[#This Row],[Date]], Table14[Party], Table3[[#This Row],[Party Name]])</f>
        <v>102000</v>
      </c>
      <c r="I49" s="11">
        <f>(D49*E49)-Table3[[#This Row],[Paid]]</f>
        <v>-102000</v>
      </c>
      <c r="L49" s="26">
        <v>45996</v>
      </c>
      <c r="M49" s="14">
        <v>581</v>
      </c>
      <c r="N49" s="14">
        <v>418210</v>
      </c>
      <c r="O49" s="14">
        <v>40450</v>
      </c>
      <c r="P49" s="14">
        <v>377760</v>
      </c>
    </row>
    <row r="50" spans="1:16" x14ac:dyDescent="0.3">
      <c r="A50" s="1">
        <v>46001</v>
      </c>
      <c r="B50" t="s">
        <v>344</v>
      </c>
      <c r="D50" s="11"/>
      <c r="E50" s="11"/>
      <c r="F50" s="11"/>
      <c r="G50" s="11">
        <f t="shared" si="10"/>
        <v>0</v>
      </c>
      <c r="H50" s="11">
        <f>SUMIFS(Table14[Debit], Table14[Date], Table3[[#This Row],[Date]], Table14[Party], Table3[[#This Row],[Party Name]])</f>
        <v>125000</v>
      </c>
      <c r="I50" s="11">
        <f>(D50*E50)-Table3[[#This Row],[Paid]]</f>
        <v>-125000</v>
      </c>
      <c r="L50" s="42" t="s">
        <v>375</v>
      </c>
      <c r="M50" s="14">
        <v>215</v>
      </c>
      <c r="N50" s="14">
        <v>174150</v>
      </c>
      <c r="O50" s="14">
        <v>40450</v>
      </c>
      <c r="P50" s="14">
        <v>133700</v>
      </c>
    </row>
    <row r="51" spans="1:16" x14ac:dyDescent="0.3">
      <c r="A51" s="1">
        <v>46000</v>
      </c>
      <c r="B51" t="s">
        <v>170</v>
      </c>
      <c r="C51" t="s">
        <v>376</v>
      </c>
      <c r="D51" s="11">
        <v>138</v>
      </c>
      <c r="E51" s="11">
        <v>580</v>
      </c>
      <c r="F51" s="11"/>
      <c r="G51" s="11">
        <f t="shared" si="10"/>
        <v>80040</v>
      </c>
      <c r="H51" s="11">
        <f>SUMIFS(Table14[Debit], Table14[Date], Table3[[#This Row],[Date]], Table14[Party], Table3[[#This Row],[Party Name]])</f>
        <v>0</v>
      </c>
      <c r="I51" s="11">
        <f>(D51*E51)-Table3[[#This Row],[Paid]]</f>
        <v>80040</v>
      </c>
      <c r="L51" s="42">
        <v>8618</v>
      </c>
      <c r="M51" s="14">
        <v>227</v>
      </c>
      <c r="N51" s="14">
        <v>163440</v>
      </c>
      <c r="O51" s="14">
        <v>0</v>
      </c>
      <c r="P51" s="14">
        <v>163440</v>
      </c>
    </row>
    <row r="52" spans="1:16" x14ac:dyDescent="0.3">
      <c r="A52" s="1">
        <v>46002</v>
      </c>
      <c r="B52" t="s">
        <v>344</v>
      </c>
      <c r="C52" t="s">
        <v>374</v>
      </c>
      <c r="D52" s="11">
        <v>186</v>
      </c>
      <c r="E52" s="11">
        <v>810</v>
      </c>
      <c r="F52" s="11"/>
      <c r="G52" s="11">
        <f t="shared" si="10"/>
        <v>150660</v>
      </c>
      <c r="H52" s="11">
        <f>SUMIFS(Table14[Debit], Table14[Date], Table3[[#This Row],[Date]], Table14[Party], Table3[[#This Row],[Party Name]])</f>
        <v>90000</v>
      </c>
      <c r="I52" s="11">
        <f>(D52*E52)-Table3[[#This Row],[Paid]]</f>
        <v>60660</v>
      </c>
      <c r="L52" s="42" t="s">
        <v>376</v>
      </c>
      <c r="M52" s="14">
        <v>139</v>
      </c>
      <c r="N52" s="14">
        <v>80620</v>
      </c>
      <c r="O52" s="14"/>
      <c r="P52" s="14">
        <v>80620</v>
      </c>
    </row>
    <row r="53" spans="1:16" x14ac:dyDescent="0.3">
      <c r="A53" s="1">
        <v>46002</v>
      </c>
      <c r="B53" t="s">
        <v>170</v>
      </c>
      <c r="D53" s="11"/>
      <c r="E53" s="11"/>
      <c r="F53" s="11"/>
      <c r="G53" s="11">
        <f>D53*E53</f>
        <v>0</v>
      </c>
      <c r="H53" s="11">
        <f>SUMIFS(Table14[Debit], Table14[Date], Table3[[#This Row],[Date]], Table14[Party], Table3[[#This Row],[Party Name]])</f>
        <v>150500</v>
      </c>
      <c r="I53" s="11">
        <f>(D53*E53)-Table3[[#This Row],[Paid]]</f>
        <v>-150500</v>
      </c>
      <c r="L53" s="26">
        <v>45997</v>
      </c>
      <c r="M53" s="14">
        <v>828</v>
      </c>
      <c r="N53" s="14">
        <v>581890</v>
      </c>
      <c r="O53" s="14">
        <v>629010</v>
      </c>
      <c r="P53" s="14">
        <v>-47120</v>
      </c>
    </row>
    <row r="54" spans="1:16" x14ac:dyDescent="0.3">
      <c r="A54" s="1"/>
      <c r="D54" s="14"/>
      <c r="E54" s="14"/>
      <c r="F54" s="14"/>
      <c r="G54" s="14">
        <f>SUBTOTAL(109,Table3[Total])</f>
        <v>5400000</v>
      </c>
      <c r="H54" s="14">
        <f>SUBTOTAL(109,Table3[Paid])</f>
        <v>5575863</v>
      </c>
      <c r="I54" s="14">
        <f>SUBTOTAL(109,Table3[balance])</f>
        <v>3148590</v>
      </c>
      <c r="L54" s="42" t="s">
        <v>104</v>
      </c>
      <c r="M54" s="14"/>
      <c r="N54" s="14">
        <v>0</v>
      </c>
      <c r="O54" s="14">
        <v>50000</v>
      </c>
      <c r="P54" s="14">
        <v>-50000</v>
      </c>
    </row>
    <row r="55" spans="1:16" x14ac:dyDescent="0.3">
      <c r="L55" s="42" t="s">
        <v>374</v>
      </c>
      <c r="M55" s="14">
        <v>188</v>
      </c>
      <c r="N55" s="14">
        <v>152280</v>
      </c>
      <c r="O55" s="14">
        <v>128500</v>
      </c>
      <c r="P55" s="14">
        <v>23780</v>
      </c>
    </row>
    <row r="56" spans="1:16" x14ac:dyDescent="0.3">
      <c r="L56" s="42" t="s">
        <v>372</v>
      </c>
      <c r="M56" s="14">
        <v>61</v>
      </c>
      <c r="N56" s="14">
        <v>49410</v>
      </c>
      <c r="O56" s="14">
        <v>200510</v>
      </c>
      <c r="P56" s="14">
        <v>-151100</v>
      </c>
    </row>
    <row r="57" spans="1:16" x14ac:dyDescent="0.3">
      <c r="L57" s="42" t="s">
        <v>373</v>
      </c>
      <c r="M57" s="14">
        <v>134</v>
      </c>
      <c r="N57" s="14">
        <v>77720</v>
      </c>
      <c r="O57" s="14">
        <v>150000</v>
      </c>
      <c r="P57" s="14">
        <v>-72280</v>
      </c>
    </row>
    <row r="58" spans="1:16" x14ac:dyDescent="0.3">
      <c r="L58" s="42">
        <v>8618</v>
      </c>
      <c r="M58" s="14">
        <v>317</v>
      </c>
      <c r="N58" s="14">
        <v>228240</v>
      </c>
      <c r="O58" s="14">
        <v>100000</v>
      </c>
      <c r="P58" s="14">
        <v>128240</v>
      </c>
    </row>
    <row r="59" spans="1:16" x14ac:dyDescent="0.3">
      <c r="L59" s="42" t="s">
        <v>98</v>
      </c>
      <c r="M59" s="14">
        <v>128</v>
      </c>
      <c r="N59" s="14">
        <v>74240</v>
      </c>
      <c r="O59" s="14"/>
      <c r="P59" s="14">
        <v>74240</v>
      </c>
    </row>
    <row r="60" spans="1:16" x14ac:dyDescent="0.3">
      <c r="L60" s="26">
        <v>45998</v>
      </c>
      <c r="M60" s="14">
        <v>337</v>
      </c>
      <c r="N60" s="14">
        <v>239390</v>
      </c>
      <c r="O60" s="14"/>
      <c r="P60" s="14">
        <v>239390</v>
      </c>
    </row>
    <row r="61" spans="1:16" x14ac:dyDescent="0.3">
      <c r="L61" s="42" t="s">
        <v>98</v>
      </c>
      <c r="M61" s="14">
        <v>146</v>
      </c>
      <c r="N61" s="14">
        <v>84680</v>
      </c>
      <c r="O61" s="14"/>
      <c r="P61" s="14">
        <v>84680</v>
      </c>
    </row>
    <row r="62" spans="1:16" x14ac:dyDescent="0.3">
      <c r="L62" s="42" t="s">
        <v>384</v>
      </c>
      <c r="M62" s="14">
        <v>191</v>
      </c>
      <c r="N62" s="14">
        <v>154710</v>
      </c>
      <c r="O62" s="14"/>
      <c r="P62" s="14">
        <v>154710</v>
      </c>
    </row>
    <row r="63" spans="1:16" x14ac:dyDescent="0.3">
      <c r="L63" s="26">
        <v>45999</v>
      </c>
      <c r="M63" s="14">
        <v>172</v>
      </c>
      <c r="N63" s="14">
        <v>99760</v>
      </c>
      <c r="O63" s="14">
        <v>120000</v>
      </c>
      <c r="P63" s="14">
        <v>-20240</v>
      </c>
    </row>
    <row r="64" spans="1:16" x14ac:dyDescent="0.3">
      <c r="L64" s="42">
        <v>8618</v>
      </c>
      <c r="M64" s="14">
        <v>172</v>
      </c>
      <c r="N64" s="14">
        <v>99760</v>
      </c>
      <c r="O64" s="14">
        <v>120000</v>
      </c>
      <c r="P64" s="14">
        <v>-20240</v>
      </c>
    </row>
    <row r="65" spans="12:16" x14ac:dyDescent="0.3">
      <c r="L65" s="26">
        <v>46000</v>
      </c>
      <c r="M65" s="14">
        <v>308</v>
      </c>
      <c r="N65" s="14">
        <v>217740</v>
      </c>
      <c r="O65" s="14">
        <v>470050</v>
      </c>
      <c r="P65" s="14">
        <v>-252310</v>
      </c>
    </row>
    <row r="66" spans="12:16" x14ac:dyDescent="0.3">
      <c r="L66" s="42" t="s">
        <v>104</v>
      </c>
      <c r="M66" s="14"/>
      <c r="N66" s="14">
        <v>0</v>
      </c>
      <c r="O66" s="14">
        <v>370050</v>
      </c>
      <c r="P66" s="14">
        <v>-370050</v>
      </c>
    </row>
    <row r="67" spans="12:16" x14ac:dyDescent="0.3">
      <c r="L67" s="42" t="s">
        <v>374</v>
      </c>
      <c r="M67" s="14">
        <v>170</v>
      </c>
      <c r="N67" s="14">
        <v>137700</v>
      </c>
      <c r="O67" s="14">
        <v>100000</v>
      </c>
      <c r="P67" s="14">
        <v>37700</v>
      </c>
    </row>
    <row r="68" spans="12:16" x14ac:dyDescent="0.3">
      <c r="L68" s="42" t="s">
        <v>376</v>
      </c>
      <c r="M68" s="14">
        <v>138</v>
      </c>
      <c r="N68" s="14">
        <v>80040</v>
      </c>
      <c r="O68" s="14">
        <v>0</v>
      </c>
      <c r="P68" s="14">
        <v>80040</v>
      </c>
    </row>
    <row r="69" spans="12:16" x14ac:dyDescent="0.3">
      <c r="L69" s="26">
        <v>46001</v>
      </c>
      <c r="M69" s="14"/>
      <c r="N69" s="14">
        <v>0</v>
      </c>
      <c r="O69" s="14">
        <v>227000</v>
      </c>
      <c r="P69" s="14">
        <v>-227000</v>
      </c>
    </row>
    <row r="70" spans="12:16" x14ac:dyDescent="0.3">
      <c r="L70" s="42" t="s">
        <v>104</v>
      </c>
      <c r="M70" s="14"/>
      <c r="N70" s="14">
        <v>0</v>
      </c>
      <c r="O70" s="14">
        <v>227000</v>
      </c>
      <c r="P70" s="14">
        <v>-227000</v>
      </c>
    </row>
    <row r="71" spans="12:16" x14ac:dyDescent="0.3">
      <c r="L71" s="26">
        <v>46002</v>
      </c>
      <c r="M71" s="14">
        <v>186</v>
      </c>
      <c r="N71" s="14">
        <v>150660</v>
      </c>
      <c r="O71" s="14">
        <v>240500</v>
      </c>
      <c r="P71" s="14">
        <v>-89840</v>
      </c>
    </row>
    <row r="72" spans="12:16" x14ac:dyDescent="0.3">
      <c r="L72" s="42" t="s">
        <v>104</v>
      </c>
      <c r="M72" s="14"/>
      <c r="N72" s="14">
        <v>0</v>
      </c>
      <c r="O72" s="14">
        <v>150500</v>
      </c>
      <c r="P72" s="14">
        <v>-150500</v>
      </c>
    </row>
    <row r="73" spans="12:16" x14ac:dyDescent="0.3">
      <c r="L73" s="42" t="s">
        <v>374</v>
      </c>
      <c r="M73" s="14">
        <v>186</v>
      </c>
      <c r="N73" s="14">
        <v>150660</v>
      </c>
      <c r="O73" s="14">
        <v>90000</v>
      </c>
      <c r="P73" s="14">
        <v>60660</v>
      </c>
    </row>
    <row r="74" spans="12:16" x14ac:dyDescent="0.3">
      <c r="L74" s="26" t="s">
        <v>28</v>
      </c>
      <c r="M74" s="14">
        <v>7044</v>
      </c>
      <c r="N74" s="14">
        <v>5400000</v>
      </c>
      <c r="O74" s="14">
        <v>5575863</v>
      </c>
      <c r="P74" s="14">
        <v>3148590</v>
      </c>
    </row>
  </sheetData>
  <phoneticPr fontId="4" type="noConversion"/>
  <pageMargins left="0.7" right="0.7" top="0.75" bottom="0.75" header="0.3" footer="0.3"/>
  <pageSetup scale="37" firstPageNumber="0" fitToHeight="0" orientation="portrait"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C7D8-36BA-4EBA-8685-891B9162141F}">
  <dimension ref="A1:P408"/>
  <sheetViews>
    <sheetView tabSelected="1" topLeftCell="A382" zoomScale="104" workbookViewId="0">
      <selection activeCell="C266" sqref="C266"/>
    </sheetView>
  </sheetViews>
  <sheetFormatPr defaultRowHeight="14.4" x14ac:dyDescent="0.3"/>
  <cols>
    <col min="1" max="1" width="12.109375" customWidth="1"/>
    <col min="2" max="2" width="19.6640625" bestFit="1" customWidth="1"/>
    <col min="3" max="3" width="13.5546875" bestFit="1" customWidth="1"/>
    <col min="4" max="4" width="12.6640625" bestFit="1" customWidth="1"/>
    <col min="5" max="5" width="14.88671875" customWidth="1"/>
    <col min="6" max="6" width="13.33203125" bestFit="1" customWidth="1"/>
    <col min="7" max="7" width="14.6640625" bestFit="1" customWidth="1"/>
    <col min="8" max="8" width="16.109375" customWidth="1"/>
    <col min="9" max="9" width="14.44140625" bestFit="1" customWidth="1"/>
    <col min="10" max="10" width="18" bestFit="1" customWidth="1"/>
    <col min="11" max="11" width="12.33203125" bestFit="1" customWidth="1"/>
    <col min="12" max="12" width="11.88671875" bestFit="1" customWidth="1"/>
    <col min="13" max="13" width="11.109375" customWidth="1"/>
    <col min="14" max="14" width="10.88671875" customWidth="1"/>
    <col min="15" max="15" width="12.5546875" customWidth="1"/>
    <col min="16" max="16" width="13.6640625" customWidth="1"/>
    <col min="18" max="18" width="11.5546875" customWidth="1"/>
  </cols>
  <sheetData>
    <row r="1" spans="1:16" x14ac:dyDescent="0.3">
      <c r="A1" t="s">
        <v>75</v>
      </c>
      <c r="B1" t="s">
        <v>111</v>
      </c>
      <c r="C1" t="s">
        <v>70</v>
      </c>
      <c r="D1" t="s">
        <v>69</v>
      </c>
      <c r="E1" t="s">
        <v>36</v>
      </c>
      <c r="F1" t="s">
        <v>112</v>
      </c>
      <c r="G1" t="s">
        <v>113</v>
      </c>
    </row>
    <row r="2" spans="1:16" x14ac:dyDescent="0.3">
      <c r="A2" s="86">
        <v>45947</v>
      </c>
      <c r="B2" s="81" t="s">
        <v>203</v>
      </c>
      <c r="C2" s="11"/>
      <c r="D2" s="87">
        <f>[1]Cashbook!$N$5</f>
        <v>-673115</v>
      </c>
      <c r="E2" s="81"/>
      <c r="F2" s="88" t="s">
        <v>109</v>
      </c>
    </row>
    <row r="3" spans="1:16" x14ac:dyDescent="0.3">
      <c r="A3" s="86">
        <v>45947</v>
      </c>
      <c r="B3" s="81" t="s">
        <v>204</v>
      </c>
      <c r="C3" s="11"/>
      <c r="D3" s="87">
        <f>[1]Cashbook!$N$6</f>
        <v>-584716</v>
      </c>
      <c r="E3" s="81"/>
      <c r="F3" s="88" t="s">
        <v>110</v>
      </c>
      <c r="J3" s="47" t="s">
        <v>45</v>
      </c>
      <c r="K3" s="35" t="s">
        <v>46</v>
      </c>
      <c r="M3" s="47" t="s">
        <v>45</v>
      </c>
      <c r="N3" s="50" t="s">
        <v>105</v>
      </c>
      <c r="O3" s="89" t="s">
        <v>106</v>
      </c>
      <c r="P3" t="s">
        <v>107</v>
      </c>
    </row>
    <row r="4" spans="1:16" x14ac:dyDescent="0.3">
      <c r="A4" s="38">
        <v>45980</v>
      </c>
      <c r="B4" t="s">
        <v>183</v>
      </c>
      <c r="C4" s="97">
        <v>800</v>
      </c>
      <c r="D4" s="97"/>
      <c r="F4" s="124" t="s">
        <v>109</v>
      </c>
      <c r="J4" s="45" t="s">
        <v>70</v>
      </c>
      <c r="K4" s="46">
        <f>Table14[[#Totals],[Debit]]</f>
        <v>15806023</v>
      </c>
      <c r="M4" s="45" t="s">
        <v>108</v>
      </c>
      <c r="N4" s="51">
        <f>SUMIFS(Table14[Withdrawal],Table14[Party],"Cash",Table14[Mode],"Transfer")</f>
        <v>0</v>
      </c>
    </row>
    <row r="5" spans="1:16" x14ac:dyDescent="0.3">
      <c r="A5" s="38">
        <v>45980</v>
      </c>
      <c r="B5" t="s">
        <v>186</v>
      </c>
      <c r="C5" s="97">
        <v>7200</v>
      </c>
      <c r="D5" s="97"/>
      <c r="E5" t="s">
        <v>205</v>
      </c>
      <c r="F5" s="124" t="s">
        <v>110</v>
      </c>
      <c r="J5" s="45" t="s">
        <v>69</v>
      </c>
      <c r="K5" s="46">
        <f>Table14[[#Totals],[Credit]]</f>
        <v>15834740</v>
      </c>
      <c r="M5" s="45" t="s">
        <v>109</v>
      </c>
      <c r="N5" s="46">
        <f>(SUMIFS(Table14[Credit],Table14[Mode],"Bank")-SUMIFS(Table14[Debit],Table14[Mode],"Bank")-SUMIFS(Table14[Withdrawal],Table14[Mode],"Transfer"))</f>
        <v>641283</v>
      </c>
      <c r="O5">
        <v>360000</v>
      </c>
    </row>
    <row r="6" spans="1:16" x14ac:dyDescent="0.3">
      <c r="A6" s="38">
        <v>45980</v>
      </c>
      <c r="B6" t="s">
        <v>206</v>
      </c>
      <c r="C6" s="97">
        <v>2000</v>
      </c>
      <c r="D6" s="97"/>
      <c r="E6" t="s">
        <v>207</v>
      </c>
      <c r="F6" s="124" t="s">
        <v>110</v>
      </c>
      <c r="J6" s="52" t="s">
        <v>43</v>
      </c>
      <c r="K6" s="53">
        <f>(K5-K4)</f>
        <v>28717</v>
      </c>
      <c r="M6" s="45" t="s">
        <v>110</v>
      </c>
      <c r="N6" s="46">
        <f>((SUMIFS(Table14[Credit],Table14[Mode],"Cash")-SUMIFS(Table14[Debit],Table14[Mode],"Cash"))+SUMIFS(Table14[Withdrawal],Table14[Party],"Cash",Table14[Mode],"Transfer"))</f>
        <v>-610916</v>
      </c>
      <c r="O6">
        <v>50000</v>
      </c>
    </row>
    <row r="7" spans="1:16" x14ac:dyDescent="0.3">
      <c r="A7" s="38">
        <v>45980</v>
      </c>
      <c r="B7" t="s">
        <v>193</v>
      </c>
      <c r="C7" s="11">
        <v>4000</v>
      </c>
      <c r="D7" s="11"/>
      <c r="E7" t="s">
        <v>207</v>
      </c>
      <c r="F7" s="124" t="s">
        <v>110</v>
      </c>
      <c r="M7" s="48" t="s">
        <v>5</v>
      </c>
      <c r="N7" s="49">
        <f>SUM(N5:N6)</f>
        <v>30367</v>
      </c>
      <c r="O7" s="90">
        <f>SUM(O5,O6)</f>
        <v>410000</v>
      </c>
      <c r="P7" s="14">
        <f>Table18[[#Totals],[amount]]-Table18[[#Totals],[Actual]]</f>
        <v>-379633</v>
      </c>
    </row>
    <row r="8" spans="1:16" x14ac:dyDescent="0.3">
      <c r="A8" s="38">
        <v>45980</v>
      </c>
      <c r="B8" t="s">
        <v>95</v>
      </c>
      <c r="C8" s="11">
        <v>8000</v>
      </c>
      <c r="D8" s="11"/>
      <c r="E8" t="s">
        <v>207</v>
      </c>
      <c r="F8" s="124" t="s">
        <v>110</v>
      </c>
    </row>
    <row r="9" spans="1:16" x14ac:dyDescent="0.3">
      <c r="A9" s="38">
        <v>45980</v>
      </c>
      <c r="B9" t="s">
        <v>55</v>
      </c>
      <c r="C9" s="11">
        <v>25000</v>
      </c>
      <c r="D9" s="11"/>
      <c r="E9" t="s">
        <v>208</v>
      </c>
      <c r="F9" s="124" t="s">
        <v>109</v>
      </c>
    </row>
    <row r="10" spans="1:16" x14ac:dyDescent="0.3">
      <c r="A10" s="38">
        <v>45980</v>
      </c>
      <c r="B10" t="s">
        <v>21</v>
      </c>
      <c r="C10" s="11"/>
      <c r="D10" s="11">
        <v>50000</v>
      </c>
      <c r="F10" s="124" t="s">
        <v>109</v>
      </c>
    </row>
    <row r="11" spans="1:16" x14ac:dyDescent="0.3">
      <c r="A11" s="38">
        <v>45980</v>
      </c>
      <c r="B11" t="s">
        <v>21</v>
      </c>
      <c r="C11" s="11"/>
      <c r="D11" s="11">
        <v>51000</v>
      </c>
      <c r="F11" s="124" t="s">
        <v>109</v>
      </c>
    </row>
    <row r="12" spans="1:16" x14ac:dyDescent="0.3">
      <c r="A12" s="38">
        <v>45980</v>
      </c>
      <c r="B12" t="s">
        <v>21</v>
      </c>
      <c r="C12" s="11"/>
      <c r="D12" s="11">
        <v>14000</v>
      </c>
      <c r="E12" t="s">
        <v>189</v>
      </c>
      <c r="F12" s="124" t="s">
        <v>109</v>
      </c>
    </row>
    <row r="13" spans="1:16" x14ac:dyDescent="0.3">
      <c r="A13" s="38">
        <v>45980</v>
      </c>
      <c r="B13" t="s">
        <v>186</v>
      </c>
      <c r="C13" s="11">
        <v>3000</v>
      </c>
      <c r="D13" s="11"/>
      <c r="E13" t="s">
        <v>209</v>
      </c>
      <c r="F13" s="124" t="s">
        <v>109</v>
      </c>
    </row>
    <row r="14" spans="1:16" x14ac:dyDescent="0.3">
      <c r="A14" s="38">
        <v>45980</v>
      </c>
      <c r="B14" t="s">
        <v>55</v>
      </c>
      <c r="C14" s="11">
        <v>6000</v>
      </c>
      <c r="D14" s="11"/>
      <c r="E14" t="s">
        <v>210</v>
      </c>
      <c r="F14" s="124" t="s">
        <v>109</v>
      </c>
    </row>
    <row r="15" spans="1:16" x14ac:dyDescent="0.3">
      <c r="A15" s="38">
        <v>45980</v>
      </c>
      <c r="B15" t="s">
        <v>183</v>
      </c>
      <c r="C15" s="11">
        <v>1000</v>
      </c>
      <c r="D15" s="11"/>
      <c r="E15" t="s">
        <v>211</v>
      </c>
      <c r="F15" s="124" t="s">
        <v>109</v>
      </c>
    </row>
    <row r="16" spans="1:16" x14ac:dyDescent="0.3">
      <c r="A16" s="38">
        <v>45980</v>
      </c>
      <c r="B16" t="s">
        <v>212</v>
      </c>
      <c r="C16" s="11"/>
      <c r="D16" s="11"/>
      <c r="E16" t="s">
        <v>194</v>
      </c>
      <c r="F16" s="124" t="s">
        <v>109</v>
      </c>
    </row>
    <row r="17" spans="1:6" x14ac:dyDescent="0.3">
      <c r="A17" s="38">
        <v>45980</v>
      </c>
      <c r="B17" t="s">
        <v>212</v>
      </c>
      <c r="C17" s="11"/>
      <c r="D17" s="11"/>
      <c r="E17" t="s">
        <v>213</v>
      </c>
      <c r="F17" s="124" t="s">
        <v>109</v>
      </c>
    </row>
    <row r="18" spans="1:6" x14ac:dyDescent="0.3">
      <c r="A18" s="38">
        <v>45980</v>
      </c>
      <c r="B18" t="s">
        <v>9</v>
      </c>
      <c r="C18" s="11"/>
      <c r="D18" s="11">
        <v>350000</v>
      </c>
      <c r="E18" t="s">
        <v>214</v>
      </c>
      <c r="F18" s="124" t="s">
        <v>109</v>
      </c>
    </row>
    <row r="19" spans="1:6" x14ac:dyDescent="0.3">
      <c r="A19" s="38">
        <v>45980</v>
      </c>
      <c r="B19" t="s">
        <v>95</v>
      </c>
      <c r="C19" s="11">
        <v>400012</v>
      </c>
      <c r="D19" s="11"/>
      <c r="E19" t="s">
        <v>215</v>
      </c>
      <c r="F19" s="124" t="s">
        <v>109</v>
      </c>
    </row>
    <row r="20" spans="1:6" x14ac:dyDescent="0.3">
      <c r="A20" s="125">
        <v>45980</v>
      </c>
      <c r="B20" t="s">
        <v>114</v>
      </c>
      <c r="C20" s="11">
        <v>2250</v>
      </c>
      <c r="D20" s="11"/>
      <c r="E20" s="1">
        <v>45980</v>
      </c>
      <c r="F20" s="124" t="s">
        <v>109</v>
      </c>
    </row>
    <row r="21" spans="1:6" x14ac:dyDescent="0.3">
      <c r="A21" s="38">
        <v>45980</v>
      </c>
      <c r="B21" t="s">
        <v>54</v>
      </c>
      <c r="C21" s="97">
        <v>10000</v>
      </c>
      <c r="D21" s="97"/>
      <c r="E21" t="s">
        <v>216</v>
      </c>
      <c r="F21" s="124" t="s">
        <v>109</v>
      </c>
    </row>
    <row r="22" spans="1:6" x14ac:dyDescent="0.3">
      <c r="A22" s="38">
        <v>45980</v>
      </c>
      <c r="B22" t="s">
        <v>21</v>
      </c>
      <c r="C22" s="97"/>
      <c r="D22" s="97">
        <v>10000</v>
      </c>
      <c r="E22" t="s">
        <v>216</v>
      </c>
      <c r="F22" s="124" t="s">
        <v>109</v>
      </c>
    </row>
    <row r="23" spans="1:6" x14ac:dyDescent="0.3">
      <c r="A23" s="125">
        <v>45980</v>
      </c>
      <c r="B23" t="s">
        <v>118</v>
      </c>
      <c r="C23" s="11">
        <v>24000</v>
      </c>
      <c r="D23" s="11"/>
      <c r="E23" t="s">
        <v>217</v>
      </c>
      <c r="F23" s="124" t="s">
        <v>109</v>
      </c>
    </row>
    <row r="24" spans="1:6" x14ac:dyDescent="0.3">
      <c r="A24" s="38">
        <v>45980</v>
      </c>
      <c r="B24" t="s">
        <v>21</v>
      </c>
      <c r="C24" s="97"/>
      <c r="D24" s="97">
        <v>24000</v>
      </c>
      <c r="E24" t="s">
        <v>217</v>
      </c>
      <c r="F24" s="124" t="s">
        <v>109</v>
      </c>
    </row>
    <row r="25" spans="1:6" x14ac:dyDescent="0.3">
      <c r="A25" s="125">
        <v>45981</v>
      </c>
      <c r="B25" t="s">
        <v>114</v>
      </c>
      <c r="C25" s="11">
        <v>2260</v>
      </c>
      <c r="D25" s="11"/>
      <c r="E25" s="1">
        <v>45981</v>
      </c>
      <c r="F25" s="124" t="s">
        <v>109</v>
      </c>
    </row>
    <row r="26" spans="1:6" x14ac:dyDescent="0.3">
      <c r="A26" s="125">
        <v>45981</v>
      </c>
      <c r="B26" t="s">
        <v>220</v>
      </c>
      <c r="C26" s="11"/>
      <c r="D26" s="11"/>
      <c r="E26" t="s">
        <v>221</v>
      </c>
      <c r="F26" s="124" t="s">
        <v>109</v>
      </c>
    </row>
    <row r="27" spans="1:6" x14ac:dyDescent="0.3">
      <c r="A27" s="125">
        <v>45981</v>
      </c>
      <c r="B27" t="s">
        <v>185</v>
      </c>
      <c r="C27" s="11">
        <v>141950</v>
      </c>
      <c r="D27" s="11"/>
      <c r="E27" t="s">
        <v>222</v>
      </c>
      <c r="F27" s="124" t="s">
        <v>109</v>
      </c>
    </row>
    <row r="28" spans="1:6" x14ac:dyDescent="0.3">
      <c r="A28" s="125">
        <v>45981</v>
      </c>
      <c r="B28" t="s">
        <v>21</v>
      </c>
      <c r="C28" s="11"/>
      <c r="D28" s="11">
        <v>141950</v>
      </c>
      <c r="E28" t="s">
        <v>223</v>
      </c>
      <c r="F28" s="124" t="s">
        <v>109</v>
      </c>
    </row>
    <row r="29" spans="1:6" x14ac:dyDescent="0.3">
      <c r="A29" s="125">
        <v>45981</v>
      </c>
      <c r="B29" t="s">
        <v>95</v>
      </c>
      <c r="C29" s="11">
        <v>80300</v>
      </c>
      <c r="D29" s="11"/>
      <c r="E29" t="s">
        <v>224</v>
      </c>
      <c r="F29" s="124" t="s">
        <v>109</v>
      </c>
    </row>
    <row r="30" spans="1:6" x14ac:dyDescent="0.3">
      <c r="A30" s="125">
        <v>45981</v>
      </c>
      <c r="B30" t="s">
        <v>21</v>
      </c>
      <c r="C30" s="11"/>
      <c r="D30" s="11">
        <v>100000</v>
      </c>
      <c r="F30" s="124" t="s">
        <v>109</v>
      </c>
    </row>
    <row r="31" spans="1:6" x14ac:dyDescent="0.3">
      <c r="A31" s="125">
        <v>45981</v>
      </c>
      <c r="B31" t="s">
        <v>186</v>
      </c>
      <c r="C31" s="11">
        <v>7200</v>
      </c>
      <c r="D31" s="11"/>
      <c r="E31" t="s">
        <v>205</v>
      </c>
      <c r="F31" s="124" t="s">
        <v>109</v>
      </c>
    </row>
    <row r="32" spans="1:6" x14ac:dyDescent="0.3">
      <c r="A32" s="125">
        <v>45981</v>
      </c>
      <c r="B32" t="s">
        <v>54</v>
      </c>
      <c r="C32" s="11">
        <v>500</v>
      </c>
      <c r="D32" s="11"/>
      <c r="E32" t="s">
        <v>225</v>
      </c>
      <c r="F32" s="124" t="s">
        <v>109</v>
      </c>
    </row>
    <row r="33" spans="1:6" x14ac:dyDescent="0.3">
      <c r="A33" s="125">
        <v>45981</v>
      </c>
      <c r="B33" t="s">
        <v>55</v>
      </c>
      <c r="C33" s="11">
        <v>4000</v>
      </c>
      <c r="D33" s="11"/>
      <c r="E33" t="s">
        <v>226</v>
      </c>
      <c r="F33" s="124" t="s">
        <v>109</v>
      </c>
    </row>
    <row r="34" spans="1:6" x14ac:dyDescent="0.3">
      <c r="A34" s="125">
        <v>45981</v>
      </c>
      <c r="B34" t="s">
        <v>212</v>
      </c>
      <c r="C34" s="11"/>
      <c r="D34" s="11"/>
      <c r="E34" t="s">
        <v>189</v>
      </c>
      <c r="F34" s="124" t="s">
        <v>109</v>
      </c>
    </row>
    <row r="35" spans="1:6" x14ac:dyDescent="0.3">
      <c r="A35" s="125">
        <v>45981</v>
      </c>
      <c r="B35" t="s">
        <v>227</v>
      </c>
      <c r="C35" s="11"/>
      <c r="D35" s="11">
        <v>200000</v>
      </c>
      <c r="E35" t="s">
        <v>228</v>
      </c>
      <c r="F35" s="124" t="s">
        <v>109</v>
      </c>
    </row>
    <row r="36" spans="1:6" x14ac:dyDescent="0.3">
      <c r="A36" s="125">
        <v>45981</v>
      </c>
      <c r="B36" t="s">
        <v>114</v>
      </c>
      <c r="C36" s="11">
        <v>9740</v>
      </c>
      <c r="D36" s="11"/>
      <c r="E36" t="s">
        <v>229</v>
      </c>
      <c r="F36" s="124" t="s">
        <v>109</v>
      </c>
    </row>
    <row r="37" spans="1:6" x14ac:dyDescent="0.3">
      <c r="A37" s="125">
        <v>45982</v>
      </c>
      <c r="B37" t="s">
        <v>114</v>
      </c>
      <c r="C37" s="11">
        <v>2250</v>
      </c>
      <c r="D37" s="11"/>
      <c r="E37" s="1">
        <v>45982</v>
      </c>
      <c r="F37" s="124" t="s">
        <v>109</v>
      </c>
    </row>
    <row r="38" spans="1:6" x14ac:dyDescent="0.3">
      <c r="A38" s="125">
        <v>45982</v>
      </c>
      <c r="B38" t="s">
        <v>55</v>
      </c>
      <c r="C38" s="97">
        <v>12500</v>
      </c>
      <c r="D38" s="97"/>
      <c r="E38" t="s">
        <v>231</v>
      </c>
      <c r="F38" s="124" t="s">
        <v>109</v>
      </c>
    </row>
    <row r="39" spans="1:6" x14ac:dyDescent="0.3">
      <c r="A39" s="125">
        <v>45982</v>
      </c>
      <c r="B39" t="s">
        <v>54</v>
      </c>
      <c r="C39" s="11">
        <v>8008</v>
      </c>
      <c r="D39" s="11"/>
      <c r="E39" t="s">
        <v>232</v>
      </c>
      <c r="F39" s="124" t="s">
        <v>109</v>
      </c>
    </row>
    <row r="40" spans="1:6" x14ac:dyDescent="0.3">
      <c r="A40" s="125">
        <v>45982</v>
      </c>
      <c r="B40" t="s">
        <v>21</v>
      </c>
      <c r="C40" s="11"/>
      <c r="D40" s="11">
        <v>8008</v>
      </c>
      <c r="E40" t="s">
        <v>233</v>
      </c>
      <c r="F40" s="124" t="s">
        <v>109</v>
      </c>
    </row>
    <row r="41" spans="1:6" x14ac:dyDescent="0.3">
      <c r="A41" s="125">
        <v>45982</v>
      </c>
      <c r="B41" t="s">
        <v>51</v>
      </c>
      <c r="C41" s="11">
        <v>1803475</v>
      </c>
      <c r="D41" s="11"/>
      <c r="E41" t="s">
        <v>234</v>
      </c>
      <c r="F41" s="124" t="s">
        <v>109</v>
      </c>
    </row>
    <row r="42" spans="1:6" x14ac:dyDescent="0.3">
      <c r="A42" s="125">
        <v>45982</v>
      </c>
      <c r="B42" t="s">
        <v>95</v>
      </c>
      <c r="C42" s="11">
        <v>300152</v>
      </c>
      <c r="D42" s="11"/>
      <c r="E42" t="s">
        <v>235</v>
      </c>
      <c r="F42" s="124" t="s">
        <v>109</v>
      </c>
    </row>
    <row r="43" spans="1:6" x14ac:dyDescent="0.3">
      <c r="A43" s="125">
        <v>45980</v>
      </c>
      <c r="B43" t="s">
        <v>153</v>
      </c>
      <c r="C43" s="11"/>
      <c r="D43" s="11">
        <v>300000</v>
      </c>
      <c r="F43" s="124" t="s">
        <v>109</v>
      </c>
    </row>
    <row r="44" spans="1:6" x14ac:dyDescent="0.3">
      <c r="A44" s="125">
        <v>45982</v>
      </c>
      <c r="B44" t="s">
        <v>167</v>
      </c>
      <c r="C44" s="11"/>
      <c r="D44" s="11">
        <v>700000</v>
      </c>
      <c r="F44" s="124" t="s">
        <v>109</v>
      </c>
    </row>
    <row r="45" spans="1:6" x14ac:dyDescent="0.3">
      <c r="A45" s="125">
        <v>45982</v>
      </c>
      <c r="B45" t="s">
        <v>236</v>
      </c>
      <c r="C45" s="11"/>
      <c r="D45" s="11">
        <v>500000</v>
      </c>
      <c r="F45" s="124" t="s">
        <v>109</v>
      </c>
    </row>
    <row r="46" spans="1:6" x14ac:dyDescent="0.3">
      <c r="A46" s="125">
        <v>45982</v>
      </c>
      <c r="B46" t="s">
        <v>153</v>
      </c>
      <c r="C46" s="11"/>
      <c r="D46" s="11">
        <v>175000</v>
      </c>
      <c r="F46" s="124" t="s">
        <v>109</v>
      </c>
    </row>
    <row r="47" spans="1:6" x14ac:dyDescent="0.3">
      <c r="A47" s="125">
        <v>45982</v>
      </c>
      <c r="B47" t="s">
        <v>179</v>
      </c>
      <c r="C47" s="11"/>
      <c r="D47" s="11">
        <v>120205</v>
      </c>
      <c r="F47" s="124" t="s">
        <v>109</v>
      </c>
    </row>
    <row r="48" spans="1:6" x14ac:dyDescent="0.3">
      <c r="A48" s="125">
        <v>45982</v>
      </c>
      <c r="B48" t="s">
        <v>167</v>
      </c>
      <c r="C48" s="11"/>
      <c r="D48" s="11">
        <v>175217</v>
      </c>
      <c r="F48" s="124" t="s">
        <v>109</v>
      </c>
    </row>
    <row r="49" spans="1:6" x14ac:dyDescent="0.3">
      <c r="A49" s="125">
        <v>45982</v>
      </c>
      <c r="B49" t="s">
        <v>149</v>
      </c>
      <c r="C49" s="11"/>
      <c r="D49" s="11">
        <v>130000</v>
      </c>
      <c r="F49" s="124" t="s">
        <v>109</v>
      </c>
    </row>
    <row r="50" spans="1:6" x14ac:dyDescent="0.3">
      <c r="A50" s="125">
        <v>45982</v>
      </c>
      <c r="B50" t="s">
        <v>237</v>
      </c>
      <c r="C50" s="11">
        <v>175000</v>
      </c>
      <c r="D50" s="11"/>
      <c r="E50" t="s">
        <v>238</v>
      </c>
      <c r="F50" s="124" t="s">
        <v>109</v>
      </c>
    </row>
    <row r="51" spans="1:6" x14ac:dyDescent="0.3">
      <c r="A51" s="125">
        <v>45983</v>
      </c>
      <c r="B51" t="s">
        <v>114</v>
      </c>
      <c r="C51" s="11">
        <v>1960</v>
      </c>
      <c r="D51" s="11"/>
      <c r="E51" s="1">
        <v>45983</v>
      </c>
      <c r="F51" s="124" t="s">
        <v>109</v>
      </c>
    </row>
    <row r="52" spans="1:6" x14ac:dyDescent="0.3">
      <c r="A52" s="125">
        <v>45983</v>
      </c>
      <c r="B52" t="s">
        <v>220</v>
      </c>
      <c r="C52" s="11">
        <v>25000</v>
      </c>
      <c r="D52" s="11"/>
      <c r="E52" t="s">
        <v>189</v>
      </c>
      <c r="F52" s="124" t="s">
        <v>109</v>
      </c>
    </row>
    <row r="53" spans="1:6" x14ac:dyDescent="0.3">
      <c r="A53" s="125">
        <v>45983</v>
      </c>
      <c r="B53" t="s">
        <v>54</v>
      </c>
      <c r="C53" s="11">
        <v>10370</v>
      </c>
      <c r="D53" s="11"/>
      <c r="E53" t="s">
        <v>232</v>
      </c>
      <c r="F53" s="124" t="s">
        <v>109</v>
      </c>
    </row>
    <row r="54" spans="1:6" x14ac:dyDescent="0.3">
      <c r="A54" s="125">
        <v>45983</v>
      </c>
      <c r="B54" t="s">
        <v>21</v>
      </c>
      <c r="C54" s="97"/>
      <c r="D54" s="97">
        <v>25000</v>
      </c>
      <c r="E54" t="s">
        <v>239</v>
      </c>
      <c r="F54" s="124" t="s">
        <v>109</v>
      </c>
    </row>
    <row r="55" spans="1:6" x14ac:dyDescent="0.3">
      <c r="A55" s="125">
        <v>45983</v>
      </c>
      <c r="B55" t="s">
        <v>21</v>
      </c>
      <c r="C55" s="11"/>
      <c r="D55" s="11">
        <v>10370</v>
      </c>
      <c r="E55" t="s">
        <v>232</v>
      </c>
      <c r="F55" s="124" t="s">
        <v>109</v>
      </c>
    </row>
    <row r="56" spans="1:6" x14ac:dyDescent="0.3">
      <c r="A56" s="125">
        <v>45983</v>
      </c>
      <c r="B56" t="s">
        <v>54</v>
      </c>
      <c r="C56" s="11">
        <v>3000</v>
      </c>
      <c r="D56" s="11"/>
      <c r="E56" t="s">
        <v>216</v>
      </c>
      <c r="F56" s="124" t="s">
        <v>109</v>
      </c>
    </row>
    <row r="57" spans="1:6" x14ac:dyDescent="0.3">
      <c r="A57" s="125">
        <v>45983</v>
      </c>
      <c r="B57" t="s">
        <v>21</v>
      </c>
      <c r="C57" s="11"/>
      <c r="D57" s="11">
        <v>3000</v>
      </c>
      <c r="E57" t="s">
        <v>216</v>
      </c>
      <c r="F57" s="124" t="s">
        <v>109</v>
      </c>
    </row>
    <row r="58" spans="1:6" x14ac:dyDescent="0.3">
      <c r="A58" s="125">
        <v>45983</v>
      </c>
      <c r="B58" t="s">
        <v>55</v>
      </c>
      <c r="C58" s="11">
        <v>3000</v>
      </c>
      <c r="D58" s="11"/>
      <c r="E58" t="s">
        <v>240</v>
      </c>
      <c r="F58" s="124" t="s">
        <v>109</v>
      </c>
    </row>
    <row r="59" spans="1:6" x14ac:dyDescent="0.3">
      <c r="A59" s="125">
        <v>45983</v>
      </c>
      <c r="B59" t="s">
        <v>21</v>
      </c>
      <c r="C59" s="11"/>
      <c r="D59" s="11">
        <v>3000</v>
      </c>
      <c r="E59" t="s">
        <v>240</v>
      </c>
      <c r="F59" s="124" t="s">
        <v>109</v>
      </c>
    </row>
    <row r="60" spans="1:6" x14ac:dyDescent="0.3">
      <c r="A60" s="125">
        <v>45983</v>
      </c>
      <c r="B60" t="s">
        <v>54</v>
      </c>
      <c r="C60" s="11">
        <v>2670</v>
      </c>
      <c r="D60" s="11"/>
      <c r="E60" t="s">
        <v>232</v>
      </c>
      <c r="F60" s="124" t="s">
        <v>109</v>
      </c>
    </row>
    <row r="61" spans="1:6" x14ac:dyDescent="0.3">
      <c r="A61" s="125">
        <v>45983</v>
      </c>
      <c r="B61" t="s">
        <v>186</v>
      </c>
      <c r="C61" s="11">
        <v>5000</v>
      </c>
      <c r="D61" s="11"/>
      <c r="E61" t="s">
        <v>205</v>
      </c>
      <c r="F61" s="124" t="s">
        <v>109</v>
      </c>
    </row>
    <row r="62" spans="1:6" x14ac:dyDescent="0.3">
      <c r="A62" s="125">
        <v>45983</v>
      </c>
      <c r="B62" t="s">
        <v>55</v>
      </c>
      <c r="C62" s="11">
        <v>150</v>
      </c>
      <c r="D62" s="11"/>
      <c r="E62" t="s">
        <v>241</v>
      </c>
      <c r="F62" s="124" t="s">
        <v>109</v>
      </c>
    </row>
    <row r="63" spans="1:6" x14ac:dyDescent="0.3">
      <c r="A63" s="125">
        <v>45983</v>
      </c>
      <c r="B63" t="s">
        <v>21</v>
      </c>
      <c r="C63" s="11"/>
      <c r="D63" s="11">
        <v>13000</v>
      </c>
      <c r="E63" t="s">
        <v>244</v>
      </c>
      <c r="F63" s="124" t="s">
        <v>109</v>
      </c>
    </row>
    <row r="64" spans="1:6" x14ac:dyDescent="0.3">
      <c r="A64" s="125">
        <v>45983</v>
      </c>
      <c r="B64" t="s">
        <v>195</v>
      </c>
      <c r="C64" s="11">
        <v>13000</v>
      </c>
      <c r="D64" s="11"/>
      <c r="E64" t="s">
        <v>127</v>
      </c>
      <c r="F64" s="124" t="s">
        <v>109</v>
      </c>
    </row>
    <row r="65" spans="1:6" x14ac:dyDescent="0.3">
      <c r="A65" s="125">
        <v>45984</v>
      </c>
      <c r="B65" t="s">
        <v>184</v>
      </c>
      <c r="C65" s="11"/>
      <c r="D65" s="11">
        <v>1000000</v>
      </c>
      <c r="E65" t="s">
        <v>228</v>
      </c>
      <c r="F65" s="124" t="s">
        <v>109</v>
      </c>
    </row>
    <row r="66" spans="1:6" x14ac:dyDescent="0.3">
      <c r="A66" s="125">
        <v>45984</v>
      </c>
      <c r="B66" t="s">
        <v>95</v>
      </c>
      <c r="C66" s="11">
        <v>200068</v>
      </c>
      <c r="D66" s="11"/>
      <c r="E66" t="s">
        <v>245</v>
      </c>
      <c r="F66" s="124" t="s">
        <v>109</v>
      </c>
    </row>
    <row r="67" spans="1:6" x14ac:dyDescent="0.3">
      <c r="A67" s="125">
        <v>45984</v>
      </c>
      <c r="B67" t="s">
        <v>55</v>
      </c>
      <c r="C67" s="11">
        <v>20000</v>
      </c>
      <c r="D67" s="11"/>
      <c r="E67" t="s">
        <v>231</v>
      </c>
      <c r="F67" s="124" t="s">
        <v>109</v>
      </c>
    </row>
    <row r="68" spans="1:6" x14ac:dyDescent="0.3">
      <c r="A68" s="125">
        <v>45984</v>
      </c>
      <c r="B68" t="s">
        <v>247</v>
      </c>
      <c r="C68" s="11">
        <v>1100</v>
      </c>
      <c r="D68" s="11"/>
      <c r="E68" t="s">
        <v>246</v>
      </c>
      <c r="F68" s="124" t="s">
        <v>109</v>
      </c>
    </row>
    <row r="69" spans="1:6" x14ac:dyDescent="0.3">
      <c r="A69" s="125">
        <v>45984</v>
      </c>
      <c r="B69" t="s">
        <v>114</v>
      </c>
      <c r="C69" s="11">
        <v>2635</v>
      </c>
      <c r="D69" s="11"/>
      <c r="E69" s="1">
        <v>45984</v>
      </c>
      <c r="F69" s="124" t="s">
        <v>109</v>
      </c>
    </row>
    <row r="70" spans="1:6" x14ac:dyDescent="0.3">
      <c r="A70" s="125">
        <v>45984</v>
      </c>
      <c r="B70" t="s">
        <v>55</v>
      </c>
      <c r="C70" s="11">
        <v>10000</v>
      </c>
      <c r="D70" s="11"/>
      <c r="E70" t="s">
        <v>248</v>
      </c>
      <c r="F70" s="124" t="s">
        <v>109</v>
      </c>
    </row>
    <row r="71" spans="1:6" x14ac:dyDescent="0.3">
      <c r="A71" s="125">
        <v>45985</v>
      </c>
      <c r="B71" t="s">
        <v>95</v>
      </c>
      <c r="C71" s="11">
        <v>67500</v>
      </c>
      <c r="D71" s="11"/>
      <c r="E71" t="s">
        <v>224</v>
      </c>
      <c r="F71" s="124" t="s">
        <v>109</v>
      </c>
    </row>
    <row r="72" spans="1:6" x14ac:dyDescent="0.3">
      <c r="A72" s="125">
        <v>45985</v>
      </c>
      <c r="B72" t="s">
        <v>114</v>
      </c>
      <c r="C72" s="11">
        <v>20000</v>
      </c>
      <c r="D72" s="11"/>
      <c r="E72" t="s">
        <v>249</v>
      </c>
      <c r="F72" s="124" t="s">
        <v>109</v>
      </c>
    </row>
    <row r="73" spans="1:6" x14ac:dyDescent="0.3">
      <c r="A73" s="125">
        <v>45985</v>
      </c>
      <c r="B73" t="s">
        <v>55</v>
      </c>
      <c r="C73" s="11">
        <v>6000</v>
      </c>
      <c r="D73" s="11"/>
      <c r="E73" t="s">
        <v>240</v>
      </c>
      <c r="F73" s="124" t="s">
        <v>109</v>
      </c>
    </row>
    <row r="74" spans="1:6" x14ac:dyDescent="0.3">
      <c r="A74" s="125">
        <v>45985</v>
      </c>
      <c r="B74" t="s">
        <v>54</v>
      </c>
      <c r="C74" s="11">
        <v>12700</v>
      </c>
      <c r="D74" s="11"/>
      <c r="E74" t="s">
        <v>225</v>
      </c>
      <c r="F74" s="124" t="s">
        <v>109</v>
      </c>
    </row>
    <row r="75" spans="1:6" x14ac:dyDescent="0.3">
      <c r="A75" s="125">
        <v>45985</v>
      </c>
      <c r="B75" t="s">
        <v>150</v>
      </c>
      <c r="C75" s="11">
        <v>40000</v>
      </c>
      <c r="D75" s="11"/>
      <c r="E75" t="s">
        <v>250</v>
      </c>
      <c r="F75" s="124" t="s">
        <v>109</v>
      </c>
    </row>
    <row r="76" spans="1:6" x14ac:dyDescent="0.3">
      <c r="A76" s="125">
        <v>45985</v>
      </c>
      <c r="B76" t="s">
        <v>114</v>
      </c>
      <c r="C76" s="97">
        <v>2220</v>
      </c>
      <c r="D76" s="97"/>
      <c r="E76" s="129">
        <v>45985</v>
      </c>
      <c r="F76" s="124" t="s">
        <v>109</v>
      </c>
    </row>
    <row r="77" spans="1:6" x14ac:dyDescent="0.3">
      <c r="A77" s="125">
        <v>45985</v>
      </c>
      <c r="B77" t="s">
        <v>186</v>
      </c>
      <c r="C77" s="11">
        <v>9200</v>
      </c>
      <c r="D77" s="11"/>
      <c r="E77" t="s">
        <v>205</v>
      </c>
      <c r="F77" s="124" t="s">
        <v>109</v>
      </c>
    </row>
    <row r="78" spans="1:6" x14ac:dyDescent="0.3">
      <c r="A78" s="125">
        <v>45985</v>
      </c>
      <c r="B78" t="s">
        <v>212</v>
      </c>
      <c r="C78" s="11"/>
      <c r="D78" s="11"/>
      <c r="E78" t="s">
        <v>251</v>
      </c>
      <c r="F78" s="124" t="s">
        <v>109</v>
      </c>
    </row>
    <row r="79" spans="1:6" x14ac:dyDescent="0.3">
      <c r="A79" s="125">
        <v>45985</v>
      </c>
      <c r="B79" t="s">
        <v>212</v>
      </c>
      <c r="C79" s="11"/>
      <c r="D79" s="11"/>
      <c r="E79" t="s">
        <v>252</v>
      </c>
      <c r="F79" s="124" t="s">
        <v>109</v>
      </c>
    </row>
    <row r="80" spans="1:6" x14ac:dyDescent="0.3">
      <c r="A80" s="125">
        <v>45985</v>
      </c>
      <c r="B80" t="s">
        <v>247</v>
      </c>
      <c r="C80" s="11">
        <v>2600</v>
      </c>
      <c r="D80" s="11"/>
      <c r="E80" t="s">
        <v>253</v>
      </c>
      <c r="F80" s="124" t="s">
        <v>109</v>
      </c>
    </row>
    <row r="81" spans="1:6" x14ac:dyDescent="0.3">
      <c r="A81" s="125">
        <v>45983</v>
      </c>
      <c r="B81" t="s">
        <v>185</v>
      </c>
      <c r="C81" s="11">
        <v>98000</v>
      </c>
      <c r="D81" s="11"/>
      <c r="E81" t="s">
        <v>256</v>
      </c>
      <c r="F81" s="124" t="s">
        <v>109</v>
      </c>
    </row>
    <row r="82" spans="1:6" x14ac:dyDescent="0.3">
      <c r="A82" s="125">
        <v>45983</v>
      </c>
      <c r="B82" t="s">
        <v>195</v>
      </c>
      <c r="C82" s="11">
        <v>47000</v>
      </c>
      <c r="D82" s="11"/>
      <c r="E82" t="s">
        <v>127</v>
      </c>
      <c r="F82" s="124" t="s">
        <v>109</v>
      </c>
    </row>
    <row r="83" spans="1:6" x14ac:dyDescent="0.3">
      <c r="A83" s="125">
        <v>45983</v>
      </c>
      <c r="B83" t="s">
        <v>21</v>
      </c>
      <c r="C83" s="11"/>
      <c r="D83" s="11">
        <f>98000+47000</f>
        <v>145000</v>
      </c>
      <c r="E83" t="s">
        <v>257</v>
      </c>
      <c r="F83" s="124" t="s">
        <v>109</v>
      </c>
    </row>
    <row r="84" spans="1:6" x14ac:dyDescent="0.3">
      <c r="A84" s="125">
        <v>45986</v>
      </c>
      <c r="B84" t="s">
        <v>237</v>
      </c>
      <c r="C84" s="11"/>
      <c r="D84" s="11">
        <v>121000</v>
      </c>
      <c r="F84" s="124" t="s">
        <v>109</v>
      </c>
    </row>
    <row r="85" spans="1:6" x14ac:dyDescent="0.3">
      <c r="A85" s="38">
        <v>45986</v>
      </c>
      <c r="B85" t="s">
        <v>25</v>
      </c>
      <c r="C85" s="11"/>
      <c r="D85" s="97">
        <v>1353061</v>
      </c>
      <c r="F85" s="124" t="s">
        <v>109</v>
      </c>
    </row>
    <row r="86" spans="1:6" x14ac:dyDescent="0.3">
      <c r="A86" s="125">
        <v>45986</v>
      </c>
      <c r="B86" t="s">
        <v>237</v>
      </c>
      <c r="C86" s="11">
        <v>1353061</v>
      </c>
      <c r="D86" s="11"/>
      <c r="E86" t="s">
        <v>260</v>
      </c>
      <c r="F86" s="124" t="s">
        <v>109</v>
      </c>
    </row>
    <row r="87" spans="1:6" x14ac:dyDescent="0.3">
      <c r="A87" s="38">
        <v>45986</v>
      </c>
      <c r="B87" t="s">
        <v>95</v>
      </c>
      <c r="C87" s="11">
        <v>35000</v>
      </c>
      <c r="D87" s="11"/>
      <c r="E87" t="s">
        <v>271</v>
      </c>
      <c r="F87" s="124" t="s">
        <v>109</v>
      </c>
    </row>
    <row r="88" spans="1:6" x14ac:dyDescent="0.3">
      <c r="A88" s="125">
        <v>45986</v>
      </c>
      <c r="B88" t="s">
        <v>95</v>
      </c>
      <c r="C88" s="11">
        <v>72800</v>
      </c>
      <c r="D88" s="11"/>
      <c r="E88" t="s">
        <v>270</v>
      </c>
      <c r="F88" s="124" t="s">
        <v>109</v>
      </c>
    </row>
    <row r="89" spans="1:6" x14ac:dyDescent="0.3">
      <c r="A89" s="38">
        <v>45986</v>
      </c>
      <c r="B89" t="s">
        <v>55</v>
      </c>
      <c r="C89" s="11">
        <v>440</v>
      </c>
      <c r="D89" s="11"/>
      <c r="F89" s="124" t="s">
        <v>109</v>
      </c>
    </row>
    <row r="90" spans="1:6" x14ac:dyDescent="0.3">
      <c r="A90" s="125">
        <v>45986</v>
      </c>
      <c r="B90" t="s">
        <v>55</v>
      </c>
      <c r="C90" s="11">
        <v>580</v>
      </c>
      <c r="D90" s="11"/>
      <c r="F90" s="124" t="s">
        <v>109</v>
      </c>
    </row>
    <row r="91" spans="1:6" x14ac:dyDescent="0.3">
      <c r="A91" s="38">
        <v>45986</v>
      </c>
      <c r="B91" t="s">
        <v>247</v>
      </c>
      <c r="C91" s="11">
        <v>1100</v>
      </c>
      <c r="D91" s="11"/>
      <c r="F91" s="124" t="s">
        <v>109</v>
      </c>
    </row>
    <row r="92" spans="1:6" x14ac:dyDescent="0.3">
      <c r="A92" s="125">
        <v>45986</v>
      </c>
      <c r="B92" t="s">
        <v>275</v>
      </c>
      <c r="C92" s="11">
        <v>400000</v>
      </c>
      <c r="D92" s="11"/>
      <c r="E92" t="s">
        <v>261</v>
      </c>
      <c r="F92" s="124" t="s">
        <v>109</v>
      </c>
    </row>
    <row r="93" spans="1:6" x14ac:dyDescent="0.3">
      <c r="A93" s="38">
        <v>45986</v>
      </c>
      <c r="B93" t="s">
        <v>55</v>
      </c>
      <c r="C93" s="11">
        <v>20000</v>
      </c>
      <c r="D93" s="11"/>
      <c r="E93" t="s">
        <v>231</v>
      </c>
      <c r="F93" s="124" t="s">
        <v>109</v>
      </c>
    </row>
    <row r="94" spans="1:6" x14ac:dyDescent="0.3">
      <c r="A94" s="125">
        <v>45986</v>
      </c>
      <c r="B94" t="s">
        <v>185</v>
      </c>
      <c r="C94" s="11">
        <v>231500</v>
      </c>
      <c r="D94" s="11"/>
      <c r="E94" t="s">
        <v>257</v>
      </c>
      <c r="F94" s="124" t="s">
        <v>109</v>
      </c>
    </row>
    <row r="95" spans="1:6" x14ac:dyDescent="0.3">
      <c r="A95" s="38">
        <v>45986</v>
      </c>
      <c r="B95" t="s">
        <v>237</v>
      </c>
      <c r="C95" s="11"/>
      <c r="D95" s="11">
        <v>99000</v>
      </c>
      <c r="E95" t="s">
        <v>223</v>
      </c>
      <c r="F95" s="124" t="s">
        <v>109</v>
      </c>
    </row>
    <row r="96" spans="1:6" x14ac:dyDescent="0.3">
      <c r="A96" s="125">
        <v>45986</v>
      </c>
      <c r="B96" t="s">
        <v>183</v>
      </c>
      <c r="C96" s="11"/>
      <c r="D96" s="11">
        <v>1100</v>
      </c>
      <c r="E96" t="s">
        <v>262</v>
      </c>
      <c r="F96" s="124" t="s">
        <v>109</v>
      </c>
    </row>
    <row r="97" spans="1:6" x14ac:dyDescent="0.3">
      <c r="A97" s="38">
        <v>45986</v>
      </c>
      <c r="B97" t="s">
        <v>183</v>
      </c>
      <c r="C97" s="11"/>
      <c r="D97" s="11">
        <v>580</v>
      </c>
      <c r="E97" t="s">
        <v>240</v>
      </c>
      <c r="F97" s="124" t="s">
        <v>109</v>
      </c>
    </row>
    <row r="98" spans="1:6" x14ac:dyDescent="0.3">
      <c r="A98" s="125">
        <v>45986</v>
      </c>
      <c r="B98" t="s">
        <v>183</v>
      </c>
      <c r="C98" s="11"/>
      <c r="D98" s="11">
        <v>60000</v>
      </c>
      <c r="E98" t="s">
        <v>263</v>
      </c>
      <c r="F98" s="124" t="s">
        <v>109</v>
      </c>
    </row>
    <row r="99" spans="1:6" x14ac:dyDescent="0.3">
      <c r="A99" s="38">
        <v>45986</v>
      </c>
      <c r="B99" t="s">
        <v>237</v>
      </c>
      <c r="C99" s="11"/>
      <c r="D99" s="11">
        <v>55000</v>
      </c>
      <c r="F99" s="124" t="s">
        <v>109</v>
      </c>
    </row>
    <row r="100" spans="1:6" x14ac:dyDescent="0.3">
      <c r="A100" s="125">
        <v>45986</v>
      </c>
      <c r="B100" t="s">
        <v>186</v>
      </c>
      <c r="C100" s="11">
        <v>14800</v>
      </c>
      <c r="D100" s="11"/>
      <c r="E100" t="s">
        <v>264</v>
      </c>
      <c r="F100" s="124" t="s">
        <v>109</v>
      </c>
    </row>
    <row r="101" spans="1:6" x14ac:dyDescent="0.3">
      <c r="A101" s="38">
        <v>45986</v>
      </c>
      <c r="B101" t="s">
        <v>186</v>
      </c>
      <c r="C101" s="11">
        <v>10200</v>
      </c>
      <c r="D101" s="11"/>
      <c r="E101" t="s">
        <v>205</v>
      </c>
      <c r="F101" s="124" t="s">
        <v>109</v>
      </c>
    </row>
    <row r="102" spans="1:6" x14ac:dyDescent="0.3">
      <c r="A102" s="125">
        <v>45986</v>
      </c>
      <c r="B102" t="s">
        <v>212</v>
      </c>
      <c r="C102" s="11">
        <v>3000</v>
      </c>
      <c r="D102" s="11"/>
      <c r="E102" t="s">
        <v>265</v>
      </c>
      <c r="F102" s="124" t="s">
        <v>109</v>
      </c>
    </row>
    <row r="103" spans="1:6" x14ac:dyDescent="0.3">
      <c r="A103" s="38">
        <v>45986</v>
      </c>
      <c r="B103" t="s">
        <v>212</v>
      </c>
      <c r="C103" s="97"/>
      <c r="D103" s="97"/>
      <c r="E103" t="s">
        <v>266</v>
      </c>
      <c r="F103" s="124" t="s">
        <v>109</v>
      </c>
    </row>
    <row r="104" spans="1:6" x14ac:dyDescent="0.3">
      <c r="A104" s="125">
        <v>45986</v>
      </c>
      <c r="B104" t="s">
        <v>54</v>
      </c>
      <c r="C104" s="11">
        <v>10200</v>
      </c>
      <c r="D104" s="11"/>
      <c r="E104" t="s">
        <v>232</v>
      </c>
      <c r="F104" s="124" t="s">
        <v>109</v>
      </c>
    </row>
    <row r="105" spans="1:6" x14ac:dyDescent="0.3">
      <c r="A105" s="125">
        <v>45986</v>
      </c>
      <c r="B105" t="s">
        <v>183</v>
      </c>
      <c r="C105" s="11"/>
      <c r="D105" s="11">
        <v>10200</v>
      </c>
      <c r="E105" t="s">
        <v>232</v>
      </c>
      <c r="F105" s="124" t="s">
        <v>109</v>
      </c>
    </row>
    <row r="106" spans="1:6" x14ac:dyDescent="0.3">
      <c r="A106" s="125">
        <v>45986</v>
      </c>
      <c r="B106" t="s">
        <v>114</v>
      </c>
      <c r="C106" s="11">
        <v>2365</v>
      </c>
      <c r="D106" s="11"/>
      <c r="E106" s="129">
        <v>45986</v>
      </c>
      <c r="F106" s="124" t="s">
        <v>109</v>
      </c>
    </row>
    <row r="107" spans="1:6" x14ac:dyDescent="0.3">
      <c r="A107" s="38">
        <v>45986</v>
      </c>
      <c r="B107" t="s">
        <v>9</v>
      </c>
      <c r="C107" s="97"/>
      <c r="D107" s="97">
        <v>300000</v>
      </c>
      <c r="E107" t="s">
        <v>267</v>
      </c>
      <c r="F107" s="124" t="s">
        <v>109</v>
      </c>
    </row>
    <row r="108" spans="1:6" x14ac:dyDescent="0.3">
      <c r="A108" s="125">
        <v>45986</v>
      </c>
      <c r="B108" t="s">
        <v>9</v>
      </c>
      <c r="C108" s="11"/>
      <c r="D108" s="11">
        <v>150000</v>
      </c>
      <c r="E108" t="s">
        <v>267</v>
      </c>
      <c r="F108" s="124" t="s">
        <v>109</v>
      </c>
    </row>
    <row r="109" spans="1:6" x14ac:dyDescent="0.3">
      <c r="A109" s="125">
        <v>45986</v>
      </c>
      <c r="B109" t="s">
        <v>237</v>
      </c>
      <c r="C109" s="11">
        <v>450000</v>
      </c>
      <c r="D109" s="11"/>
      <c r="E109" t="s">
        <v>268</v>
      </c>
      <c r="F109" s="124" t="s">
        <v>109</v>
      </c>
    </row>
    <row r="110" spans="1:6" x14ac:dyDescent="0.3">
      <c r="A110" s="38">
        <v>45986</v>
      </c>
      <c r="B110" t="s">
        <v>183</v>
      </c>
      <c r="C110" s="97"/>
      <c r="D110" s="97">
        <v>20000</v>
      </c>
      <c r="E110" t="s">
        <v>269</v>
      </c>
      <c r="F110" s="124" t="s">
        <v>109</v>
      </c>
    </row>
    <row r="111" spans="1:6" x14ac:dyDescent="0.3">
      <c r="A111" s="38">
        <v>45985</v>
      </c>
      <c r="B111" t="s">
        <v>9</v>
      </c>
      <c r="C111" s="97"/>
      <c r="D111" s="97">
        <v>300000</v>
      </c>
      <c r="E111" t="s">
        <v>272</v>
      </c>
      <c r="F111" s="124" t="s">
        <v>109</v>
      </c>
    </row>
    <row r="112" spans="1:6" x14ac:dyDescent="0.3">
      <c r="A112" s="38">
        <v>45985</v>
      </c>
      <c r="B112" t="s">
        <v>237</v>
      </c>
      <c r="C112" s="97">
        <v>300000</v>
      </c>
      <c r="D112" s="97"/>
      <c r="E112" t="s">
        <v>273</v>
      </c>
      <c r="F112" s="124" t="s">
        <v>109</v>
      </c>
    </row>
    <row r="113" spans="1:6" x14ac:dyDescent="0.3">
      <c r="A113" s="38">
        <v>45986</v>
      </c>
      <c r="B113" t="s">
        <v>183</v>
      </c>
      <c r="C113" s="97">
        <v>1500</v>
      </c>
      <c r="D113" s="97"/>
      <c r="F113" s="124" t="s">
        <v>109</v>
      </c>
    </row>
    <row r="114" spans="1:6" x14ac:dyDescent="0.3">
      <c r="A114" s="125">
        <v>45987</v>
      </c>
      <c r="B114" t="s">
        <v>237</v>
      </c>
      <c r="C114" s="11"/>
      <c r="D114" s="11">
        <v>430000</v>
      </c>
      <c r="E114" t="s">
        <v>267</v>
      </c>
      <c r="F114" s="124" t="s">
        <v>109</v>
      </c>
    </row>
    <row r="115" spans="1:6" x14ac:dyDescent="0.3">
      <c r="A115" s="125">
        <v>45987</v>
      </c>
      <c r="B115" t="s">
        <v>27</v>
      </c>
      <c r="C115" s="11"/>
      <c r="D115" s="11">
        <v>205980</v>
      </c>
      <c r="F115" s="124" t="s">
        <v>109</v>
      </c>
    </row>
    <row r="116" spans="1:6" x14ac:dyDescent="0.3">
      <c r="A116" s="125">
        <v>45987</v>
      </c>
      <c r="B116" t="s">
        <v>356</v>
      </c>
      <c r="C116" s="11"/>
      <c r="D116" s="11">
        <v>100000</v>
      </c>
      <c r="E116" t="s">
        <v>228</v>
      </c>
      <c r="F116" s="124" t="s">
        <v>109</v>
      </c>
    </row>
    <row r="117" spans="1:6" x14ac:dyDescent="0.3">
      <c r="A117" s="125">
        <v>45987</v>
      </c>
      <c r="B117" t="s">
        <v>95</v>
      </c>
      <c r="C117" s="11">
        <v>302123</v>
      </c>
      <c r="D117" s="11"/>
      <c r="E117" t="s">
        <v>276</v>
      </c>
      <c r="F117" s="124" t="s">
        <v>109</v>
      </c>
    </row>
    <row r="118" spans="1:6" x14ac:dyDescent="0.3">
      <c r="A118" s="125">
        <v>45987</v>
      </c>
      <c r="B118" t="s">
        <v>183</v>
      </c>
      <c r="C118" s="11"/>
      <c r="D118" s="11">
        <v>2000</v>
      </c>
      <c r="E118" t="s">
        <v>277</v>
      </c>
      <c r="F118" s="124" t="s">
        <v>109</v>
      </c>
    </row>
    <row r="119" spans="1:6" x14ac:dyDescent="0.3">
      <c r="A119" s="125">
        <v>45987</v>
      </c>
      <c r="B119" t="s">
        <v>54</v>
      </c>
      <c r="C119" s="11">
        <v>2000</v>
      </c>
      <c r="D119" s="11"/>
      <c r="E119" t="s">
        <v>277</v>
      </c>
      <c r="F119" s="124" t="s">
        <v>109</v>
      </c>
    </row>
    <row r="120" spans="1:6" x14ac:dyDescent="0.3">
      <c r="A120" s="125">
        <v>45987</v>
      </c>
      <c r="B120" t="s">
        <v>54</v>
      </c>
      <c r="C120" s="11">
        <v>1500</v>
      </c>
      <c r="D120" s="11"/>
      <c r="E120" t="s">
        <v>278</v>
      </c>
      <c r="F120" s="124" t="s">
        <v>109</v>
      </c>
    </row>
    <row r="121" spans="1:6" x14ac:dyDescent="0.3">
      <c r="A121" s="125">
        <v>45987</v>
      </c>
      <c r="B121" t="s">
        <v>21</v>
      </c>
      <c r="C121" s="11"/>
      <c r="D121" s="11">
        <v>1500</v>
      </c>
      <c r="E121" t="s">
        <v>278</v>
      </c>
      <c r="F121" s="124" t="s">
        <v>109</v>
      </c>
    </row>
    <row r="122" spans="1:6" x14ac:dyDescent="0.3">
      <c r="A122" s="125">
        <v>45987</v>
      </c>
      <c r="B122" t="s">
        <v>212</v>
      </c>
      <c r="C122" s="11"/>
      <c r="D122" s="11"/>
      <c r="E122" t="s">
        <v>279</v>
      </c>
      <c r="F122" s="124" t="s">
        <v>109</v>
      </c>
    </row>
    <row r="123" spans="1:6" x14ac:dyDescent="0.3">
      <c r="A123" s="125">
        <v>45987</v>
      </c>
      <c r="B123" t="s">
        <v>186</v>
      </c>
      <c r="C123" s="11">
        <v>5800</v>
      </c>
      <c r="D123" s="11"/>
      <c r="E123" t="s">
        <v>205</v>
      </c>
      <c r="F123" s="124" t="s">
        <v>109</v>
      </c>
    </row>
    <row r="124" spans="1:6" x14ac:dyDescent="0.3">
      <c r="A124" s="125">
        <v>45987</v>
      </c>
      <c r="B124" t="s">
        <v>178</v>
      </c>
      <c r="C124" s="11">
        <v>100000</v>
      </c>
      <c r="D124" s="11"/>
      <c r="E124" t="s">
        <v>280</v>
      </c>
      <c r="F124" s="124" t="s">
        <v>109</v>
      </c>
    </row>
    <row r="125" spans="1:6" x14ac:dyDescent="0.3">
      <c r="A125" s="125">
        <v>45987</v>
      </c>
      <c r="B125" t="s">
        <v>212</v>
      </c>
      <c r="C125" s="11"/>
      <c r="D125" s="11"/>
      <c r="E125" t="s">
        <v>189</v>
      </c>
      <c r="F125" s="124" t="s">
        <v>109</v>
      </c>
    </row>
    <row r="126" spans="1:6" x14ac:dyDescent="0.3">
      <c r="A126" s="125">
        <v>45987</v>
      </c>
      <c r="B126" t="s">
        <v>55</v>
      </c>
      <c r="C126" s="11">
        <v>1000</v>
      </c>
      <c r="D126" s="11"/>
      <c r="F126" s="124" t="s">
        <v>109</v>
      </c>
    </row>
    <row r="127" spans="1:6" x14ac:dyDescent="0.3">
      <c r="A127" s="125">
        <v>45987</v>
      </c>
      <c r="B127" t="s">
        <v>212</v>
      </c>
      <c r="C127" s="11">
        <v>7000</v>
      </c>
      <c r="D127" s="11"/>
      <c r="E127" t="s">
        <v>281</v>
      </c>
      <c r="F127" s="124" t="s">
        <v>109</v>
      </c>
    </row>
    <row r="128" spans="1:6" x14ac:dyDescent="0.3">
      <c r="A128" s="125">
        <v>45987</v>
      </c>
      <c r="B128" t="s">
        <v>55</v>
      </c>
      <c r="C128" s="11">
        <v>1950</v>
      </c>
      <c r="D128" s="11"/>
      <c r="E128" t="s">
        <v>282</v>
      </c>
      <c r="F128" s="124" t="s">
        <v>109</v>
      </c>
    </row>
    <row r="129" spans="1:6" x14ac:dyDescent="0.3">
      <c r="A129" s="125">
        <v>45987</v>
      </c>
      <c r="B129" t="s">
        <v>247</v>
      </c>
      <c r="C129" s="11">
        <v>420</v>
      </c>
      <c r="D129" s="11"/>
      <c r="E129" t="s">
        <v>246</v>
      </c>
      <c r="F129" s="124" t="s">
        <v>109</v>
      </c>
    </row>
    <row r="130" spans="1:6" x14ac:dyDescent="0.3">
      <c r="A130" s="125">
        <v>45987</v>
      </c>
      <c r="B130" t="s">
        <v>21</v>
      </c>
      <c r="C130" s="11"/>
      <c r="D130" s="11">
        <v>50000</v>
      </c>
      <c r="F130" s="124" t="s">
        <v>109</v>
      </c>
    </row>
    <row r="131" spans="1:6" x14ac:dyDescent="0.3">
      <c r="A131" s="125">
        <v>45987</v>
      </c>
      <c r="B131" t="s">
        <v>21</v>
      </c>
      <c r="C131" s="11"/>
      <c r="D131" s="11">
        <v>240130</v>
      </c>
      <c r="E131" t="s">
        <v>116</v>
      </c>
      <c r="F131" s="124" t="s">
        <v>109</v>
      </c>
    </row>
    <row r="132" spans="1:6" x14ac:dyDescent="0.3">
      <c r="A132" s="125">
        <v>45987</v>
      </c>
      <c r="B132" t="s">
        <v>116</v>
      </c>
      <c r="C132" s="11">
        <v>240125</v>
      </c>
      <c r="D132" s="11"/>
      <c r="E132" t="s">
        <v>283</v>
      </c>
      <c r="F132" s="124" t="s">
        <v>109</v>
      </c>
    </row>
    <row r="133" spans="1:6" x14ac:dyDescent="0.3">
      <c r="A133" s="125">
        <v>45987</v>
      </c>
      <c r="B133" t="s">
        <v>95</v>
      </c>
      <c r="C133" s="11">
        <v>45700</v>
      </c>
      <c r="D133" s="11"/>
      <c r="E133" t="s">
        <v>284</v>
      </c>
      <c r="F133" s="124" t="s">
        <v>109</v>
      </c>
    </row>
    <row r="134" spans="1:6" x14ac:dyDescent="0.3">
      <c r="A134" s="125">
        <v>45987</v>
      </c>
      <c r="B134" t="s">
        <v>183</v>
      </c>
      <c r="C134" s="11">
        <v>620</v>
      </c>
      <c r="D134" s="11"/>
      <c r="F134" s="124" t="s">
        <v>109</v>
      </c>
    </row>
    <row r="135" spans="1:6" x14ac:dyDescent="0.3">
      <c r="A135" s="125">
        <v>45988</v>
      </c>
      <c r="B135" t="s">
        <v>286</v>
      </c>
      <c r="C135" s="11">
        <v>15000</v>
      </c>
      <c r="D135" s="11"/>
      <c r="E135" t="s">
        <v>287</v>
      </c>
      <c r="F135" s="124" t="s">
        <v>109</v>
      </c>
    </row>
    <row r="136" spans="1:6" x14ac:dyDescent="0.3">
      <c r="A136" s="125">
        <v>45988</v>
      </c>
      <c r="B136" t="s">
        <v>286</v>
      </c>
      <c r="C136" s="11">
        <v>10000</v>
      </c>
      <c r="D136" s="11"/>
      <c r="E136" t="s">
        <v>288</v>
      </c>
      <c r="F136" s="124" t="s">
        <v>109</v>
      </c>
    </row>
    <row r="137" spans="1:6" x14ac:dyDescent="0.3">
      <c r="A137" s="125">
        <v>45988</v>
      </c>
      <c r="B137" t="s">
        <v>247</v>
      </c>
      <c r="C137" s="11">
        <v>3600</v>
      </c>
      <c r="D137" s="11"/>
      <c r="E137" t="s">
        <v>289</v>
      </c>
      <c r="F137" s="124" t="s">
        <v>109</v>
      </c>
    </row>
    <row r="138" spans="1:6" x14ac:dyDescent="0.3">
      <c r="A138" s="125">
        <v>45988</v>
      </c>
      <c r="B138" t="s">
        <v>54</v>
      </c>
      <c r="C138" s="11">
        <v>1500</v>
      </c>
      <c r="D138" s="11"/>
      <c r="E138" t="s">
        <v>225</v>
      </c>
      <c r="F138" s="124" t="s">
        <v>109</v>
      </c>
    </row>
    <row r="139" spans="1:6" x14ac:dyDescent="0.3">
      <c r="A139" s="125">
        <v>45988</v>
      </c>
      <c r="B139" t="s">
        <v>186</v>
      </c>
      <c r="C139" s="11">
        <v>1300</v>
      </c>
      <c r="D139" s="11"/>
      <c r="E139" t="s">
        <v>205</v>
      </c>
      <c r="F139" s="124" t="s">
        <v>109</v>
      </c>
    </row>
    <row r="140" spans="1:6" x14ac:dyDescent="0.3">
      <c r="A140" s="125">
        <v>45988</v>
      </c>
      <c r="B140" t="s">
        <v>220</v>
      </c>
      <c r="C140" s="11">
        <v>5000</v>
      </c>
      <c r="D140" s="11"/>
      <c r="E140" t="s">
        <v>290</v>
      </c>
      <c r="F140" s="124" t="s">
        <v>109</v>
      </c>
    </row>
    <row r="141" spans="1:6" x14ac:dyDescent="0.3">
      <c r="A141" s="125">
        <v>45988</v>
      </c>
      <c r="B141" t="s">
        <v>212</v>
      </c>
      <c r="C141" s="11"/>
      <c r="D141" s="11"/>
      <c r="E141" t="s">
        <v>291</v>
      </c>
      <c r="F141" s="124" t="s">
        <v>109</v>
      </c>
    </row>
    <row r="142" spans="1:6" x14ac:dyDescent="0.3">
      <c r="A142" s="125">
        <v>45988</v>
      </c>
      <c r="B142" t="s">
        <v>95</v>
      </c>
      <c r="C142" s="97">
        <v>106000</v>
      </c>
      <c r="D142" s="97"/>
      <c r="E142" t="s">
        <v>292</v>
      </c>
      <c r="F142" s="124" t="s">
        <v>109</v>
      </c>
    </row>
    <row r="143" spans="1:6" x14ac:dyDescent="0.3">
      <c r="A143" s="125">
        <v>45988</v>
      </c>
      <c r="B143" t="s">
        <v>183</v>
      </c>
      <c r="C143" s="11"/>
      <c r="D143" s="11">
        <v>3600</v>
      </c>
      <c r="E143" t="s">
        <v>289</v>
      </c>
      <c r="F143" s="124" t="s">
        <v>109</v>
      </c>
    </row>
    <row r="144" spans="1:6" x14ac:dyDescent="0.3">
      <c r="A144" s="125">
        <v>45988</v>
      </c>
      <c r="B144" t="s">
        <v>183</v>
      </c>
      <c r="C144" s="11"/>
      <c r="D144" s="11">
        <v>1600</v>
      </c>
      <c r="E144" t="s">
        <v>293</v>
      </c>
      <c r="F144" s="124" t="s">
        <v>109</v>
      </c>
    </row>
    <row r="145" spans="1:6" x14ac:dyDescent="0.3">
      <c r="A145" s="125">
        <v>45988</v>
      </c>
      <c r="B145" t="s">
        <v>206</v>
      </c>
      <c r="C145" s="11">
        <v>175000</v>
      </c>
      <c r="D145" s="11"/>
      <c r="F145" s="124" t="s">
        <v>109</v>
      </c>
    </row>
    <row r="146" spans="1:6" x14ac:dyDescent="0.3">
      <c r="A146" s="125">
        <v>45988</v>
      </c>
      <c r="B146" t="s">
        <v>55</v>
      </c>
      <c r="C146" s="97">
        <v>15000</v>
      </c>
      <c r="D146" s="97"/>
      <c r="E146" t="s">
        <v>294</v>
      </c>
      <c r="F146" s="124" t="s">
        <v>109</v>
      </c>
    </row>
    <row r="147" spans="1:6" x14ac:dyDescent="0.3">
      <c r="A147" s="125">
        <v>45988</v>
      </c>
      <c r="B147" t="s">
        <v>295</v>
      </c>
      <c r="C147" s="11"/>
      <c r="D147" s="11">
        <v>90000</v>
      </c>
      <c r="E147" t="s">
        <v>296</v>
      </c>
      <c r="F147" s="124" t="s">
        <v>109</v>
      </c>
    </row>
    <row r="148" spans="1:6" x14ac:dyDescent="0.3">
      <c r="A148" s="125">
        <v>45988</v>
      </c>
      <c r="B148" t="s">
        <v>297</v>
      </c>
      <c r="C148" s="11"/>
      <c r="D148" s="11">
        <v>100000</v>
      </c>
      <c r="E148" t="s">
        <v>228</v>
      </c>
      <c r="F148" s="124" t="s">
        <v>109</v>
      </c>
    </row>
    <row r="149" spans="1:6" x14ac:dyDescent="0.3">
      <c r="A149" s="125">
        <v>45988</v>
      </c>
      <c r="B149" t="s">
        <v>21</v>
      </c>
      <c r="C149" s="11"/>
      <c r="D149" s="11">
        <v>4500</v>
      </c>
      <c r="E149" t="s">
        <v>298</v>
      </c>
      <c r="F149" s="124" t="s">
        <v>109</v>
      </c>
    </row>
    <row r="150" spans="1:6" x14ac:dyDescent="0.3">
      <c r="A150" s="125">
        <v>45988</v>
      </c>
      <c r="B150" t="s">
        <v>54</v>
      </c>
      <c r="C150" s="11">
        <v>4500</v>
      </c>
      <c r="D150" s="11"/>
      <c r="E150" t="s">
        <v>298</v>
      </c>
      <c r="F150" s="124" t="s">
        <v>109</v>
      </c>
    </row>
    <row r="151" spans="1:6" x14ac:dyDescent="0.3">
      <c r="A151" s="125">
        <v>45988</v>
      </c>
      <c r="B151" t="s">
        <v>54</v>
      </c>
      <c r="C151" s="11">
        <v>5352</v>
      </c>
      <c r="D151" s="11"/>
      <c r="E151" t="s">
        <v>232</v>
      </c>
      <c r="F151" s="124" t="s">
        <v>109</v>
      </c>
    </row>
    <row r="152" spans="1:6" x14ac:dyDescent="0.3">
      <c r="A152" s="125">
        <v>45988</v>
      </c>
      <c r="B152" t="s">
        <v>183</v>
      </c>
      <c r="C152" s="11"/>
      <c r="D152" s="11">
        <v>5352</v>
      </c>
      <c r="E152" t="s">
        <v>232</v>
      </c>
      <c r="F152" s="124" t="s">
        <v>109</v>
      </c>
    </row>
    <row r="153" spans="1:6" x14ac:dyDescent="0.3">
      <c r="A153" s="125">
        <v>45988</v>
      </c>
      <c r="B153" t="s">
        <v>21</v>
      </c>
      <c r="C153" s="11"/>
      <c r="D153" s="11">
        <v>85000</v>
      </c>
      <c r="E153" t="s">
        <v>302</v>
      </c>
      <c r="F153" s="124" t="s">
        <v>109</v>
      </c>
    </row>
    <row r="154" spans="1:6" x14ac:dyDescent="0.3">
      <c r="A154" s="38">
        <v>45988</v>
      </c>
      <c r="B154" t="s">
        <v>303</v>
      </c>
      <c r="C154" s="97">
        <v>85000</v>
      </c>
      <c r="D154" s="97"/>
      <c r="E154" t="s">
        <v>304</v>
      </c>
      <c r="F154" s="124" t="s">
        <v>109</v>
      </c>
    </row>
    <row r="155" spans="1:6" x14ac:dyDescent="0.3">
      <c r="A155" s="125">
        <v>45989</v>
      </c>
      <c r="B155" t="s">
        <v>183</v>
      </c>
      <c r="C155" s="11"/>
      <c r="D155" s="11">
        <v>5350</v>
      </c>
      <c r="E155" t="s">
        <v>232</v>
      </c>
      <c r="F155" s="124" t="s">
        <v>109</v>
      </c>
    </row>
    <row r="156" spans="1:6" x14ac:dyDescent="0.3">
      <c r="A156" s="125">
        <v>45989</v>
      </c>
      <c r="B156" t="s">
        <v>54</v>
      </c>
      <c r="C156" s="11">
        <v>5350</v>
      </c>
      <c r="D156" s="11"/>
      <c r="E156" t="s">
        <v>232</v>
      </c>
      <c r="F156" s="124" t="s">
        <v>109</v>
      </c>
    </row>
    <row r="157" spans="1:6" x14ac:dyDescent="0.3">
      <c r="A157" s="125">
        <v>45989</v>
      </c>
      <c r="B157" t="s">
        <v>212</v>
      </c>
      <c r="C157" s="11">
        <v>9000</v>
      </c>
      <c r="D157" s="11"/>
      <c r="E157" t="s">
        <v>305</v>
      </c>
      <c r="F157" s="124" t="s">
        <v>109</v>
      </c>
    </row>
    <row r="158" spans="1:6" x14ac:dyDescent="0.3">
      <c r="A158" s="125">
        <v>45989</v>
      </c>
      <c r="B158" t="s">
        <v>183</v>
      </c>
      <c r="C158" s="11"/>
      <c r="D158" s="11">
        <v>5000</v>
      </c>
      <c r="E158" t="s">
        <v>306</v>
      </c>
      <c r="F158" s="124" t="s">
        <v>109</v>
      </c>
    </row>
    <row r="159" spans="1:6" x14ac:dyDescent="0.3">
      <c r="A159" s="125">
        <v>45989</v>
      </c>
      <c r="B159" t="s">
        <v>21</v>
      </c>
      <c r="C159" s="11"/>
      <c r="D159" s="11">
        <v>50000</v>
      </c>
      <c r="E159" t="s">
        <v>307</v>
      </c>
      <c r="F159" s="124" t="s">
        <v>109</v>
      </c>
    </row>
    <row r="160" spans="1:6" x14ac:dyDescent="0.3">
      <c r="A160" s="125">
        <v>45989</v>
      </c>
      <c r="B160" t="s">
        <v>237</v>
      </c>
      <c r="C160" s="97"/>
      <c r="D160" s="97">
        <v>100000</v>
      </c>
      <c r="F160" s="124" t="s">
        <v>109</v>
      </c>
    </row>
    <row r="161" spans="1:12" x14ac:dyDescent="0.3">
      <c r="A161" s="125">
        <v>45989</v>
      </c>
      <c r="B161" t="s">
        <v>9</v>
      </c>
      <c r="C161" s="11"/>
      <c r="D161" s="11">
        <v>300000</v>
      </c>
      <c r="E161" t="s">
        <v>228</v>
      </c>
      <c r="F161" s="124" t="s">
        <v>109</v>
      </c>
    </row>
    <row r="162" spans="1:12" x14ac:dyDescent="0.3">
      <c r="A162" s="125">
        <v>45989</v>
      </c>
      <c r="B162" t="s">
        <v>9</v>
      </c>
      <c r="C162" s="11"/>
      <c r="D162" s="11">
        <v>200000</v>
      </c>
      <c r="E162" t="s">
        <v>228</v>
      </c>
      <c r="F162" s="124" t="s">
        <v>109</v>
      </c>
    </row>
    <row r="163" spans="1:12" x14ac:dyDescent="0.3">
      <c r="A163" s="125">
        <v>45989</v>
      </c>
      <c r="B163" t="s">
        <v>95</v>
      </c>
      <c r="C163" s="11">
        <v>46100</v>
      </c>
      <c r="D163" s="11"/>
      <c r="E163" t="s">
        <v>310</v>
      </c>
      <c r="F163" s="124" t="s">
        <v>109</v>
      </c>
      <c r="J163" s="3" t="s">
        <v>6</v>
      </c>
      <c r="K163" t="s">
        <v>119</v>
      </c>
      <c r="L163" t="s">
        <v>120</v>
      </c>
    </row>
    <row r="164" spans="1:12" x14ac:dyDescent="0.3">
      <c r="A164" s="125">
        <v>45989</v>
      </c>
      <c r="B164" t="s">
        <v>237</v>
      </c>
      <c r="C164" s="11"/>
      <c r="D164" s="11">
        <v>100000</v>
      </c>
      <c r="F164" s="124" t="s">
        <v>109</v>
      </c>
      <c r="J164" s="4" t="s">
        <v>220</v>
      </c>
      <c r="K164" s="14"/>
      <c r="L164" s="14">
        <v>509000</v>
      </c>
    </row>
    <row r="165" spans="1:12" x14ac:dyDescent="0.3">
      <c r="A165" s="125">
        <v>45989</v>
      </c>
      <c r="B165" t="s">
        <v>237</v>
      </c>
      <c r="C165" s="11"/>
      <c r="D165" s="11">
        <v>47500</v>
      </c>
      <c r="F165" s="124" t="s">
        <v>109</v>
      </c>
      <c r="J165" s="4" t="s">
        <v>9</v>
      </c>
      <c r="K165" s="14">
        <v>1600000</v>
      </c>
      <c r="L165" s="14"/>
    </row>
    <row r="166" spans="1:12" x14ac:dyDescent="0.3">
      <c r="A166" s="125">
        <v>45989</v>
      </c>
      <c r="B166" t="s">
        <v>21</v>
      </c>
      <c r="C166" s="11"/>
      <c r="D166" s="11">
        <v>25000</v>
      </c>
      <c r="F166" s="124" t="s">
        <v>109</v>
      </c>
      <c r="J166" s="4" t="s">
        <v>21</v>
      </c>
      <c r="K166" s="14">
        <v>1339058</v>
      </c>
      <c r="L166" s="14"/>
    </row>
    <row r="167" spans="1:12" x14ac:dyDescent="0.3">
      <c r="A167" s="125">
        <v>45989</v>
      </c>
      <c r="B167" t="s">
        <v>55</v>
      </c>
      <c r="C167" s="11">
        <v>25000</v>
      </c>
      <c r="D167" s="11"/>
      <c r="E167" t="s">
        <v>231</v>
      </c>
      <c r="F167" s="124" t="s">
        <v>109</v>
      </c>
      <c r="J167" s="4" t="s">
        <v>118</v>
      </c>
      <c r="K167" s="14"/>
      <c r="L167" s="14">
        <v>24000</v>
      </c>
    </row>
    <row r="168" spans="1:12" x14ac:dyDescent="0.3">
      <c r="A168" s="125">
        <v>45989</v>
      </c>
      <c r="B168" t="s">
        <v>183</v>
      </c>
      <c r="C168" s="11">
        <v>5000</v>
      </c>
      <c r="D168" s="11"/>
      <c r="E168" t="s">
        <v>308</v>
      </c>
      <c r="F168" s="124" t="s">
        <v>109</v>
      </c>
      <c r="J168" s="4" t="s">
        <v>95</v>
      </c>
      <c r="K168" s="14"/>
      <c r="L168" s="14">
        <v>3708413</v>
      </c>
    </row>
    <row r="169" spans="1:12" x14ac:dyDescent="0.3">
      <c r="A169" s="125">
        <v>45988</v>
      </c>
      <c r="B169" t="s">
        <v>183</v>
      </c>
      <c r="C169" s="11">
        <v>1000</v>
      </c>
      <c r="D169" s="11"/>
      <c r="F169" s="124" t="s">
        <v>109</v>
      </c>
      <c r="J169" s="4" t="s">
        <v>247</v>
      </c>
      <c r="K169" s="14"/>
      <c r="L169" s="14">
        <v>14620</v>
      </c>
    </row>
    <row r="170" spans="1:12" x14ac:dyDescent="0.3">
      <c r="A170" s="125">
        <v>45989</v>
      </c>
      <c r="B170" t="s">
        <v>247</v>
      </c>
      <c r="C170" s="11">
        <v>500</v>
      </c>
      <c r="D170" s="11"/>
      <c r="E170" t="s">
        <v>309</v>
      </c>
      <c r="F170" s="124" t="s">
        <v>109</v>
      </c>
      <c r="J170" s="4" t="s">
        <v>55</v>
      </c>
      <c r="K170" s="14"/>
      <c r="L170" s="14">
        <v>326064</v>
      </c>
    </row>
    <row r="171" spans="1:12" x14ac:dyDescent="0.3">
      <c r="A171" s="125">
        <v>45990</v>
      </c>
      <c r="B171" t="s">
        <v>183</v>
      </c>
      <c r="C171" s="11"/>
      <c r="D171" s="11">
        <v>10310</v>
      </c>
      <c r="E171" t="s">
        <v>114</v>
      </c>
      <c r="F171" s="124" t="s">
        <v>109</v>
      </c>
      <c r="J171" s="4" t="s">
        <v>114</v>
      </c>
      <c r="K171" s="14"/>
      <c r="L171" s="14">
        <v>125170</v>
      </c>
    </row>
    <row r="172" spans="1:12" x14ac:dyDescent="0.3">
      <c r="A172" s="125">
        <v>45990</v>
      </c>
      <c r="B172" t="s">
        <v>114</v>
      </c>
      <c r="C172" s="11">
        <v>10310</v>
      </c>
      <c r="D172" s="11"/>
      <c r="E172" t="s">
        <v>311</v>
      </c>
      <c r="F172" s="124" t="s">
        <v>109</v>
      </c>
      <c r="J172" s="4" t="s">
        <v>212</v>
      </c>
      <c r="K172" s="14"/>
      <c r="L172" s="14">
        <v>151850</v>
      </c>
    </row>
    <row r="173" spans="1:12" x14ac:dyDescent="0.3">
      <c r="A173" s="125">
        <v>45990</v>
      </c>
      <c r="B173" t="s">
        <v>54</v>
      </c>
      <c r="C173" s="11">
        <v>16100</v>
      </c>
      <c r="D173" s="11"/>
      <c r="E173" t="s">
        <v>232</v>
      </c>
      <c r="F173" s="124" t="s">
        <v>109</v>
      </c>
      <c r="J173" s="4" t="s">
        <v>54</v>
      </c>
      <c r="K173" s="14"/>
      <c r="L173" s="14">
        <v>160740</v>
      </c>
    </row>
    <row r="174" spans="1:12" x14ac:dyDescent="0.3">
      <c r="A174" s="125">
        <v>45990</v>
      </c>
      <c r="B174" t="s">
        <v>54</v>
      </c>
      <c r="C174" s="11">
        <v>3000</v>
      </c>
      <c r="D174" s="11"/>
      <c r="E174" t="s">
        <v>232</v>
      </c>
      <c r="F174" s="124" t="s">
        <v>109</v>
      </c>
      <c r="J174" s="4" t="s">
        <v>186</v>
      </c>
      <c r="K174" s="14"/>
      <c r="L174" s="14">
        <v>146970</v>
      </c>
    </row>
    <row r="175" spans="1:12" x14ac:dyDescent="0.3">
      <c r="A175" s="125">
        <v>45990</v>
      </c>
      <c r="B175" t="s">
        <v>21</v>
      </c>
      <c r="C175" s="11"/>
      <c r="D175" s="11">
        <v>13500</v>
      </c>
      <c r="E175" t="s">
        <v>232</v>
      </c>
      <c r="F175" s="124" t="s">
        <v>109</v>
      </c>
      <c r="J175" s="4" t="s">
        <v>397</v>
      </c>
      <c r="K175" s="14"/>
      <c r="L175" s="14">
        <v>2000</v>
      </c>
    </row>
    <row r="176" spans="1:12" x14ac:dyDescent="0.3">
      <c r="A176" s="125">
        <v>45990</v>
      </c>
      <c r="B176" t="s">
        <v>21</v>
      </c>
      <c r="C176" s="11"/>
      <c r="D176" s="11">
        <v>19000</v>
      </c>
      <c r="E176" t="s">
        <v>290</v>
      </c>
      <c r="F176" s="124" t="s">
        <v>109</v>
      </c>
      <c r="J176" s="4" t="s">
        <v>183</v>
      </c>
      <c r="K176" s="14">
        <v>127092</v>
      </c>
      <c r="L176" s="14">
        <v>16070</v>
      </c>
    </row>
    <row r="177" spans="1:12" x14ac:dyDescent="0.3">
      <c r="A177" s="125">
        <v>45990</v>
      </c>
      <c r="B177" t="s">
        <v>220</v>
      </c>
      <c r="C177" s="97">
        <v>20000</v>
      </c>
      <c r="D177" s="97"/>
      <c r="E177" t="s">
        <v>290</v>
      </c>
      <c r="F177" s="124" t="s">
        <v>109</v>
      </c>
      <c r="J177" s="4" t="s">
        <v>227</v>
      </c>
      <c r="K177" s="14">
        <v>500000</v>
      </c>
      <c r="L177" s="14"/>
    </row>
    <row r="178" spans="1:12" x14ac:dyDescent="0.3">
      <c r="A178" s="125">
        <v>45990</v>
      </c>
      <c r="B178" t="s">
        <v>21</v>
      </c>
      <c r="C178" s="11"/>
      <c r="D178" s="11">
        <v>46000</v>
      </c>
      <c r="E178" t="s">
        <v>223</v>
      </c>
      <c r="F178" s="124" t="s">
        <v>109</v>
      </c>
      <c r="J178" s="4" t="s">
        <v>104</v>
      </c>
      <c r="K178" s="14"/>
      <c r="L178" s="14"/>
    </row>
    <row r="179" spans="1:12" x14ac:dyDescent="0.3">
      <c r="A179" s="125">
        <v>45990</v>
      </c>
      <c r="B179" t="s">
        <v>185</v>
      </c>
      <c r="C179" s="11">
        <v>46000</v>
      </c>
      <c r="D179" s="11"/>
      <c r="E179" t="s">
        <v>312</v>
      </c>
      <c r="F179" s="124" t="s">
        <v>109</v>
      </c>
      <c r="J179" s="4" t="s">
        <v>25</v>
      </c>
      <c r="K179" s="14">
        <v>1353061</v>
      </c>
      <c r="L179" s="14"/>
    </row>
    <row r="180" spans="1:12" x14ac:dyDescent="0.3">
      <c r="A180" s="125">
        <v>45990</v>
      </c>
      <c r="B180" t="s">
        <v>237</v>
      </c>
      <c r="C180" s="11"/>
      <c r="D180" s="11">
        <v>260000</v>
      </c>
      <c r="F180" s="124" t="s">
        <v>109</v>
      </c>
      <c r="J180" s="4" t="s">
        <v>27</v>
      </c>
      <c r="K180" s="14">
        <v>505980</v>
      </c>
      <c r="L180" s="14"/>
    </row>
    <row r="181" spans="1:12" x14ac:dyDescent="0.3">
      <c r="A181" s="125">
        <v>45990</v>
      </c>
      <c r="B181" t="s">
        <v>95</v>
      </c>
      <c r="C181" s="11">
        <v>200000</v>
      </c>
      <c r="D181" s="11"/>
      <c r="E181" t="s">
        <v>313</v>
      </c>
      <c r="F181" s="124" t="s">
        <v>109</v>
      </c>
      <c r="J181" s="4" t="s">
        <v>116</v>
      </c>
      <c r="K181" s="14"/>
      <c r="L181" s="14">
        <v>240125</v>
      </c>
    </row>
    <row r="182" spans="1:12" x14ac:dyDescent="0.3">
      <c r="A182" s="125">
        <v>45990</v>
      </c>
      <c r="B182" t="s">
        <v>237</v>
      </c>
      <c r="C182" s="11">
        <v>50000</v>
      </c>
      <c r="D182" s="11"/>
      <c r="E182" t="s">
        <v>167</v>
      </c>
      <c r="F182" s="124" t="s">
        <v>109</v>
      </c>
      <c r="J182" s="4" t="s">
        <v>35</v>
      </c>
      <c r="K182" s="14">
        <v>10040</v>
      </c>
      <c r="L182" s="14"/>
    </row>
    <row r="183" spans="1:12" x14ac:dyDescent="0.3">
      <c r="A183" s="125">
        <v>45990</v>
      </c>
      <c r="B183" t="s">
        <v>167</v>
      </c>
      <c r="C183" s="11"/>
      <c r="D183" s="11">
        <v>50000</v>
      </c>
      <c r="F183" s="124" t="s">
        <v>109</v>
      </c>
      <c r="J183" s="4" t="s">
        <v>387</v>
      </c>
      <c r="K183" s="14">
        <v>100000</v>
      </c>
      <c r="L183" s="14"/>
    </row>
    <row r="184" spans="1:12" x14ac:dyDescent="0.3">
      <c r="A184" s="125">
        <v>45990</v>
      </c>
      <c r="B184" t="s">
        <v>297</v>
      </c>
      <c r="C184" s="11"/>
      <c r="D184" s="11">
        <v>200000</v>
      </c>
      <c r="F184" s="124" t="s">
        <v>109</v>
      </c>
      <c r="J184" s="4" t="s">
        <v>150</v>
      </c>
      <c r="K184" s="14"/>
      <c r="L184" s="14">
        <v>90000</v>
      </c>
    </row>
    <row r="185" spans="1:12" x14ac:dyDescent="0.3">
      <c r="A185" s="125">
        <v>45990</v>
      </c>
      <c r="B185" t="s">
        <v>95</v>
      </c>
      <c r="C185" s="11">
        <v>200338</v>
      </c>
      <c r="D185" s="11"/>
      <c r="E185" t="s">
        <v>314</v>
      </c>
      <c r="F185" s="124" t="s">
        <v>109</v>
      </c>
      <c r="J185" s="4" t="s">
        <v>153</v>
      </c>
      <c r="K185" s="14">
        <v>1705000</v>
      </c>
      <c r="L185" s="14"/>
    </row>
    <row r="186" spans="1:12" x14ac:dyDescent="0.3">
      <c r="A186" s="125">
        <v>45990</v>
      </c>
      <c r="B186" t="s">
        <v>21</v>
      </c>
      <c r="C186" s="11"/>
      <c r="D186" s="11">
        <v>10000</v>
      </c>
      <c r="E186" t="s">
        <v>315</v>
      </c>
      <c r="F186" s="124" t="s">
        <v>109</v>
      </c>
      <c r="J186" s="4" t="s">
        <v>167</v>
      </c>
      <c r="K186" s="14">
        <v>925217</v>
      </c>
      <c r="L186" s="14"/>
    </row>
    <row r="187" spans="1:12" x14ac:dyDescent="0.3">
      <c r="A187" s="125">
        <v>45990</v>
      </c>
      <c r="B187" t="s">
        <v>220</v>
      </c>
      <c r="C187" s="11">
        <v>10000</v>
      </c>
      <c r="D187" s="11"/>
      <c r="E187" t="s">
        <v>221</v>
      </c>
      <c r="F187" s="124" t="s">
        <v>109</v>
      </c>
      <c r="J187" s="4" t="s">
        <v>206</v>
      </c>
      <c r="K187" s="14"/>
      <c r="L187" s="14">
        <v>477500</v>
      </c>
    </row>
    <row r="188" spans="1:12" x14ac:dyDescent="0.3">
      <c r="A188" s="125">
        <v>45990</v>
      </c>
      <c r="B188" t="s">
        <v>212</v>
      </c>
      <c r="C188" s="11">
        <v>1000</v>
      </c>
      <c r="D188" s="11"/>
      <c r="E188" t="s">
        <v>316</v>
      </c>
      <c r="F188" s="124" t="s">
        <v>109</v>
      </c>
      <c r="J188" s="4" t="s">
        <v>178</v>
      </c>
      <c r="K188" s="14"/>
      <c r="L188" s="14">
        <v>200000</v>
      </c>
    </row>
    <row r="189" spans="1:12" x14ac:dyDescent="0.3">
      <c r="A189" s="125">
        <v>45990</v>
      </c>
      <c r="B189" t="s">
        <v>183</v>
      </c>
      <c r="C189" s="11"/>
      <c r="D189" s="11">
        <v>1000</v>
      </c>
      <c r="E189" t="s">
        <v>317</v>
      </c>
      <c r="F189" s="124" t="s">
        <v>109</v>
      </c>
      <c r="J189" s="4" t="s">
        <v>237</v>
      </c>
      <c r="K189" s="14">
        <v>2671310</v>
      </c>
      <c r="L189" s="14">
        <v>4276426</v>
      </c>
    </row>
    <row r="190" spans="1:12" x14ac:dyDescent="0.3">
      <c r="A190" s="125">
        <v>45990</v>
      </c>
      <c r="B190" t="s">
        <v>183</v>
      </c>
      <c r="C190" s="11"/>
      <c r="D190" s="11">
        <v>1000</v>
      </c>
      <c r="E190" t="s">
        <v>318</v>
      </c>
      <c r="F190" s="124" t="s">
        <v>109</v>
      </c>
      <c r="J190" s="4" t="s">
        <v>184</v>
      </c>
      <c r="K190" s="14">
        <v>2000000</v>
      </c>
      <c r="L190" s="14"/>
    </row>
    <row r="191" spans="1:12" x14ac:dyDescent="0.3">
      <c r="A191" s="125">
        <v>45990</v>
      </c>
      <c r="B191" t="s">
        <v>21</v>
      </c>
      <c r="C191" s="11"/>
      <c r="D191" s="11">
        <v>11150</v>
      </c>
      <c r="E191" t="s">
        <v>319</v>
      </c>
      <c r="F191" s="124" t="s">
        <v>109</v>
      </c>
      <c r="J191" s="4" t="s">
        <v>185</v>
      </c>
      <c r="K191" s="14"/>
      <c r="L191" s="14">
        <v>1080650</v>
      </c>
    </row>
    <row r="192" spans="1:12" x14ac:dyDescent="0.3">
      <c r="A192" s="125">
        <v>45990</v>
      </c>
      <c r="B192" t="s">
        <v>55</v>
      </c>
      <c r="C192" s="11">
        <v>11150</v>
      </c>
      <c r="D192" s="11"/>
      <c r="E192" t="s">
        <v>319</v>
      </c>
      <c r="F192" s="124" t="s">
        <v>109</v>
      </c>
      <c r="J192" s="4" t="s">
        <v>236</v>
      </c>
      <c r="K192" s="14">
        <v>1500000</v>
      </c>
      <c r="L192" s="14"/>
    </row>
    <row r="193" spans="1:12" x14ac:dyDescent="0.3">
      <c r="A193" s="125">
        <v>45990</v>
      </c>
      <c r="B193" t="s">
        <v>21</v>
      </c>
      <c r="C193" s="11"/>
      <c r="D193" s="11">
        <v>52000</v>
      </c>
      <c r="E193" t="s">
        <v>320</v>
      </c>
      <c r="F193" s="124" t="s">
        <v>109</v>
      </c>
      <c r="J193" s="4" t="s">
        <v>179</v>
      </c>
      <c r="K193" s="14">
        <v>120205</v>
      </c>
      <c r="L193" s="14"/>
    </row>
    <row r="194" spans="1:12" x14ac:dyDescent="0.3">
      <c r="A194" s="38">
        <v>45990</v>
      </c>
      <c r="C194" s="97"/>
      <c r="D194" s="97"/>
      <c r="F194" s="124"/>
      <c r="J194" s="4" t="s">
        <v>193</v>
      </c>
      <c r="K194" s="14"/>
      <c r="L194" s="14">
        <v>4000</v>
      </c>
    </row>
    <row r="195" spans="1:12" x14ac:dyDescent="0.3">
      <c r="A195" s="125">
        <v>45991</v>
      </c>
      <c r="B195" t="s">
        <v>21</v>
      </c>
      <c r="C195" s="97"/>
      <c r="D195" s="97">
        <v>10000</v>
      </c>
      <c r="E195" t="s">
        <v>189</v>
      </c>
      <c r="F195" s="124" t="s">
        <v>109</v>
      </c>
      <c r="J195" s="4" t="s">
        <v>195</v>
      </c>
      <c r="K195" s="14"/>
      <c r="L195" s="14">
        <v>60000</v>
      </c>
    </row>
    <row r="196" spans="1:12" x14ac:dyDescent="0.3">
      <c r="A196" s="125">
        <v>45991</v>
      </c>
      <c r="B196" t="s">
        <v>212</v>
      </c>
      <c r="C196" s="97"/>
      <c r="D196" s="97"/>
      <c r="E196" t="s">
        <v>189</v>
      </c>
      <c r="F196" s="124" t="s">
        <v>109</v>
      </c>
      <c r="J196" s="4" t="s">
        <v>203</v>
      </c>
      <c r="K196" s="14">
        <v>-1257831</v>
      </c>
      <c r="L196" s="14"/>
    </row>
    <row r="197" spans="1:12" x14ac:dyDescent="0.3">
      <c r="A197" s="38">
        <v>45991</v>
      </c>
      <c r="B197" t="s">
        <v>186</v>
      </c>
      <c r="C197" s="11">
        <v>3000</v>
      </c>
      <c r="D197" s="11"/>
      <c r="E197" t="s">
        <v>321</v>
      </c>
      <c r="F197" s="124" t="s">
        <v>109</v>
      </c>
      <c r="J197" s="4" t="s">
        <v>51</v>
      </c>
      <c r="K197" s="14"/>
      <c r="L197" s="14">
        <v>1803475</v>
      </c>
    </row>
    <row r="198" spans="1:12" x14ac:dyDescent="0.3">
      <c r="A198" s="38">
        <v>45991</v>
      </c>
      <c r="B198" t="s">
        <v>186</v>
      </c>
      <c r="C198" s="11">
        <v>5000</v>
      </c>
      <c r="D198" s="11"/>
      <c r="E198" t="s">
        <v>322</v>
      </c>
      <c r="F198" s="124" t="s">
        <v>109</v>
      </c>
      <c r="J198" s="4" t="s">
        <v>149</v>
      </c>
      <c r="K198" s="14">
        <v>130000</v>
      </c>
      <c r="L198" s="14"/>
    </row>
    <row r="199" spans="1:12" x14ac:dyDescent="0.3">
      <c r="A199" s="38">
        <v>45991</v>
      </c>
      <c r="B199" t="s">
        <v>186</v>
      </c>
      <c r="C199" s="11">
        <v>3520</v>
      </c>
      <c r="D199" s="11"/>
      <c r="E199" t="s">
        <v>323</v>
      </c>
      <c r="F199" s="124" t="s">
        <v>109</v>
      </c>
      <c r="J199" s="4" t="s">
        <v>275</v>
      </c>
      <c r="K199" s="14"/>
      <c r="L199" s="14">
        <v>624000</v>
      </c>
    </row>
    <row r="200" spans="1:12" x14ac:dyDescent="0.3">
      <c r="A200" s="38">
        <v>45991</v>
      </c>
      <c r="B200" t="s">
        <v>186</v>
      </c>
      <c r="C200" s="11">
        <v>1000</v>
      </c>
      <c r="D200" s="11"/>
      <c r="E200" t="s">
        <v>324</v>
      </c>
      <c r="F200" s="124" t="s">
        <v>109</v>
      </c>
      <c r="J200" s="4" t="s">
        <v>286</v>
      </c>
      <c r="K200" s="14">
        <v>16200</v>
      </c>
      <c r="L200" s="14">
        <v>61000</v>
      </c>
    </row>
    <row r="201" spans="1:12" x14ac:dyDescent="0.3">
      <c r="A201" s="38">
        <v>45992</v>
      </c>
      <c r="B201" t="s">
        <v>186</v>
      </c>
      <c r="C201" s="11">
        <v>3000</v>
      </c>
      <c r="D201" s="11"/>
      <c r="E201" t="s">
        <v>209</v>
      </c>
      <c r="F201" s="124" t="s">
        <v>109</v>
      </c>
      <c r="J201" s="4" t="s">
        <v>297</v>
      </c>
      <c r="K201" s="14">
        <v>337000</v>
      </c>
      <c r="L201" s="14"/>
    </row>
    <row r="202" spans="1:12" x14ac:dyDescent="0.3">
      <c r="A202" s="38">
        <v>45992</v>
      </c>
      <c r="B202" t="s">
        <v>186</v>
      </c>
      <c r="C202" s="11">
        <v>500</v>
      </c>
      <c r="D202" s="11"/>
      <c r="E202" t="s">
        <v>325</v>
      </c>
      <c r="F202" s="124" t="s">
        <v>109</v>
      </c>
      <c r="J202" s="4" t="s">
        <v>303</v>
      </c>
      <c r="K202" s="14"/>
      <c r="L202" s="14">
        <v>85000</v>
      </c>
    </row>
    <row r="203" spans="1:12" x14ac:dyDescent="0.3">
      <c r="A203" s="38">
        <v>45992</v>
      </c>
      <c r="B203" t="s">
        <v>114</v>
      </c>
      <c r="C203" s="97">
        <v>20000</v>
      </c>
      <c r="D203" s="97"/>
      <c r="E203" t="s">
        <v>249</v>
      </c>
      <c r="F203" s="124" t="s">
        <v>109</v>
      </c>
      <c r="J203" s="4" t="s">
        <v>332</v>
      </c>
      <c r="K203" s="14">
        <v>1103325</v>
      </c>
      <c r="L203" s="14"/>
    </row>
    <row r="204" spans="1:12" x14ac:dyDescent="0.3">
      <c r="A204" s="38">
        <v>45992</v>
      </c>
      <c r="B204" t="s">
        <v>297</v>
      </c>
      <c r="C204" s="11"/>
      <c r="D204" s="11">
        <v>30000</v>
      </c>
      <c r="F204" s="124" t="s">
        <v>109</v>
      </c>
      <c r="J204" s="4" t="s">
        <v>356</v>
      </c>
      <c r="K204" s="14">
        <v>124560</v>
      </c>
      <c r="L204" s="14"/>
    </row>
    <row r="205" spans="1:12" x14ac:dyDescent="0.3">
      <c r="A205" s="38">
        <v>45992</v>
      </c>
      <c r="B205" t="s">
        <v>21</v>
      </c>
      <c r="C205" s="11"/>
      <c r="D205" s="11">
        <v>7750</v>
      </c>
      <c r="E205" t="s">
        <v>240</v>
      </c>
      <c r="F205" s="124" t="s">
        <v>109</v>
      </c>
      <c r="J205" s="4" t="s">
        <v>341</v>
      </c>
      <c r="K205" s="14"/>
      <c r="L205" s="14">
        <v>703950</v>
      </c>
    </row>
    <row r="206" spans="1:12" x14ac:dyDescent="0.3">
      <c r="A206" s="38">
        <v>45992</v>
      </c>
      <c r="B206" t="s">
        <v>185</v>
      </c>
      <c r="C206" s="11">
        <v>52000</v>
      </c>
      <c r="D206" s="11"/>
      <c r="E206" t="s">
        <v>326</v>
      </c>
      <c r="F206" s="124" t="s">
        <v>109</v>
      </c>
      <c r="J206" s="4" t="s">
        <v>299</v>
      </c>
      <c r="K206" s="14">
        <v>424323</v>
      </c>
      <c r="L206" s="14"/>
    </row>
    <row r="207" spans="1:12" x14ac:dyDescent="0.3">
      <c r="A207" s="38">
        <v>45992</v>
      </c>
      <c r="B207" t="s">
        <v>21</v>
      </c>
      <c r="C207" s="11"/>
      <c r="D207" s="11">
        <v>52000</v>
      </c>
      <c r="E207" t="s">
        <v>223</v>
      </c>
      <c r="F207" s="124" t="s">
        <v>109</v>
      </c>
      <c r="J207" s="4" t="s">
        <v>371</v>
      </c>
      <c r="K207" s="14"/>
      <c r="L207" s="14">
        <v>392000</v>
      </c>
    </row>
    <row r="208" spans="1:12" x14ac:dyDescent="0.3">
      <c r="A208" s="38">
        <v>45992</v>
      </c>
      <c r="B208" t="s">
        <v>55</v>
      </c>
      <c r="C208" s="11">
        <v>7750</v>
      </c>
      <c r="D208" s="11"/>
      <c r="E208" t="s">
        <v>240</v>
      </c>
      <c r="F208" s="124" t="s">
        <v>109</v>
      </c>
      <c r="J208" s="4" t="s">
        <v>28</v>
      </c>
      <c r="K208" s="14">
        <v>15334540</v>
      </c>
      <c r="L208" s="14">
        <v>15283023</v>
      </c>
    </row>
    <row r="209" spans="1:6" x14ac:dyDescent="0.3">
      <c r="A209" s="38">
        <v>45992</v>
      </c>
      <c r="B209" t="s">
        <v>55</v>
      </c>
      <c r="C209" s="11">
        <v>1900</v>
      </c>
      <c r="D209" s="11"/>
      <c r="E209" t="s">
        <v>240</v>
      </c>
      <c r="F209" s="124" t="s">
        <v>109</v>
      </c>
    </row>
    <row r="210" spans="1:6" x14ac:dyDescent="0.3">
      <c r="A210" s="38">
        <v>45992</v>
      </c>
      <c r="B210" t="s">
        <v>21</v>
      </c>
      <c r="C210" s="11"/>
      <c r="D210" s="11">
        <v>1900</v>
      </c>
      <c r="E210" t="s">
        <v>240</v>
      </c>
      <c r="F210" s="124" t="s">
        <v>109</v>
      </c>
    </row>
    <row r="211" spans="1:6" x14ac:dyDescent="0.3">
      <c r="A211" s="38">
        <v>45992</v>
      </c>
      <c r="B211" t="s">
        <v>183</v>
      </c>
      <c r="C211" s="11">
        <v>900</v>
      </c>
      <c r="D211" s="11"/>
      <c r="E211" t="s">
        <v>211</v>
      </c>
      <c r="F211" s="124" t="s">
        <v>109</v>
      </c>
    </row>
    <row r="212" spans="1:6" x14ac:dyDescent="0.3">
      <c r="A212" s="38">
        <v>45992</v>
      </c>
      <c r="B212" t="s">
        <v>184</v>
      </c>
      <c r="C212" s="11"/>
      <c r="D212" s="11">
        <v>1000000</v>
      </c>
      <c r="E212" t="s">
        <v>228</v>
      </c>
      <c r="F212" s="124" t="s">
        <v>109</v>
      </c>
    </row>
    <row r="213" spans="1:6" x14ac:dyDescent="0.3">
      <c r="A213" s="125">
        <v>45992</v>
      </c>
      <c r="B213" t="s">
        <v>95</v>
      </c>
      <c r="C213" s="11">
        <v>300204</v>
      </c>
      <c r="D213" s="11"/>
      <c r="E213" t="s">
        <v>327</v>
      </c>
      <c r="F213" s="124" t="s">
        <v>109</v>
      </c>
    </row>
    <row r="214" spans="1:6" x14ac:dyDescent="0.3">
      <c r="A214" s="38">
        <v>45992</v>
      </c>
      <c r="B214" t="s">
        <v>54</v>
      </c>
      <c r="C214" s="97">
        <v>3000</v>
      </c>
      <c r="D214" s="97"/>
      <c r="E214" t="s">
        <v>232</v>
      </c>
      <c r="F214" s="124" t="s">
        <v>109</v>
      </c>
    </row>
    <row r="215" spans="1:6" x14ac:dyDescent="0.3">
      <c r="A215" s="38">
        <v>45992</v>
      </c>
      <c r="B215" t="s">
        <v>212</v>
      </c>
      <c r="C215" s="97"/>
      <c r="D215" s="97"/>
      <c r="E215" t="s">
        <v>189</v>
      </c>
      <c r="F215" s="124" t="s">
        <v>109</v>
      </c>
    </row>
    <row r="216" spans="1:6" x14ac:dyDescent="0.3">
      <c r="A216" s="125">
        <v>45992</v>
      </c>
      <c r="B216" t="s">
        <v>297</v>
      </c>
      <c r="C216" s="11"/>
      <c r="D216" s="11">
        <v>7000</v>
      </c>
      <c r="E216" t="s">
        <v>311</v>
      </c>
      <c r="F216" s="124" t="s">
        <v>109</v>
      </c>
    </row>
    <row r="217" spans="1:6" x14ac:dyDescent="0.3">
      <c r="A217" s="38">
        <v>45986</v>
      </c>
      <c r="B217" t="s">
        <v>236</v>
      </c>
      <c r="C217" s="97"/>
      <c r="D217" s="97">
        <v>1000000</v>
      </c>
      <c r="E217" t="s">
        <v>329</v>
      </c>
      <c r="F217" s="124" t="s">
        <v>109</v>
      </c>
    </row>
    <row r="218" spans="1:6" x14ac:dyDescent="0.3">
      <c r="A218" s="125">
        <v>45986</v>
      </c>
      <c r="B218" t="s">
        <v>237</v>
      </c>
      <c r="C218" s="11">
        <v>1000000</v>
      </c>
      <c r="D218" s="11"/>
      <c r="E218" t="s">
        <v>330</v>
      </c>
      <c r="F218" s="124" t="s">
        <v>109</v>
      </c>
    </row>
    <row r="219" spans="1:6" x14ac:dyDescent="0.3">
      <c r="A219" s="125">
        <v>45986</v>
      </c>
      <c r="B219" t="s">
        <v>35</v>
      </c>
      <c r="C219" s="11"/>
      <c r="D219" s="11">
        <v>10040</v>
      </c>
      <c r="E219" t="s">
        <v>311</v>
      </c>
      <c r="F219" s="124" t="s">
        <v>109</v>
      </c>
    </row>
    <row r="220" spans="1:6" x14ac:dyDescent="0.3">
      <c r="A220" s="125">
        <v>45986</v>
      </c>
      <c r="B220" t="s">
        <v>237</v>
      </c>
      <c r="C220" s="11">
        <v>10040</v>
      </c>
      <c r="D220" s="11"/>
      <c r="E220" t="s">
        <v>331</v>
      </c>
      <c r="F220" s="124" t="s">
        <v>109</v>
      </c>
    </row>
    <row r="221" spans="1:6" x14ac:dyDescent="0.3">
      <c r="A221" s="125">
        <v>45990</v>
      </c>
      <c r="B221" t="s">
        <v>153</v>
      </c>
      <c r="C221" s="11"/>
      <c r="D221" s="11">
        <v>300000</v>
      </c>
      <c r="E221" t="s">
        <v>263</v>
      </c>
      <c r="F221" s="124" t="s">
        <v>109</v>
      </c>
    </row>
    <row r="222" spans="1:6" x14ac:dyDescent="0.3">
      <c r="A222" s="125">
        <v>45990</v>
      </c>
      <c r="B222" t="s">
        <v>295</v>
      </c>
      <c r="C222" s="11"/>
      <c r="D222" s="11">
        <v>90000</v>
      </c>
      <c r="E222" t="s">
        <v>329</v>
      </c>
      <c r="F222" s="124" t="s">
        <v>109</v>
      </c>
    </row>
    <row r="223" spans="1:6" x14ac:dyDescent="0.3">
      <c r="A223" s="125">
        <v>45990</v>
      </c>
      <c r="B223" t="s">
        <v>237</v>
      </c>
      <c r="C223" s="11">
        <v>390000</v>
      </c>
      <c r="D223" s="11"/>
      <c r="E223" t="s">
        <v>153</v>
      </c>
      <c r="F223" s="124" t="s">
        <v>109</v>
      </c>
    </row>
    <row r="224" spans="1:6" x14ac:dyDescent="0.3">
      <c r="A224" s="125">
        <v>45984</v>
      </c>
      <c r="B224" t="s">
        <v>332</v>
      </c>
      <c r="C224" s="11"/>
      <c r="D224" s="11">
        <v>200000</v>
      </c>
      <c r="F224" s="124" t="s">
        <v>109</v>
      </c>
    </row>
    <row r="225" spans="1:6" x14ac:dyDescent="0.3">
      <c r="A225" s="125">
        <v>45986</v>
      </c>
      <c r="B225" t="s">
        <v>332</v>
      </c>
      <c r="C225" s="11"/>
      <c r="D225" s="11">
        <v>100000</v>
      </c>
      <c r="F225" s="124" t="s">
        <v>109</v>
      </c>
    </row>
    <row r="226" spans="1:6" x14ac:dyDescent="0.3">
      <c r="A226" s="125">
        <v>45985</v>
      </c>
      <c r="B226" t="s">
        <v>332</v>
      </c>
      <c r="C226" s="11"/>
      <c r="D226" s="11">
        <v>50000</v>
      </c>
      <c r="F226" s="124" t="s">
        <v>109</v>
      </c>
    </row>
    <row r="227" spans="1:6" x14ac:dyDescent="0.3">
      <c r="A227" s="125">
        <v>45986</v>
      </c>
      <c r="B227" t="s">
        <v>332</v>
      </c>
      <c r="C227" s="11"/>
      <c r="D227" s="11">
        <v>48325</v>
      </c>
      <c r="E227" t="s">
        <v>311</v>
      </c>
      <c r="F227" s="124" t="s">
        <v>109</v>
      </c>
    </row>
    <row r="228" spans="1:6" x14ac:dyDescent="0.3">
      <c r="A228" s="125">
        <v>45986</v>
      </c>
      <c r="B228" t="s">
        <v>237</v>
      </c>
      <c r="C228" s="11">
        <v>398325</v>
      </c>
      <c r="D228" s="11"/>
      <c r="E228" t="s">
        <v>332</v>
      </c>
      <c r="F228" s="124" t="s">
        <v>109</v>
      </c>
    </row>
    <row r="229" spans="1:6" x14ac:dyDescent="0.3">
      <c r="A229" s="125">
        <v>45993</v>
      </c>
      <c r="B229" t="s">
        <v>54</v>
      </c>
      <c r="C229" s="11">
        <v>3000</v>
      </c>
      <c r="D229" s="11"/>
      <c r="E229" t="s">
        <v>232</v>
      </c>
      <c r="F229" s="124" t="s">
        <v>109</v>
      </c>
    </row>
    <row r="230" spans="1:6" x14ac:dyDescent="0.3">
      <c r="A230" s="38">
        <v>45993</v>
      </c>
      <c r="B230" t="s">
        <v>54</v>
      </c>
      <c r="C230" s="97">
        <v>1000</v>
      </c>
      <c r="D230" s="97"/>
      <c r="E230" t="s">
        <v>278</v>
      </c>
      <c r="F230" s="124" t="s">
        <v>109</v>
      </c>
    </row>
    <row r="231" spans="1:6" x14ac:dyDescent="0.3">
      <c r="A231" s="125">
        <v>45993</v>
      </c>
      <c r="B231" t="s">
        <v>185</v>
      </c>
      <c r="C231" s="11">
        <v>242450</v>
      </c>
      <c r="D231" s="11"/>
      <c r="E231" t="s">
        <v>64</v>
      </c>
      <c r="F231" s="124" t="s">
        <v>109</v>
      </c>
    </row>
    <row r="232" spans="1:6" x14ac:dyDescent="0.3">
      <c r="A232" s="38">
        <v>45993</v>
      </c>
      <c r="B232" t="s">
        <v>95</v>
      </c>
      <c r="C232" s="11">
        <v>200200</v>
      </c>
      <c r="D232" s="11"/>
      <c r="E232" t="s">
        <v>333</v>
      </c>
      <c r="F232" s="124" t="s">
        <v>109</v>
      </c>
    </row>
    <row r="233" spans="1:6" x14ac:dyDescent="0.3">
      <c r="A233" s="125">
        <v>45993</v>
      </c>
      <c r="B233" t="s">
        <v>95</v>
      </c>
      <c r="C233" s="11">
        <v>74400</v>
      </c>
      <c r="D233" s="11"/>
      <c r="E233" t="s">
        <v>224</v>
      </c>
      <c r="F233" s="124" t="s">
        <v>109</v>
      </c>
    </row>
    <row r="234" spans="1:6" x14ac:dyDescent="0.3">
      <c r="A234" s="38">
        <v>45993</v>
      </c>
      <c r="B234" t="s">
        <v>212</v>
      </c>
      <c r="C234" s="11"/>
      <c r="D234" s="11"/>
      <c r="E234" t="s">
        <v>334</v>
      </c>
      <c r="F234" s="124" t="s">
        <v>109</v>
      </c>
    </row>
    <row r="235" spans="1:6" x14ac:dyDescent="0.3">
      <c r="A235" s="125">
        <v>45993</v>
      </c>
      <c r="B235" t="s">
        <v>212</v>
      </c>
      <c r="C235" s="11"/>
      <c r="D235" s="11"/>
      <c r="E235" t="s">
        <v>335</v>
      </c>
      <c r="F235" s="124" t="s">
        <v>109</v>
      </c>
    </row>
    <row r="236" spans="1:6" x14ac:dyDescent="0.3">
      <c r="A236" s="38">
        <v>45993</v>
      </c>
      <c r="B236" t="s">
        <v>212</v>
      </c>
      <c r="C236" s="11">
        <v>6000</v>
      </c>
      <c r="D236" s="11"/>
      <c r="E236" t="s">
        <v>305</v>
      </c>
      <c r="F236" s="124" t="s">
        <v>109</v>
      </c>
    </row>
    <row r="237" spans="1:6" x14ac:dyDescent="0.3">
      <c r="A237" s="125">
        <v>45993</v>
      </c>
      <c r="B237" t="s">
        <v>212</v>
      </c>
      <c r="C237" s="11">
        <v>45000</v>
      </c>
      <c r="D237" s="11"/>
      <c r="E237" t="s">
        <v>338</v>
      </c>
      <c r="F237" s="124" t="s">
        <v>109</v>
      </c>
    </row>
    <row r="238" spans="1:6" x14ac:dyDescent="0.3">
      <c r="A238" s="38">
        <v>45994</v>
      </c>
      <c r="B238" t="s">
        <v>183</v>
      </c>
      <c r="C238" s="11">
        <v>800</v>
      </c>
      <c r="D238" s="11"/>
      <c r="F238" s="124" t="s">
        <v>109</v>
      </c>
    </row>
    <row r="239" spans="1:6" x14ac:dyDescent="0.3">
      <c r="A239" s="125">
        <v>45994</v>
      </c>
      <c r="B239" t="s">
        <v>54</v>
      </c>
      <c r="C239" s="11">
        <v>2000</v>
      </c>
      <c r="D239" s="11"/>
      <c r="E239" t="s">
        <v>232</v>
      </c>
      <c r="F239" s="124" t="s">
        <v>109</v>
      </c>
    </row>
    <row r="240" spans="1:6" x14ac:dyDescent="0.3">
      <c r="A240" s="38">
        <v>45994</v>
      </c>
      <c r="B240" t="s">
        <v>54</v>
      </c>
      <c r="C240" s="11">
        <v>11000</v>
      </c>
      <c r="D240" s="11"/>
      <c r="E240" t="s">
        <v>232</v>
      </c>
      <c r="F240" s="124" t="s">
        <v>109</v>
      </c>
    </row>
    <row r="241" spans="1:6" x14ac:dyDescent="0.3">
      <c r="A241" s="125">
        <v>45994</v>
      </c>
      <c r="B241" t="s">
        <v>220</v>
      </c>
      <c r="C241" s="11">
        <v>50000</v>
      </c>
      <c r="D241" s="11"/>
      <c r="E241" t="s">
        <v>339</v>
      </c>
      <c r="F241" s="124" t="s">
        <v>109</v>
      </c>
    </row>
    <row r="242" spans="1:6" x14ac:dyDescent="0.3">
      <c r="A242" s="38">
        <v>45994</v>
      </c>
      <c r="B242" t="s">
        <v>220</v>
      </c>
      <c r="C242" s="11">
        <v>45000</v>
      </c>
      <c r="D242" s="11"/>
      <c r="E242" t="s">
        <v>338</v>
      </c>
      <c r="F242" s="124" t="s">
        <v>109</v>
      </c>
    </row>
    <row r="243" spans="1:6" x14ac:dyDescent="0.3">
      <c r="A243" s="125">
        <v>45994</v>
      </c>
      <c r="B243" t="s">
        <v>227</v>
      </c>
      <c r="C243" s="11"/>
      <c r="D243" s="11">
        <v>300000</v>
      </c>
      <c r="F243" s="124" t="s">
        <v>109</v>
      </c>
    </row>
    <row r="244" spans="1:6" x14ac:dyDescent="0.3">
      <c r="A244" s="38">
        <v>45994</v>
      </c>
      <c r="B244" t="s">
        <v>95</v>
      </c>
      <c r="C244" s="11">
        <v>250768</v>
      </c>
      <c r="D244" s="11"/>
      <c r="E244" t="s">
        <v>340</v>
      </c>
      <c r="F244" s="124" t="s">
        <v>109</v>
      </c>
    </row>
    <row r="245" spans="1:6" x14ac:dyDescent="0.3">
      <c r="A245" s="125">
        <v>45994</v>
      </c>
      <c r="B245" t="s">
        <v>55</v>
      </c>
      <c r="C245" s="11">
        <v>5000</v>
      </c>
      <c r="D245" s="11"/>
      <c r="E245" t="s">
        <v>231</v>
      </c>
      <c r="F245" s="124" t="s">
        <v>109</v>
      </c>
    </row>
    <row r="246" spans="1:6" x14ac:dyDescent="0.3">
      <c r="A246" s="38">
        <v>45994</v>
      </c>
      <c r="B246" t="s">
        <v>341</v>
      </c>
      <c r="C246" s="11">
        <v>50000</v>
      </c>
      <c r="D246" s="11"/>
      <c r="E246" t="s">
        <v>342</v>
      </c>
      <c r="F246" s="124" t="s">
        <v>109</v>
      </c>
    </row>
    <row r="247" spans="1:6" x14ac:dyDescent="0.3">
      <c r="A247" s="125">
        <v>45994</v>
      </c>
      <c r="B247" t="s">
        <v>186</v>
      </c>
      <c r="C247" s="11">
        <v>1900</v>
      </c>
      <c r="D247" s="11"/>
      <c r="E247" t="s">
        <v>343</v>
      </c>
      <c r="F247" s="124" t="s">
        <v>109</v>
      </c>
    </row>
    <row r="248" spans="1:6" x14ac:dyDescent="0.3">
      <c r="A248" s="38">
        <v>45994</v>
      </c>
      <c r="B248" t="s">
        <v>192</v>
      </c>
      <c r="C248" s="11"/>
      <c r="D248" s="11">
        <v>45000</v>
      </c>
      <c r="E248" t="s">
        <v>345</v>
      </c>
      <c r="F248" s="124" t="s">
        <v>109</v>
      </c>
    </row>
    <row r="249" spans="1:6" x14ac:dyDescent="0.3">
      <c r="A249" s="125">
        <v>45995</v>
      </c>
      <c r="B249" t="s">
        <v>186</v>
      </c>
      <c r="C249" s="11">
        <v>2000</v>
      </c>
      <c r="D249" s="11"/>
      <c r="E249" t="s">
        <v>216</v>
      </c>
      <c r="F249" s="124" t="s">
        <v>109</v>
      </c>
    </row>
    <row r="250" spans="1:6" x14ac:dyDescent="0.3">
      <c r="A250" s="38">
        <v>45995</v>
      </c>
      <c r="B250" t="s">
        <v>54</v>
      </c>
      <c r="C250" s="11">
        <v>3000</v>
      </c>
      <c r="D250" s="11"/>
      <c r="E250" t="s">
        <v>232</v>
      </c>
      <c r="F250" s="124" t="s">
        <v>109</v>
      </c>
    </row>
    <row r="251" spans="1:6" x14ac:dyDescent="0.3">
      <c r="A251" s="125">
        <v>45995</v>
      </c>
      <c r="B251" t="s">
        <v>55</v>
      </c>
      <c r="C251" s="11">
        <v>14100</v>
      </c>
      <c r="D251" s="11"/>
      <c r="E251" t="s">
        <v>231</v>
      </c>
      <c r="F251" s="124" t="s">
        <v>109</v>
      </c>
    </row>
    <row r="252" spans="1:6" x14ac:dyDescent="0.3">
      <c r="A252" s="38">
        <v>45995</v>
      </c>
      <c r="B252" t="s">
        <v>95</v>
      </c>
      <c r="C252" s="11">
        <v>118000</v>
      </c>
      <c r="D252" s="11"/>
      <c r="E252" t="s">
        <v>346</v>
      </c>
      <c r="F252" s="124" t="s">
        <v>109</v>
      </c>
    </row>
    <row r="253" spans="1:6" x14ac:dyDescent="0.3">
      <c r="A253" s="125">
        <v>45995</v>
      </c>
      <c r="B253" t="s">
        <v>95</v>
      </c>
      <c r="C253" s="11">
        <v>300188</v>
      </c>
      <c r="D253" s="11"/>
      <c r="E253" t="s">
        <v>347</v>
      </c>
      <c r="F253" s="124" t="s">
        <v>109</v>
      </c>
    </row>
    <row r="254" spans="1:6" x14ac:dyDescent="0.3">
      <c r="A254" s="38">
        <v>45995</v>
      </c>
      <c r="B254" t="s">
        <v>237</v>
      </c>
      <c r="C254" s="11"/>
      <c r="D254" s="11">
        <v>300000</v>
      </c>
      <c r="E254" t="s">
        <v>348</v>
      </c>
      <c r="F254" s="124" t="s">
        <v>109</v>
      </c>
    </row>
    <row r="255" spans="1:6" x14ac:dyDescent="0.3">
      <c r="A255" s="125">
        <v>45995</v>
      </c>
      <c r="B255" t="s">
        <v>185</v>
      </c>
      <c r="C255" s="11">
        <v>56000</v>
      </c>
      <c r="D255" s="11"/>
      <c r="E255" t="s">
        <v>304</v>
      </c>
      <c r="F255" s="124" t="s">
        <v>109</v>
      </c>
    </row>
    <row r="256" spans="1:6" x14ac:dyDescent="0.3">
      <c r="A256" s="38">
        <v>45995</v>
      </c>
      <c r="B256" t="s">
        <v>237</v>
      </c>
      <c r="C256" s="11"/>
      <c r="D256" s="11">
        <v>110000</v>
      </c>
      <c r="E256" t="s">
        <v>349</v>
      </c>
      <c r="F256" s="124" t="s">
        <v>109</v>
      </c>
    </row>
    <row r="257" spans="1:6" x14ac:dyDescent="0.3">
      <c r="A257" s="125">
        <v>45995</v>
      </c>
      <c r="B257" t="s">
        <v>237</v>
      </c>
      <c r="C257" s="11"/>
      <c r="D257" s="11">
        <v>125000</v>
      </c>
      <c r="E257" t="s">
        <v>350</v>
      </c>
      <c r="F257" s="124" t="s">
        <v>109</v>
      </c>
    </row>
    <row r="258" spans="1:6" x14ac:dyDescent="0.3">
      <c r="A258" s="38">
        <v>45995</v>
      </c>
      <c r="B258" t="s">
        <v>220</v>
      </c>
      <c r="C258" s="11">
        <v>5000</v>
      </c>
      <c r="D258" s="11"/>
      <c r="E258" t="s">
        <v>351</v>
      </c>
      <c r="F258" s="124" t="s">
        <v>109</v>
      </c>
    </row>
    <row r="259" spans="1:6" x14ac:dyDescent="0.3">
      <c r="A259" s="125">
        <v>45995</v>
      </c>
      <c r="B259" t="s">
        <v>220</v>
      </c>
      <c r="C259" s="11">
        <v>1000</v>
      </c>
      <c r="D259" s="11"/>
      <c r="E259" t="s">
        <v>352</v>
      </c>
      <c r="F259" s="124" t="s">
        <v>109</v>
      </c>
    </row>
    <row r="260" spans="1:6" x14ac:dyDescent="0.3">
      <c r="A260" s="38">
        <v>45995</v>
      </c>
      <c r="B260" t="s">
        <v>55</v>
      </c>
      <c r="C260" s="97">
        <v>57500</v>
      </c>
      <c r="D260" s="97"/>
      <c r="E260" t="s">
        <v>353</v>
      </c>
      <c r="F260" s="124" t="s">
        <v>109</v>
      </c>
    </row>
    <row r="261" spans="1:6" x14ac:dyDescent="0.3">
      <c r="A261" s="38">
        <v>45995</v>
      </c>
      <c r="B261" t="s">
        <v>55</v>
      </c>
      <c r="C261" s="97">
        <v>3000</v>
      </c>
      <c r="D261" s="97"/>
      <c r="E261" t="s">
        <v>353</v>
      </c>
      <c r="F261" s="124" t="s">
        <v>109</v>
      </c>
    </row>
    <row r="262" spans="1:6" x14ac:dyDescent="0.3">
      <c r="A262" s="38">
        <v>45995</v>
      </c>
      <c r="B262" t="s">
        <v>299</v>
      </c>
      <c r="C262" s="97"/>
      <c r="D262" s="97">
        <v>424323</v>
      </c>
      <c r="E262" t="s">
        <v>283</v>
      </c>
      <c r="F262" s="124" t="s">
        <v>109</v>
      </c>
    </row>
    <row r="263" spans="1:6" x14ac:dyDescent="0.3">
      <c r="A263" s="38">
        <v>45995</v>
      </c>
      <c r="B263" t="s">
        <v>275</v>
      </c>
      <c r="C263" s="97">
        <v>224000</v>
      </c>
      <c r="D263" s="97"/>
      <c r="E263" t="s">
        <v>283</v>
      </c>
      <c r="F263" s="124" t="s">
        <v>109</v>
      </c>
    </row>
    <row r="264" spans="1:6" x14ac:dyDescent="0.3">
      <c r="A264" s="38">
        <v>45995</v>
      </c>
      <c r="B264" t="s">
        <v>341</v>
      </c>
      <c r="C264" s="97">
        <v>170000</v>
      </c>
      <c r="D264" s="97"/>
      <c r="F264" s="124" t="s">
        <v>109</v>
      </c>
    </row>
    <row r="265" spans="1:6" x14ac:dyDescent="0.3">
      <c r="A265" s="38">
        <v>45995</v>
      </c>
      <c r="B265" t="s">
        <v>212</v>
      </c>
      <c r="C265" s="97">
        <v>2200</v>
      </c>
      <c r="D265" s="97"/>
      <c r="E265" t="s">
        <v>281</v>
      </c>
      <c r="F265" s="124" t="s">
        <v>109</v>
      </c>
    </row>
    <row r="266" spans="1:6" x14ac:dyDescent="0.3">
      <c r="A266" s="38">
        <v>45995</v>
      </c>
      <c r="B266" t="s">
        <v>183</v>
      </c>
      <c r="C266" s="97">
        <v>550</v>
      </c>
      <c r="D266" s="97"/>
      <c r="E266" t="s">
        <v>354</v>
      </c>
      <c r="F266" s="124" t="s">
        <v>109</v>
      </c>
    </row>
    <row r="267" spans="1:6" x14ac:dyDescent="0.3">
      <c r="A267" s="38">
        <v>45995</v>
      </c>
      <c r="B267" t="s">
        <v>183</v>
      </c>
      <c r="C267" s="97">
        <v>800</v>
      </c>
      <c r="D267" s="97"/>
      <c r="F267" s="124" t="s">
        <v>109</v>
      </c>
    </row>
    <row r="268" spans="1:6" x14ac:dyDescent="0.3">
      <c r="A268" s="38">
        <v>45995</v>
      </c>
      <c r="B268" t="s">
        <v>21</v>
      </c>
      <c r="C268" s="97"/>
      <c r="D268" s="97">
        <v>2400</v>
      </c>
      <c r="E268" t="s">
        <v>282</v>
      </c>
      <c r="F268" s="124" t="s">
        <v>109</v>
      </c>
    </row>
    <row r="269" spans="1:6" x14ac:dyDescent="0.3">
      <c r="A269" s="38">
        <v>45995</v>
      </c>
      <c r="B269" t="s">
        <v>55</v>
      </c>
      <c r="C269" s="97">
        <v>2400</v>
      </c>
      <c r="D269" s="97"/>
      <c r="E269" t="s">
        <v>282</v>
      </c>
      <c r="F269" s="124" t="s">
        <v>109</v>
      </c>
    </row>
    <row r="270" spans="1:6" x14ac:dyDescent="0.3">
      <c r="A270" s="38">
        <v>45995</v>
      </c>
      <c r="B270" t="s">
        <v>55</v>
      </c>
      <c r="C270" s="97">
        <v>5500</v>
      </c>
      <c r="D270" s="97"/>
      <c r="E270" t="s">
        <v>353</v>
      </c>
      <c r="F270" s="124" t="s">
        <v>109</v>
      </c>
    </row>
    <row r="271" spans="1:6" x14ac:dyDescent="0.3">
      <c r="A271" s="38">
        <v>45996</v>
      </c>
      <c r="B271" t="s">
        <v>186</v>
      </c>
      <c r="C271" s="97">
        <v>7000</v>
      </c>
      <c r="D271" s="97"/>
      <c r="E271" t="s">
        <v>209</v>
      </c>
      <c r="F271" s="124" t="s">
        <v>109</v>
      </c>
    </row>
    <row r="272" spans="1:6" x14ac:dyDescent="0.3">
      <c r="A272" s="125">
        <v>45996</v>
      </c>
      <c r="B272" t="s">
        <v>247</v>
      </c>
      <c r="C272" s="11">
        <v>3000</v>
      </c>
      <c r="D272" s="11"/>
      <c r="E272" t="s">
        <v>357</v>
      </c>
      <c r="F272" s="124" t="s">
        <v>109</v>
      </c>
    </row>
    <row r="273" spans="1:6" x14ac:dyDescent="0.3">
      <c r="A273" s="38">
        <v>45996</v>
      </c>
      <c r="B273" t="s">
        <v>212</v>
      </c>
      <c r="C273" s="11">
        <v>2050</v>
      </c>
      <c r="D273" s="11"/>
      <c r="E273" t="s">
        <v>305</v>
      </c>
      <c r="F273" s="124" t="s">
        <v>109</v>
      </c>
    </row>
    <row r="274" spans="1:6" x14ac:dyDescent="0.3">
      <c r="A274" s="125">
        <v>45996</v>
      </c>
      <c r="B274" t="s">
        <v>220</v>
      </c>
      <c r="C274" s="11">
        <v>20000</v>
      </c>
      <c r="D274" s="11"/>
      <c r="E274" t="s">
        <v>358</v>
      </c>
      <c r="F274" s="124" t="s">
        <v>109</v>
      </c>
    </row>
    <row r="275" spans="1:6" x14ac:dyDescent="0.3">
      <c r="A275" s="38">
        <v>45996</v>
      </c>
      <c r="B275" t="s">
        <v>341</v>
      </c>
      <c r="C275" s="11">
        <v>40450</v>
      </c>
      <c r="D275" s="11"/>
      <c r="E275" t="s">
        <v>346</v>
      </c>
      <c r="F275" s="124" t="s">
        <v>109</v>
      </c>
    </row>
    <row r="276" spans="1:6" x14ac:dyDescent="0.3">
      <c r="A276" s="125">
        <v>45996</v>
      </c>
      <c r="B276" t="s">
        <v>114</v>
      </c>
      <c r="C276" s="11">
        <v>9000</v>
      </c>
      <c r="D276" s="11"/>
      <c r="E276" t="s">
        <v>359</v>
      </c>
      <c r="F276" s="124" t="s">
        <v>109</v>
      </c>
    </row>
    <row r="277" spans="1:6" x14ac:dyDescent="0.3">
      <c r="A277" s="38">
        <v>45996</v>
      </c>
      <c r="B277" t="s">
        <v>220</v>
      </c>
      <c r="C277" s="11">
        <v>10000</v>
      </c>
      <c r="D277" s="11"/>
      <c r="E277" t="s">
        <v>360</v>
      </c>
      <c r="F277" s="124" t="s">
        <v>109</v>
      </c>
    </row>
    <row r="278" spans="1:6" x14ac:dyDescent="0.3">
      <c r="A278" s="125">
        <v>45996</v>
      </c>
      <c r="B278" t="s">
        <v>114</v>
      </c>
      <c r="C278" s="11">
        <v>670</v>
      </c>
      <c r="D278" s="11"/>
      <c r="F278" s="124" t="s">
        <v>109</v>
      </c>
    </row>
    <row r="279" spans="1:6" x14ac:dyDescent="0.3">
      <c r="A279" s="38">
        <v>45996</v>
      </c>
      <c r="B279" t="s">
        <v>212</v>
      </c>
      <c r="C279" s="11"/>
      <c r="D279" s="11"/>
      <c r="E279" t="s">
        <v>361</v>
      </c>
      <c r="F279" s="124" t="s">
        <v>109</v>
      </c>
    </row>
    <row r="280" spans="1:6" x14ac:dyDescent="0.3">
      <c r="A280" s="125">
        <v>45996</v>
      </c>
      <c r="B280" t="s">
        <v>332</v>
      </c>
      <c r="C280" s="11"/>
      <c r="D280" s="11">
        <v>155000</v>
      </c>
      <c r="F280" s="124" t="s">
        <v>109</v>
      </c>
    </row>
    <row r="281" spans="1:6" x14ac:dyDescent="0.3">
      <c r="A281" s="38">
        <v>45996</v>
      </c>
      <c r="B281" t="s">
        <v>21</v>
      </c>
      <c r="C281" s="11"/>
      <c r="D281" s="11">
        <v>7900</v>
      </c>
      <c r="E281" t="s">
        <v>343</v>
      </c>
      <c r="F281" s="124" t="s">
        <v>109</v>
      </c>
    </row>
    <row r="282" spans="1:6" x14ac:dyDescent="0.3">
      <c r="A282" s="125">
        <v>45996</v>
      </c>
      <c r="B282" t="s">
        <v>55</v>
      </c>
      <c r="C282" s="11">
        <v>7900</v>
      </c>
      <c r="D282" s="11"/>
      <c r="E282" t="s">
        <v>343</v>
      </c>
      <c r="F282" s="124" t="s">
        <v>109</v>
      </c>
    </row>
    <row r="283" spans="1:6" x14ac:dyDescent="0.3">
      <c r="A283" s="38">
        <v>45997</v>
      </c>
      <c r="B283" t="s">
        <v>183</v>
      </c>
      <c r="C283" s="11">
        <v>1500</v>
      </c>
      <c r="D283" s="11"/>
      <c r="F283" s="124" t="s">
        <v>109</v>
      </c>
    </row>
    <row r="284" spans="1:6" x14ac:dyDescent="0.3">
      <c r="A284" s="125">
        <v>45997</v>
      </c>
      <c r="B284" t="s">
        <v>183</v>
      </c>
      <c r="C284" s="11">
        <v>200</v>
      </c>
      <c r="D284" s="11"/>
      <c r="E284" t="s">
        <v>362</v>
      </c>
      <c r="F284" s="124" t="s">
        <v>109</v>
      </c>
    </row>
    <row r="285" spans="1:6" x14ac:dyDescent="0.3">
      <c r="A285" s="38">
        <v>45997</v>
      </c>
      <c r="B285" t="s">
        <v>55</v>
      </c>
      <c r="C285" s="97">
        <v>3400</v>
      </c>
      <c r="D285" s="97"/>
      <c r="E285" t="s">
        <v>363</v>
      </c>
      <c r="F285" s="124" t="s">
        <v>109</v>
      </c>
    </row>
    <row r="286" spans="1:6" x14ac:dyDescent="0.3">
      <c r="A286" s="125">
        <v>45997</v>
      </c>
      <c r="B286" t="s">
        <v>55</v>
      </c>
      <c r="C286" s="11">
        <v>1000</v>
      </c>
      <c r="D286" s="11"/>
      <c r="F286" s="124" t="s">
        <v>109</v>
      </c>
    </row>
    <row r="287" spans="1:6" x14ac:dyDescent="0.3">
      <c r="A287" s="38">
        <v>45997</v>
      </c>
      <c r="B287" t="s">
        <v>341</v>
      </c>
      <c r="C287" s="97">
        <v>128500</v>
      </c>
      <c r="D287" s="97"/>
      <c r="F287" s="124" t="s">
        <v>109</v>
      </c>
    </row>
    <row r="288" spans="1:6" x14ac:dyDescent="0.3">
      <c r="A288" s="125">
        <v>45997</v>
      </c>
      <c r="B288" t="s">
        <v>95</v>
      </c>
      <c r="C288" s="11">
        <v>200510</v>
      </c>
      <c r="D288" s="11"/>
      <c r="E288" t="s">
        <v>364</v>
      </c>
      <c r="F288" s="124" t="s">
        <v>109</v>
      </c>
    </row>
    <row r="289" spans="1:6" x14ac:dyDescent="0.3">
      <c r="A289" s="38">
        <v>45997</v>
      </c>
      <c r="B289" t="s">
        <v>212</v>
      </c>
      <c r="C289" s="11">
        <v>9000</v>
      </c>
      <c r="D289" s="11"/>
      <c r="E289" t="s">
        <v>365</v>
      </c>
      <c r="F289" s="124" t="s">
        <v>109</v>
      </c>
    </row>
    <row r="290" spans="1:6" x14ac:dyDescent="0.3">
      <c r="A290" s="125">
        <v>45997</v>
      </c>
      <c r="B290" t="s">
        <v>54</v>
      </c>
      <c r="C290" s="11">
        <v>12500</v>
      </c>
      <c r="D290" s="11"/>
      <c r="E290" t="s">
        <v>232</v>
      </c>
      <c r="F290" s="124" t="s">
        <v>109</v>
      </c>
    </row>
    <row r="291" spans="1:6" x14ac:dyDescent="0.3">
      <c r="A291" s="38">
        <v>45997</v>
      </c>
      <c r="B291" t="s">
        <v>206</v>
      </c>
      <c r="C291" s="11">
        <v>150000</v>
      </c>
      <c r="D291" s="11"/>
      <c r="F291" s="124" t="s">
        <v>109</v>
      </c>
    </row>
    <row r="292" spans="1:6" x14ac:dyDescent="0.3">
      <c r="A292" s="125">
        <v>45997</v>
      </c>
      <c r="B292" t="s">
        <v>366</v>
      </c>
      <c r="C292" s="97">
        <v>50000</v>
      </c>
      <c r="D292" s="97"/>
      <c r="F292" s="124" t="s">
        <v>109</v>
      </c>
    </row>
    <row r="293" spans="1:6" x14ac:dyDescent="0.3">
      <c r="A293" s="38">
        <v>45998</v>
      </c>
      <c r="B293" t="s">
        <v>114</v>
      </c>
      <c r="C293" s="11">
        <v>17110</v>
      </c>
      <c r="D293" s="11"/>
      <c r="E293" t="s">
        <v>283</v>
      </c>
      <c r="F293" s="124" t="s">
        <v>109</v>
      </c>
    </row>
    <row r="294" spans="1:6" x14ac:dyDescent="0.3">
      <c r="A294" s="125">
        <v>45998</v>
      </c>
      <c r="B294" t="s">
        <v>220</v>
      </c>
      <c r="C294" s="11">
        <v>80000</v>
      </c>
      <c r="D294" s="11"/>
      <c r="E294" t="s">
        <v>189</v>
      </c>
      <c r="F294" s="124" t="s">
        <v>109</v>
      </c>
    </row>
    <row r="295" spans="1:6" x14ac:dyDescent="0.3">
      <c r="A295" s="38">
        <v>45997</v>
      </c>
      <c r="B295" t="s">
        <v>220</v>
      </c>
      <c r="C295" s="11">
        <v>20000</v>
      </c>
      <c r="D295" s="11"/>
      <c r="E295" t="s">
        <v>189</v>
      </c>
      <c r="F295" s="124" t="s">
        <v>109</v>
      </c>
    </row>
    <row r="296" spans="1:6" x14ac:dyDescent="0.3">
      <c r="A296" s="125">
        <v>45998</v>
      </c>
      <c r="B296" t="s">
        <v>220</v>
      </c>
      <c r="C296" s="11">
        <v>20000</v>
      </c>
      <c r="D296" s="11"/>
      <c r="E296" t="s">
        <v>290</v>
      </c>
      <c r="F296" s="124" t="s">
        <v>109</v>
      </c>
    </row>
    <row r="297" spans="1:6" x14ac:dyDescent="0.3">
      <c r="A297" s="38">
        <v>45997</v>
      </c>
      <c r="B297" t="s">
        <v>237</v>
      </c>
      <c r="C297" s="11"/>
      <c r="D297" s="11">
        <v>20000</v>
      </c>
      <c r="E297" t="s">
        <v>189</v>
      </c>
      <c r="F297" s="124" t="s">
        <v>109</v>
      </c>
    </row>
    <row r="298" spans="1:6" x14ac:dyDescent="0.3">
      <c r="A298" s="125">
        <v>45997</v>
      </c>
      <c r="B298" t="s">
        <v>237</v>
      </c>
      <c r="C298" s="11"/>
      <c r="D298" s="11">
        <v>80000</v>
      </c>
      <c r="E298" t="s">
        <v>189</v>
      </c>
      <c r="F298" s="124" t="s">
        <v>109</v>
      </c>
    </row>
    <row r="299" spans="1:6" x14ac:dyDescent="0.3">
      <c r="A299" s="38">
        <v>45997</v>
      </c>
      <c r="B299" t="s">
        <v>237</v>
      </c>
      <c r="C299" s="11"/>
      <c r="D299" s="11">
        <v>46000</v>
      </c>
      <c r="E299" t="s">
        <v>64</v>
      </c>
      <c r="F299" s="124" t="s">
        <v>109</v>
      </c>
    </row>
    <row r="300" spans="1:6" x14ac:dyDescent="0.3">
      <c r="A300" s="125">
        <v>45997</v>
      </c>
      <c r="B300" t="s">
        <v>185</v>
      </c>
      <c r="C300" s="11">
        <v>46000</v>
      </c>
      <c r="D300" s="11"/>
      <c r="E300" t="s">
        <v>367</v>
      </c>
      <c r="F300" s="124" t="s">
        <v>109</v>
      </c>
    </row>
    <row r="301" spans="1:6" x14ac:dyDescent="0.3">
      <c r="A301" s="38">
        <v>45997</v>
      </c>
      <c r="B301" t="s">
        <v>356</v>
      </c>
      <c r="C301" s="11"/>
      <c r="D301" s="11">
        <v>24560</v>
      </c>
      <c r="F301" s="124" t="s">
        <v>109</v>
      </c>
    </row>
    <row r="302" spans="1:6" x14ac:dyDescent="0.3">
      <c r="A302" s="125">
        <v>45997</v>
      </c>
      <c r="B302" t="s">
        <v>27</v>
      </c>
      <c r="C302" s="11"/>
      <c r="D302" s="11">
        <v>150000</v>
      </c>
      <c r="F302" s="124" t="s">
        <v>109</v>
      </c>
    </row>
    <row r="303" spans="1:6" x14ac:dyDescent="0.3">
      <c r="A303" s="38">
        <v>45997</v>
      </c>
      <c r="B303" t="s">
        <v>27</v>
      </c>
      <c r="C303" s="11"/>
      <c r="D303" s="11">
        <v>150000</v>
      </c>
      <c r="E303" t="s">
        <v>368</v>
      </c>
      <c r="F303" s="124" t="s">
        <v>109</v>
      </c>
    </row>
    <row r="304" spans="1:6" x14ac:dyDescent="0.3">
      <c r="A304" s="125">
        <v>45997</v>
      </c>
      <c r="B304" t="s">
        <v>153</v>
      </c>
      <c r="C304" s="11"/>
      <c r="D304" s="11">
        <v>200000</v>
      </c>
      <c r="F304" s="124" t="s">
        <v>109</v>
      </c>
    </row>
    <row r="305" spans="1:6" x14ac:dyDescent="0.3">
      <c r="A305" s="38">
        <v>45997</v>
      </c>
      <c r="B305" t="s">
        <v>237</v>
      </c>
      <c r="C305" s="11"/>
      <c r="D305" s="11">
        <v>9000</v>
      </c>
      <c r="F305" s="124" t="s">
        <v>109</v>
      </c>
    </row>
    <row r="306" spans="1:6" x14ac:dyDescent="0.3">
      <c r="A306" s="125">
        <v>45997</v>
      </c>
      <c r="B306" t="s">
        <v>237</v>
      </c>
      <c r="C306" s="11"/>
      <c r="D306" s="11">
        <v>100000</v>
      </c>
      <c r="F306" s="124" t="s">
        <v>109</v>
      </c>
    </row>
    <row r="307" spans="1:6" x14ac:dyDescent="0.3">
      <c r="A307" s="38">
        <v>45997</v>
      </c>
      <c r="B307" t="s">
        <v>237</v>
      </c>
      <c r="C307" s="11"/>
      <c r="D307" s="11">
        <v>30000</v>
      </c>
      <c r="E307" t="s">
        <v>55</v>
      </c>
      <c r="F307" s="124" t="s">
        <v>109</v>
      </c>
    </row>
    <row r="308" spans="1:6" x14ac:dyDescent="0.3">
      <c r="A308" s="125">
        <v>45997</v>
      </c>
      <c r="B308" t="s">
        <v>55</v>
      </c>
      <c r="C308" s="11">
        <v>30000</v>
      </c>
      <c r="D308" s="11"/>
      <c r="E308" t="s">
        <v>369</v>
      </c>
      <c r="F308" s="124" t="s">
        <v>109</v>
      </c>
    </row>
    <row r="309" spans="1:6" x14ac:dyDescent="0.3">
      <c r="A309" s="38">
        <v>45997</v>
      </c>
      <c r="B309" t="s">
        <v>114</v>
      </c>
      <c r="C309" s="11">
        <v>2000</v>
      </c>
      <c r="D309" s="11"/>
      <c r="E309" t="s">
        <v>359</v>
      </c>
      <c r="F309" s="124" t="s">
        <v>109</v>
      </c>
    </row>
    <row r="310" spans="1:6" x14ac:dyDescent="0.3">
      <c r="A310" s="125">
        <v>45997</v>
      </c>
      <c r="B310" t="s">
        <v>247</v>
      </c>
      <c r="C310" s="11">
        <v>500</v>
      </c>
      <c r="D310" s="11"/>
      <c r="E310" t="s">
        <v>370</v>
      </c>
      <c r="F310" s="124" t="s">
        <v>109</v>
      </c>
    </row>
    <row r="311" spans="1:6" x14ac:dyDescent="0.3">
      <c r="A311" s="38">
        <v>45997</v>
      </c>
      <c r="B311" t="s">
        <v>371</v>
      </c>
      <c r="C311" s="97">
        <v>100000</v>
      </c>
      <c r="D311" s="97"/>
      <c r="E311" t="s">
        <v>263</v>
      </c>
      <c r="F311" s="124" t="s">
        <v>109</v>
      </c>
    </row>
    <row r="312" spans="1:6" x14ac:dyDescent="0.3">
      <c r="A312" s="38">
        <v>45997</v>
      </c>
      <c r="B312" t="s">
        <v>54</v>
      </c>
      <c r="C312" s="97">
        <v>4000</v>
      </c>
      <c r="D312" s="97"/>
      <c r="E312" t="s">
        <v>232</v>
      </c>
      <c r="F312" s="124" t="s">
        <v>109</v>
      </c>
    </row>
    <row r="313" spans="1:6" x14ac:dyDescent="0.3">
      <c r="A313" s="38">
        <v>45999</v>
      </c>
      <c r="B313" t="s">
        <v>332</v>
      </c>
      <c r="C313" s="97"/>
      <c r="D313" s="97">
        <v>150000</v>
      </c>
      <c r="F313" s="124" t="s">
        <v>109</v>
      </c>
    </row>
    <row r="314" spans="1:6" x14ac:dyDescent="0.3">
      <c r="A314" s="125">
        <v>45999</v>
      </c>
      <c r="B314" t="s">
        <v>237</v>
      </c>
      <c r="C314" s="11"/>
      <c r="D314" s="11">
        <v>126500</v>
      </c>
      <c r="E314" t="s">
        <v>263</v>
      </c>
      <c r="F314" s="124" t="s">
        <v>109</v>
      </c>
    </row>
    <row r="315" spans="1:6" x14ac:dyDescent="0.3">
      <c r="A315" s="38">
        <v>45999</v>
      </c>
      <c r="B315" t="s">
        <v>371</v>
      </c>
      <c r="C315" s="11">
        <v>120000</v>
      </c>
      <c r="D315" s="11"/>
      <c r="E315" t="s">
        <v>263</v>
      </c>
      <c r="F315" s="124" t="s">
        <v>109</v>
      </c>
    </row>
    <row r="316" spans="1:6" x14ac:dyDescent="0.3">
      <c r="A316" s="125">
        <v>45999</v>
      </c>
      <c r="B316" t="s">
        <v>186</v>
      </c>
      <c r="C316" s="11">
        <v>7200</v>
      </c>
      <c r="D316" s="11"/>
      <c r="E316" t="s">
        <v>378</v>
      </c>
      <c r="F316" s="124" t="s">
        <v>109</v>
      </c>
    </row>
    <row r="317" spans="1:6" x14ac:dyDescent="0.3">
      <c r="A317" s="38">
        <v>45999</v>
      </c>
      <c r="B317" t="s">
        <v>212</v>
      </c>
      <c r="C317" s="11">
        <v>17600</v>
      </c>
      <c r="D317" s="11"/>
      <c r="E317" t="s">
        <v>379</v>
      </c>
      <c r="F317" s="124" t="s">
        <v>109</v>
      </c>
    </row>
    <row r="318" spans="1:6" x14ac:dyDescent="0.3">
      <c r="A318" s="125">
        <v>45999</v>
      </c>
      <c r="B318" t="s">
        <v>220</v>
      </c>
      <c r="C318" s="11">
        <v>120000</v>
      </c>
      <c r="D318" s="11"/>
      <c r="E318" t="s">
        <v>380</v>
      </c>
      <c r="F318" s="124" t="s">
        <v>109</v>
      </c>
    </row>
    <row r="319" spans="1:6" x14ac:dyDescent="0.3">
      <c r="A319" s="38">
        <v>45999</v>
      </c>
      <c r="B319" t="s">
        <v>381</v>
      </c>
      <c r="C319" s="11">
        <v>10000</v>
      </c>
      <c r="D319" s="11"/>
      <c r="E319" t="s">
        <v>382</v>
      </c>
      <c r="F319" s="124" t="s">
        <v>109</v>
      </c>
    </row>
    <row r="320" spans="1:6" x14ac:dyDescent="0.3">
      <c r="A320" s="125">
        <v>45999</v>
      </c>
      <c r="B320" t="s">
        <v>212</v>
      </c>
      <c r="C320" s="11">
        <v>50000</v>
      </c>
      <c r="D320" s="11"/>
      <c r="E320" t="s">
        <v>221</v>
      </c>
      <c r="F320" s="124" t="s">
        <v>109</v>
      </c>
    </row>
    <row r="321" spans="1:6" x14ac:dyDescent="0.3">
      <c r="A321" s="38">
        <v>45999</v>
      </c>
      <c r="B321" t="s">
        <v>54</v>
      </c>
      <c r="C321" s="11">
        <v>5310</v>
      </c>
      <c r="D321" s="11"/>
      <c r="E321" t="s">
        <v>232</v>
      </c>
      <c r="F321" s="124" t="s">
        <v>109</v>
      </c>
    </row>
    <row r="322" spans="1:6" x14ac:dyDescent="0.3">
      <c r="A322" s="125">
        <v>45999</v>
      </c>
      <c r="B322" t="s">
        <v>54</v>
      </c>
      <c r="C322" s="11">
        <v>500</v>
      </c>
      <c r="D322" s="11"/>
      <c r="E322" t="s">
        <v>278</v>
      </c>
      <c r="F322" s="124" t="s">
        <v>109</v>
      </c>
    </row>
    <row r="323" spans="1:6" x14ac:dyDescent="0.3">
      <c r="A323" s="38">
        <v>45999</v>
      </c>
      <c r="B323" t="s">
        <v>237</v>
      </c>
      <c r="C323" s="11"/>
      <c r="D323" s="11">
        <v>50000</v>
      </c>
      <c r="E323" t="s">
        <v>221</v>
      </c>
      <c r="F323" s="124" t="s">
        <v>109</v>
      </c>
    </row>
    <row r="324" spans="1:6" x14ac:dyDescent="0.3">
      <c r="A324" s="125">
        <v>45999</v>
      </c>
      <c r="B324" t="s">
        <v>114</v>
      </c>
      <c r="C324" s="11">
        <v>400</v>
      </c>
      <c r="D324" s="11"/>
      <c r="E324" t="s">
        <v>383</v>
      </c>
      <c r="F324" s="124" t="s">
        <v>109</v>
      </c>
    </row>
    <row r="325" spans="1:6" x14ac:dyDescent="0.3">
      <c r="A325" s="38">
        <v>45999</v>
      </c>
      <c r="B325" t="s">
        <v>387</v>
      </c>
      <c r="C325" s="11"/>
      <c r="D325" s="11">
        <v>100000</v>
      </c>
      <c r="E325" t="s">
        <v>110</v>
      </c>
      <c r="F325" s="124" t="s">
        <v>109</v>
      </c>
    </row>
    <row r="326" spans="1:6" x14ac:dyDescent="0.3">
      <c r="A326" s="125">
        <v>46000</v>
      </c>
      <c r="B326" t="s">
        <v>371</v>
      </c>
      <c r="C326" s="11">
        <v>70000</v>
      </c>
      <c r="D326" s="11"/>
      <c r="E326" t="s">
        <v>263</v>
      </c>
      <c r="F326" s="124" t="s">
        <v>109</v>
      </c>
    </row>
    <row r="327" spans="1:6" x14ac:dyDescent="0.3">
      <c r="A327" s="125">
        <v>46000</v>
      </c>
      <c r="B327" t="s">
        <v>186</v>
      </c>
      <c r="C327" s="11">
        <v>13600</v>
      </c>
      <c r="D327" s="11"/>
      <c r="E327" t="s">
        <v>378</v>
      </c>
      <c r="F327" s="124" t="s">
        <v>109</v>
      </c>
    </row>
    <row r="328" spans="1:6" x14ac:dyDescent="0.3">
      <c r="A328" s="125">
        <v>46000</v>
      </c>
      <c r="B328" t="s">
        <v>54</v>
      </c>
      <c r="C328" s="97">
        <v>10500</v>
      </c>
      <c r="D328" s="97"/>
      <c r="E328" t="s">
        <v>232</v>
      </c>
      <c r="F328" s="124" t="s">
        <v>109</v>
      </c>
    </row>
    <row r="329" spans="1:6" x14ac:dyDescent="0.3">
      <c r="A329" s="125">
        <v>46000</v>
      </c>
      <c r="B329" t="s">
        <v>114</v>
      </c>
      <c r="C329" s="11">
        <v>20000</v>
      </c>
      <c r="D329" s="11"/>
      <c r="E329" t="s">
        <v>249</v>
      </c>
      <c r="F329" s="124" t="s">
        <v>109</v>
      </c>
    </row>
    <row r="330" spans="1:6" x14ac:dyDescent="0.3">
      <c r="A330" s="125">
        <v>46000</v>
      </c>
      <c r="B330" t="s">
        <v>332</v>
      </c>
      <c r="C330" s="11"/>
      <c r="D330" s="11">
        <v>250000</v>
      </c>
      <c r="F330" s="124" t="s">
        <v>109</v>
      </c>
    </row>
    <row r="331" spans="1:6" x14ac:dyDescent="0.3">
      <c r="A331" s="125">
        <v>46000</v>
      </c>
      <c r="B331" t="s">
        <v>95</v>
      </c>
      <c r="C331" s="11">
        <v>200050</v>
      </c>
      <c r="D331" s="11"/>
      <c r="E331" t="s">
        <v>389</v>
      </c>
      <c r="F331" s="124" t="s">
        <v>109</v>
      </c>
    </row>
    <row r="332" spans="1:6" x14ac:dyDescent="0.3">
      <c r="A332" s="125">
        <v>46000</v>
      </c>
      <c r="B332" t="s">
        <v>153</v>
      </c>
      <c r="C332" s="11"/>
      <c r="D332" s="11">
        <v>200000</v>
      </c>
      <c r="E332" t="s">
        <v>390</v>
      </c>
      <c r="F332" s="124" t="s">
        <v>109</v>
      </c>
    </row>
    <row r="333" spans="1:6" x14ac:dyDescent="0.3">
      <c r="A333" s="125">
        <v>46000</v>
      </c>
      <c r="B333" t="s">
        <v>153</v>
      </c>
      <c r="C333" s="11"/>
      <c r="D333" s="11">
        <v>100000</v>
      </c>
      <c r="E333" t="s">
        <v>263</v>
      </c>
      <c r="F333" s="124" t="s">
        <v>109</v>
      </c>
    </row>
    <row r="334" spans="1:6" x14ac:dyDescent="0.3">
      <c r="A334" s="125">
        <v>46000</v>
      </c>
      <c r="C334" s="11"/>
      <c r="D334" s="11"/>
      <c r="F334" s="124" t="s">
        <v>109</v>
      </c>
    </row>
    <row r="335" spans="1:6" x14ac:dyDescent="0.3">
      <c r="A335" s="125">
        <v>46000</v>
      </c>
      <c r="B335" t="s">
        <v>153</v>
      </c>
      <c r="C335" s="11"/>
      <c r="D335" s="11">
        <v>100000</v>
      </c>
      <c r="E335" t="s">
        <v>391</v>
      </c>
      <c r="F335" s="124" t="s">
        <v>109</v>
      </c>
    </row>
    <row r="336" spans="1:6" x14ac:dyDescent="0.3">
      <c r="A336" s="125">
        <v>46000</v>
      </c>
      <c r="B336" t="s">
        <v>55</v>
      </c>
      <c r="C336" s="97">
        <v>1300</v>
      </c>
      <c r="D336" s="97"/>
      <c r="E336" t="s">
        <v>392</v>
      </c>
      <c r="F336" s="124" t="s">
        <v>109</v>
      </c>
    </row>
    <row r="337" spans="1:6" x14ac:dyDescent="0.3">
      <c r="A337" s="125">
        <v>46000</v>
      </c>
      <c r="B337" t="s">
        <v>178</v>
      </c>
      <c r="C337" s="11">
        <v>100000</v>
      </c>
      <c r="D337" s="11"/>
      <c r="E337" t="s">
        <v>250</v>
      </c>
      <c r="F337" s="124" t="s">
        <v>109</v>
      </c>
    </row>
    <row r="338" spans="1:6" x14ac:dyDescent="0.3">
      <c r="A338" s="125">
        <v>46000</v>
      </c>
      <c r="B338" t="s">
        <v>341</v>
      </c>
      <c r="C338" s="11">
        <v>100000</v>
      </c>
      <c r="D338" s="11"/>
      <c r="E338" t="s">
        <v>393</v>
      </c>
      <c r="F338" s="124" t="s">
        <v>109</v>
      </c>
    </row>
    <row r="339" spans="1:6" x14ac:dyDescent="0.3">
      <c r="A339" s="125">
        <v>46000</v>
      </c>
      <c r="B339" t="s">
        <v>55</v>
      </c>
      <c r="C339" s="11">
        <v>600</v>
      </c>
      <c r="D339" s="11"/>
      <c r="E339" t="s">
        <v>394</v>
      </c>
      <c r="F339" s="124" t="s">
        <v>109</v>
      </c>
    </row>
    <row r="340" spans="1:6" x14ac:dyDescent="0.3">
      <c r="A340" s="125">
        <v>46000</v>
      </c>
      <c r="B340" t="s">
        <v>220</v>
      </c>
      <c r="C340" s="11">
        <v>45000</v>
      </c>
      <c r="D340" s="11"/>
      <c r="E340" t="s">
        <v>221</v>
      </c>
      <c r="F340" s="124" t="s">
        <v>109</v>
      </c>
    </row>
    <row r="341" spans="1:6" x14ac:dyDescent="0.3">
      <c r="A341" s="125">
        <v>46000</v>
      </c>
      <c r="B341" t="s">
        <v>220</v>
      </c>
      <c r="C341" s="11">
        <v>5000</v>
      </c>
      <c r="D341" s="11"/>
      <c r="E341" t="s">
        <v>221</v>
      </c>
      <c r="F341" s="124" t="s">
        <v>110</v>
      </c>
    </row>
    <row r="342" spans="1:6" x14ac:dyDescent="0.3">
      <c r="A342" s="125">
        <v>46000</v>
      </c>
      <c r="B342" t="s">
        <v>247</v>
      </c>
      <c r="C342" s="11">
        <v>1800</v>
      </c>
      <c r="D342" s="11"/>
      <c r="E342" t="s">
        <v>395</v>
      </c>
      <c r="F342" s="124" t="s">
        <v>109</v>
      </c>
    </row>
    <row r="343" spans="1:6" x14ac:dyDescent="0.3">
      <c r="A343" s="125">
        <v>46000</v>
      </c>
      <c r="B343" t="s">
        <v>220</v>
      </c>
      <c r="C343" s="11">
        <v>5000</v>
      </c>
      <c r="D343" s="11"/>
      <c r="E343" t="s">
        <v>396</v>
      </c>
      <c r="F343" s="124" t="s">
        <v>109</v>
      </c>
    </row>
    <row r="344" spans="1:6" x14ac:dyDescent="0.3">
      <c r="A344" s="125">
        <v>46000</v>
      </c>
      <c r="B344" t="s">
        <v>397</v>
      </c>
      <c r="C344" s="11">
        <v>2000</v>
      </c>
      <c r="D344" s="11"/>
      <c r="E344" t="s">
        <v>251</v>
      </c>
      <c r="F344" s="124" t="s">
        <v>109</v>
      </c>
    </row>
    <row r="345" spans="1:6" x14ac:dyDescent="0.3">
      <c r="A345" s="125">
        <v>46000</v>
      </c>
      <c r="B345" t="s">
        <v>185</v>
      </c>
      <c r="C345" s="11">
        <v>32000</v>
      </c>
      <c r="D345" s="11"/>
      <c r="E345" t="s">
        <v>399</v>
      </c>
      <c r="F345" s="124" t="s">
        <v>109</v>
      </c>
    </row>
    <row r="346" spans="1:6" x14ac:dyDescent="0.3">
      <c r="A346" s="125">
        <v>46000</v>
      </c>
      <c r="B346" t="s">
        <v>237</v>
      </c>
      <c r="C346" s="11"/>
      <c r="D346" s="11">
        <v>32000</v>
      </c>
      <c r="E346" t="s">
        <v>223</v>
      </c>
      <c r="F346" s="124" t="s">
        <v>109</v>
      </c>
    </row>
    <row r="347" spans="1:6" x14ac:dyDescent="0.3">
      <c r="A347" s="125">
        <v>46000</v>
      </c>
      <c r="B347" t="s">
        <v>21</v>
      </c>
      <c r="C347" s="11"/>
      <c r="D347" s="11">
        <v>6000</v>
      </c>
      <c r="E347" t="s">
        <v>400</v>
      </c>
      <c r="F347" s="124" t="s">
        <v>109</v>
      </c>
    </row>
    <row r="348" spans="1:6" x14ac:dyDescent="0.3">
      <c r="A348" s="125">
        <v>46000</v>
      </c>
      <c r="B348" t="s">
        <v>220</v>
      </c>
      <c r="C348" s="11">
        <v>6000</v>
      </c>
      <c r="D348" s="11"/>
      <c r="E348" t="s">
        <v>400</v>
      </c>
      <c r="F348" s="124" t="s">
        <v>109</v>
      </c>
    </row>
    <row r="349" spans="1:6" x14ac:dyDescent="0.3">
      <c r="A349" s="125">
        <v>46000</v>
      </c>
      <c r="B349" t="s">
        <v>381</v>
      </c>
      <c r="C349" s="11"/>
      <c r="D349" s="11">
        <v>16200</v>
      </c>
      <c r="E349" t="s">
        <v>391</v>
      </c>
      <c r="F349" s="88" t="s">
        <v>109</v>
      </c>
    </row>
    <row r="350" spans="1:6" x14ac:dyDescent="0.3">
      <c r="A350" s="125">
        <v>46001</v>
      </c>
      <c r="B350" t="s">
        <v>371</v>
      </c>
      <c r="C350" s="11">
        <v>102000</v>
      </c>
      <c r="D350" s="11"/>
      <c r="F350" s="124" t="s">
        <v>109</v>
      </c>
    </row>
    <row r="351" spans="1:6" x14ac:dyDescent="0.3">
      <c r="A351" s="125">
        <v>46001</v>
      </c>
      <c r="B351" t="s">
        <v>186</v>
      </c>
      <c r="C351" s="11">
        <v>13600</v>
      </c>
      <c r="D351" s="11"/>
      <c r="E351" t="s">
        <v>378</v>
      </c>
      <c r="F351" s="124" t="s">
        <v>109</v>
      </c>
    </row>
    <row r="352" spans="1:6" x14ac:dyDescent="0.3">
      <c r="A352" s="125">
        <v>46001</v>
      </c>
      <c r="B352" t="s">
        <v>186</v>
      </c>
      <c r="C352" s="11">
        <v>5000</v>
      </c>
      <c r="D352" s="11"/>
      <c r="E352" t="s">
        <v>401</v>
      </c>
      <c r="F352" s="124" t="s">
        <v>109</v>
      </c>
    </row>
    <row r="353" spans="1:6" x14ac:dyDescent="0.3">
      <c r="A353" s="125">
        <v>46001</v>
      </c>
      <c r="B353" t="s">
        <v>186</v>
      </c>
      <c r="C353" s="11">
        <v>250</v>
      </c>
      <c r="D353" s="11"/>
      <c r="F353" s="124"/>
    </row>
    <row r="354" spans="1:6" x14ac:dyDescent="0.3">
      <c r="A354" s="125">
        <v>46001</v>
      </c>
      <c r="B354" t="s">
        <v>332</v>
      </c>
      <c r="C354" s="11"/>
      <c r="D354" s="11">
        <v>150000</v>
      </c>
      <c r="E354" t="s">
        <v>332</v>
      </c>
      <c r="F354" s="124" t="s">
        <v>109</v>
      </c>
    </row>
    <row r="355" spans="1:6" x14ac:dyDescent="0.3">
      <c r="A355" s="125">
        <v>46001</v>
      </c>
      <c r="B355" t="s">
        <v>341</v>
      </c>
      <c r="C355" s="11">
        <v>125000</v>
      </c>
      <c r="D355" s="11"/>
      <c r="E355" t="s">
        <v>402</v>
      </c>
      <c r="F355" s="124" t="s">
        <v>109</v>
      </c>
    </row>
    <row r="356" spans="1:6" x14ac:dyDescent="0.3">
      <c r="A356" s="125">
        <v>46001</v>
      </c>
      <c r="B356" t="s">
        <v>237</v>
      </c>
      <c r="C356" s="11"/>
      <c r="D356" s="11">
        <v>24500</v>
      </c>
      <c r="E356" t="s">
        <v>403</v>
      </c>
      <c r="F356" s="124" t="s">
        <v>109</v>
      </c>
    </row>
    <row r="357" spans="1:6" x14ac:dyDescent="0.3">
      <c r="A357" s="125">
        <v>46001</v>
      </c>
      <c r="B357" t="s">
        <v>153</v>
      </c>
      <c r="C357" s="11"/>
      <c r="D357" s="11">
        <v>150000</v>
      </c>
      <c r="E357" t="s">
        <v>263</v>
      </c>
      <c r="F357" s="124" t="s">
        <v>109</v>
      </c>
    </row>
    <row r="358" spans="1:6" x14ac:dyDescent="0.3">
      <c r="A358" s="125">
        <v>46001</v>
      </c>
      <c r="B358" t="s">
        <v>220</v>
      </c>
      <c r="C358" s="11">
        <v>5000</v>
      </c>
      <c r="D358" s="11"/>
      <c r="E358" t="s">
        <v>405</v>
      </c>
      <c r="F358" s="124" t="s">
        <v>109</v>
      </c>
    </row>
    <row r="359" spans="1:6" x14ac:dyDescent="0.3">
      <c r="A359" s="125">
        <v>46002</v>
      </c>
      <c r="B359" t="s">
        <v>220</v>
      </c>
      <c r="C359" s="11">
        <v>5000</v>
      </c>
      <c r="D359" s="11"/>
      <c r="E359" t="s">
        <v>360</v>
      </c>
      <c r="F359" s="124" t="s">
        <v>109</v>
      </c>
    </row>
    <row r="360" spans="1:6" x14ac:dyDescent="0.3">
      <c r="A360" s="125">
        <v>46002</v>
      </c>
      <c r="B360" t="s">
        <v>220</v>
      </c>
      <c r="C360" s="11">
        <v>2000</v>
      </c>
      <c r="D360" s="11"/>
      <c r="E360" t="s">
        <v>406</v>
      </c>
      <c r="F360" s="124" t="s">
        <v>109</v>
      </c>
    </row>
    <row r="361" spans="1:6" x14ac:dyDescent="0.3">
      <c r="A361" s="125">
        <v>46002</v>
      </c>
      <c r="B361" t="s">
        <v>186</v>
      </c>
      <c r="C361" s="11">
        <v>12200</v>
      </c>
      <c r="D361" s="11"/>
      <c r="E361" t="s">
        <v>378</v>
      </c>
      <c r="F361" s="124" t="s">
        <v>109</v>
      </c>
    </row>
    <row r="362" spans="1:6" x14ac:dyDescent="0.3">
      <c r="A362" s="125">
        <v>46002</v>
      </c>
      <c r="B362" t="s">
        <v>237</v>
      </c>
      <c r="C362" s="11"/>
      <c r="D362" s="11">
        <v>20500</v>
      </c>
      <c r="F362" s="124" t="s">
        <v>109</v>
      </c>
    </row>
    <row r="363" spans="1:6" x14ac:dyDescent="0.3">
      <c r="A363" s="125">
        <v>46002</v>
      </c>
      <c r="B363" t="s">
        <v>237</v>
      </c>
      <c r="C363" s="11"/>
      <c r="D363" s="11">
        <v>134750</v>
      </c>
      <c r="E363" t="s">
        <v>223</v>
      </c>
      <c r="F363" s="124" t="s">
        <v>109</v>
      </c>
    </row>
    <row r="364" spans="1:6" x14ac:dyDescent="0.3">
      <c r="A364" s="125">
        <v>46002</v>
      </c>
      <c r="B364" t="s">
        <v>237</v>
      </c>
      <c r="C364" s="11"/>
      <c r="D364" s="11">
        <v>2560</v>
      </c>
      <c r="E364" t="s">
        <v>407</v>
      </c>
      <c r="F364" s="124" t="s">
        <v>109</v>
      </c>
    </row>
    <row r="365" spans="1:6" x14ac:dyDescent="0.3">
      <c r="A365" s="125">
        <v>46002</v>
      </c>
      <c r="B365" t="s">
        <v>237</v>
      </c>
      <c r="C365" s="11"/>
      <c r="D365" s="11">
        <v>9000</v>
      </c>
      <c r="E365" t="s">
        <v>408</v>
      </c>
      <c r="F365" s="124" t="s">
        <v>109</v>
      </c>
    </row>
    <row r="366" spans="1:6" x14ac:dyDescent="0.3">
      <c r="A366" s="125">
        <v>46002</v>
      </c>
      <c r="B366" t="s">
        <v>237</v>
      </c>
      <c r="C366" s="11"/>
      <c r="D366" s="11">
        <v>150000</v>
      </c>
      <c r="F366" s="124" t="s">
        <v>109</v>
      </c>
    </row>
    <row r="367" spans="1:6" x14ac:dyDescent="0.3">
      <c r="A367" s="125">
        <v>46002</v>
      </c>
      <c r="B367" t="s">
        <v>206</v>
      </c>
      <c r="C367" s="11">
        <v>150500</v>
      </c>
      <c r="D367" s="11"/>
      <c r="F367" s="124" t="s">
        <v>109</v>
      </c>
    </row>
    <row r="368" spans="1:6" x14ac:dyDescent="0.3">
      <c r="A368" s="125">
        <v>46002</v>
      </c>
      <c r="B368" t="s">
        <v>185</v>
      </c>
      <c r="C368" s="11">
        <v>134750</v>
      </c>
      <c r="D368" s="11"/>
      <c r="E368" t="s">
        <v>409</v>
      </c>
      <c r="F368" s="124" t="s">
        <v>109</v>
      </c>
    </row>
    <row r="369" spans="1:6" x14ac:dyDescent="0.3">
      <c r="A369" s="125">
        <v>46002</v>
      </c>
      <c r="B369" t="s">
        <v>54</v>
      </c>
      <c r="C369" s="11">
        <v>7180</v>
      </c>
      <c r="D369" s="11"/>
      <c r="E369" t="s">
        <v>410</v>
      </c>
      <c r="F369" s="124" t="s">
        <v>109</v>
      </c>
    </row>
    <row r="370" spans="1:6" x14ac:dyDescent="0.3">
      <c r="A370" s="125">
        <v>46002</v>
      </c>
      <c r="B370" t="s">
        <v>186</v>
      </c>
      <c r="C370" s="11">
        <v>4500</v>
      </c>
      <c r="D370" s="11"/>
      <c r="E370" t="s">
        <v>411</v>
      </c>
      <c r="F370" s="124" t="s">
        <v>109</v>
      </c>
    </row>
    <row r="371" spans="1:6" x14ac:dyDescent="0.3">
      <c r="A371" s="125">
        <v>46002</v>
      </c>
      <c r="B371" t="s">
        <v>381</v>
      </c>
      <c r="C371" s="11">
        <v>25000</v>
      </c>
      <c r="D371" s="11"/>
      <c r="E371" t="s">
        <v>412</v>
      </c>
      <c r="F371" s="124" t="s">
        <v>109</v>
      </c>
    </row>
    <row r="372" spans="1:6" x14ac:dyDescent="0.3">
      <c r="A372" s="125">
        <v>46002</v>
      </c>
      <c r="B372" t="s">
        <v>381</v>
      </c>
      <c r="C372" s="11">
        <v>1000</v>
      </c>
      <c r="D372" s="11"/>
      <c r="E372" t="s">
        <v>412</v>
      </c>
      <c r="F372" s="124" t="s">
        <v>109</v>
      </c>
    </row>
    <row r="373" spans="1:6" x14ac:dyDescent="0.3">
      <c r="A373" s="125">
        <v>46002</v>
      </c>
      <c r="B373" t="s">
        <v>237</v>
      </c>
      <c r="C373" s="11">
        <v>150000</v>
      </c>
      <c r="D373" s="11"/>
      <c r="E373" t="s">
        <v>413</v>
      </c>
      <c r="F373" s="124" t="s">
        <v>109</v>
      </c>
    </row>
    <row r="374" spans="1:6" x14ac:dyDescent="0.3">
      <c r="A374" s="125">
        <v>46002</v>
      </c>
      <c r="B374" t="s">
        <v>55</v>
      </c>
      <c r="C374" s="97">
        <v>2560</v>
      </c>
      <c r="D374" s="97"/>
      <c r="F374" s="124" t="s">
        <v>109</v>
      </c>
    </row>
    <row r="375" spans="1:6" x14ac:dyDescent="0.3">
      <c r="A375" s="125">
        <v>46002</v>
      </c>
      <c r="B375" t="s">
        <v>55</v>
      </c>
      <c r="C375" s="11">
        <v>9000</v>
      </c>
      <c r="D375" s="11"/>
      <c r="F375" s="124" t="s">
        <v>109</v>
      </c>
    </row>
    <row r="376" spans="1:6" x14ac:dyDescent="0.3">
      <c r="A376" s="125">
        <v>46002</v>
      </c>
      <c r="B376" t="s">
        <v>54</v>
      </c>
      <c r="C376" s="11">
        <v>1000</v>
      </c>
      <c r="D376" s="11"/>
      <c r="E376" t="s">
        <v>232</v>
      </c>
      <c r="F376" s="124" t="s">
        <v>109</v>
      </c>
    </row>
    <row r="377" spans="1:6" x14ac:dyDescent="0.3">
      <c r="A377" s="125">
        <v>46002</v>
      </c>
      <c r="B377" t="s">
        <v>55</v>
      </c>
      <c r="C377" s="11">
        <v>6594</v>
      </c>
      <c r="D377" s="11"/>
      <c r="E377" t="s">
        <v>414</v>
      </c>
      <c r="F377" s="124" t="s">
        <v>109</v>
      </c>
    </row>
    <row r="378" spans="1:6" x14ac:dyDescent="0.3">
      <c r="A378" s="125">
        <v>46002</v>
      </c>
      <c r="B378" t="s">
        <v>55</v>
      </c>
      <c r="C378" s="11">
        <v>4790</v>
      </c>
      <c r="D378" s="11"/>
      <c r="E378" t="s">
        <v>211</v>
      </c>
      <c r="F378" s="124" t="s">
        <v>109</v>
      </c>
    </row>
    <row r="379" spans="1:6" x14ac:dyDescent="0.3">
      <c r="A379" s="125">
        <v>46002</v>
      </c>
      <c r="B379" t="s">
        <v>220</v>
      </c>
      <c r="C379" s="11">
        <v>5000</v>
      </c>
      <c r="D379" s="11"/>
      <c r="E379" t="s">
        <v>352</v>
      </c>
      <c r="F379" s="124" t="s">
        <v>109</v>
      </c>
    </row>
    <row r="380" spans="1:6" x14ac:dyDescent="0.3">
      <c r="A380" s="125">
        <v>46002</v>
      </c>
      <c r="B380" t="s">
        <v>237</v>
      </c>
      <c r="C380" s="11"/>
      <c r="D380" s="11">
        <v>69000</v>
      </c>
      <c r="E380" t="s">
        <v>341</v>
      </c>
      <c r="F380" s="124" t="s">
        <v>109</v>
      </c>
    </row>
    <row r="381" spans="1:6" x14ac:dyDescent="0.3">
      <c r="A381" s="38">
        <v>46002</v>
      </c>
      <c r="B381" t="s">
        <v>341</v>
      </c>
      <c r="C381" s="97">
        <v>90000</v>
      </c>
      <c r="D381" s="97"/>
      <c r="E381" t="s">
        <v>402</v>
      </c>
      <c r="F381" s="124" t="s">
        <v>109</v>
      </c>
    </row>
    <row r="382" spans="1:6" x14ac:dyDescent="0.3">
      <c r="A382" s="38">
        <v>46002</v>
      </c>
      <c r="B382" t="s">
        <v>416</v>
      </c>
      <c r="C382" s="97">
        <v>1400</v>
      </c>
      <c r="D382" s="97"/>
      <c r="F382" s="124"/>
    </row>
    <row r="383" spans="1:6" x14ac:dyDescent="0.3">
      <c r="A383" s="38"/>
      <c r="C383" s="11"/>
      <c r="D383" s="11"/>
      <c r="F383" s="124"/>
    </row>
    <row r="384" spans="1:6" x14ac:dyDescent="0.3">
      <c r="A384" s="135">
        <v>46003</v>
      </c>
      <c r="B384" t="s">
        <v>416</v>
      </c>
      <c r="C384" s="11"/>
      <c r="D384" s="11">
        <v>1000</v>
      </c>
      <c r="F384" s="124" t="s">
        <v>109</v>
      </c>
    </row>
    <row r="385" spans="1:7" x14ac:dyDescent="0.3">
      <c r="A385" s="135">
        <v>46003</v>
      </c>
      <c r="B385" t="s">
        <v>247</v>
      </c>
      <c r="C385" s="11">
        <v>15000</v>
      </c>
      <c r="D385" s="11"/>
      <c r="E385" t="s">
        <v>418</v>
      </c>
      <c r="F385" s="124" t="s">
        <v>109</v>
      </c>
    </row>
    <row r="386" spans="1:7" x14ac:dyDescent="0.3">
      <c r="A386" s="38">
        <v>46003</v>
      </c>
      <c r="B386" t="s">
        <v>341</v>
      </c>
      <c r="C386" s="11">
        <v>190000</v>
      </c>
      <c r="D386" s="11"/>
      <c r="F386" s="124" t="s">
        <v>109</v>
      </c>
    </row>
    <row r="387" spans="1:7" x14ac:dyDescent="0.3">
      <c r="A387" s="135">
        <v>46003</v>
      </c>
      <c r="B387" t="s">
        <v>356</v>
      </c>
      <c r="C387" s="11"/>
      <c r="D387" s="11">
        <v>12700</v>
      </c>
      <c r="E387" t="s">
        <v>225</v>
      </c>
      <c r="F387" s="124" t="s">
        <v>109</v>
      </c>
    </row>
    <row r="388" spans="1:7" x14ac:dyDescent="0.3">
      <c r="A388" s="135">
        <v>46003</v>
      </c>
      <c r="B388" t="s">
        <v>237</v>
      </c>
      <c r="C388" s="11"/>
      <c r="D388" s="11">
        <v>120000</v>
      </c>
      <c r="F388" s="124" t="s">
        <v>109</v>
      </c>
    </row>
    <row r="389" spans="1:7" x14ac:dyDescent="0.3">
      <c r="A389" s="38">
        <v>46003</v>
      </c>
      <c r="B389" t="s">
        <v>185</v>
      </c>
      <c r="C389" s="11">
        <v>55250</v>
      </c>
      <c r="D389" s="11"/>
      <c r="E389" t="s">
        <v>336</v>
      </c>
      <c r="F389" s="124" t="s">
        <v>109</v>
      </c>
    </row>
    <row r="390" spans="1:7" x14ac:dyDescent="0.3">
      <c r="A390" s="135">
        <v>46003</v>
      </c>
      <c r="B390" t="s">
        <v>237</v>
      </c>
      <c r="C390" s="11"/>
      <c r="D390" s="11">
        <v>55250</v>
      </c>
      <c r="E390" t="s">
        <v>223</v>
      </c>
      <c r="F390" s="124" t="s">
        <v>109</v>
      </c>
    </row>
    <row r="391" spans="1:7" x14ac:dyDescent="0.3">
      <c r="A391" s="135">
        <v>46003</v>
      </c>
      <c r="B391" t="s">
        <v>185</v>
      </c>
      <c r="C391" s="11">
        <v>11250</v>
      </c>
      <c r="D391" s="11"/>
      <c r="E391" t="s">
        <v>419</v>
      </c>
      <c r="F391" s="124" t="s">
        <v>109</v>
      </c>
    </row>
    <row r="392" spans="1:7" x14ac:dyDescent="0.3">
      <c r="A392" s="38">
        <v>46003</v>
      </c>
      <c r="B392" t="s">
        <v>237</v>
      </c>
      <c r="C392" s="11"/>
      <c r="D392" s="11">
        <v>11250</v>
      </c>
      <c r="E392" t="s">
        <v>419</v>
      </c>
      <c r="F392" s="124" t="s">
        <v>109</v>
      </c>
    </row>
    <row r="393" spans="1:7" x14ac:dyDescent="0.3">
      <c r="A393" s="135">
        <v>46003</v>
      </c>
      <c r="B393" t="s">
        <v>297</v>
      </c>
      <c r="C393" s="11"/>
      <c r="D393" s="11">
        <v>100000</v>
      </c>
      <c r="F393" s="124" t="s">
        <v>109</v>
      </c>
    </row>
    <row r="394" spans="1:7" x14ac:dyDescent="0.3">
      <c r="A394" s="135">
        <v>46003</v>
      </c>
      <c r="B394" t="s">
        <v>9</v>
      </c>
      <c r="C394" s="11"/>
      <c r="D394" s="11">
        <v>100000</v>
      </c>
      <c r="F394" s="124" t="s">
        <v>109</v>
      </c>
    </row>
    <row r="395" spans="1:7" x14ac:dyDescent="0.3">
      <c r="A395" s="135">
        <v>46003</v>
      </c>
      <c r="B395" t="s">
        <v>212</v>
      </c>
      <c r="C395" s="11">
        <v>80000</v>
      </c>
      <c r="D395" s="11"/>
      <c r="E395" t="s">
        <v>380</v>
      </c>
      <c r="F395" s="124" t="s">
        <v>109</v>
      </c>
    </row>
    <row r="396" spans="1:7" x14ac:dyDescent="0.3">
      <c r="A396" s="135">
        <v>46003</v>
      </c>
      <c r="B396" t="s">
        <v>212</v>
      </c>
      <c r="C396" s="11">
        <v>50000</v>
      </c>
      <c r="D396" s="11"/>
      <c r="E396" t="s">
        <v>420</v>
      </c>
      <c r="F396" s="124" t="s">
        <v>109</v>
      </c>
    </row>
    <row r="397" spans="1:7" x14ac:dyDescent="0.3">
      <c r="A397" s="135">
        <v>46004</v>
      </c>
      <c r="B397" t="s">
        <v>27</v>
      </c>
      <c r="C397" s="11"/>
      <c r="D397" s="11">
        <v>61500</v>
      </c>
      <c r="E397" t="s">
        <v>393</v>
      </c>
      <c r="F397" s="124" t="s">
        <v>109</v>
      </c>
    </row>
    <row r="398" spans="1:7" x14ac:dyDescent="0.3">
      <c r="A398" s="136">
        <v>46004</v>
      </c>
      <c r="B398" s="137" t="s">
        <v>27</v>
      </c>
      <c r="C398" s="97"/>
      <c r="D398" s="97">
        <v>38500</v>
      </c>
      <c r="E398" s="137" t="s">
        <v>263</v>
      </c>
      <c r="F398" s="138" t="s">
        <v>109</v>
      </c>
      <c r="G398" s="137"/>
    </row>
    <row r="399" spans="1:7" x14ac:dyDescent="0.3">
      <c r="A399" s="135">
        <v>46004</v>
      </c>
      <c r="B399" t="s">
        <v>220</v>
      </c>
      <c r="C399" s="11">
        <v>20000</v>
      </c>
      <c r="D399" s="11"/>
      <c r="E399" t="s">
        <v>396</v>
      </c>
      <c r="F399" s="124" t="s">
        <v>109</v>
      </c>
    </row>
    <row r="400" spans="1:7" x14ac:dyDescent="0.3">
      <c r="A400" s="135">
        <v>46004</v>
      </c>
      <c r="B400" t="s">
        <v>237</v>
      </c>
      <c r="C400" s="11"/>
      <c r="D400" s="11">
        <v>20000</v>
      </c>
      <c r="E400" t="s">
        <v>396</v>
      </c>
      <c r="F400" s="124" t="s">
        <v>109</v>
      </c>
    </row>
    <row r="401" spans="1:7" x14ac:dyDescent="0.3">
      <c r="A401" s="136">
        <v>46004</v>
      </c>
      <c r="B401" s="137" t="s">
        <v>237</v>
      </c>
      <c r="C401" s="97">
        <v>100000</v>
      </c>
      <c r="D401" s="97"/>
      <c r="E401" s="137" t="s">
        <v>421</v>
      </c>
      <c r="F401" s="138" t="s">
        <v>109</v>
      </c>
      <c r="G401" s="137"/>
    </row>
    <row r="402" spans="1:7" x14ac:dyDescent="0.3">
      <c r="A402" s="135">
        <v>46003</v>
      </c>
      <c r="B402" t="s">
        <v>220</v>
      </c>
      <c r="C402" s="11">
        <v>1000</v>
      </c>
      <c r="D402" s="11"/>
      <c r="E402" t="s">
        <v>424</v>
      </c>
      <c r="F402" s="124" t="s">
        <v>109</v>
      </c>
    </row>
    <row r="403" spans="1:7" x14ac:dyDescent="0.3">
      <c r="A403" s="135">
        <v>46003</v>
      </c>
      <c r="B403" t="s">
        <v>220</v>
      </c>
      <c r="C403" s="11">
        <v>500</v>
      </c>
      <c r="D403" s="11"/>
      <c r="E403" t="s">
        <v>425</v>
      </c>
      <c r="F403" s="124" t="s">
        <v>109</v>
      </c>
    </row>
    <row r="404" spans="1:7" x14ac:dyDescent="0.3">
      <c r="A404" s="135"/>
      <c r="C404" s="11"/>
      <c r="D404" s="11"/>
      <c r="F404" s="124"/>
    </row>
    <row r="405" spans="1:7" x14ac:dyDescent="0.3">
      <c r="A405" s="135"/>
      <c r="C405" s="11"/>
      <c r="D405" s="11"/>
      <c r="F405" s="124"/>
    </row>
    <row r="406" spans="1:7" x14ac:dyDescent="0.3">
      <c r="A406" s="135"/>
      <c r="C406" s="11"/>
      <c r="D406" s="11"/>
      <c r="F406" s="124"/>
    </row>
    <row r="407" spans="1:7" x14ac:dyDescent="0.3">
      <c r="A407" s="136"/>
      <c r="B407" s="137"/>
      <c r="C407" s="97"/>
      <c r="D407" s="97"/>
      <c r="E407" s="137"/>
      <c r="F407" s="138"/>
      <c r="G407" s="137"/>
    </row>
    <row r="408" spans="1:7" x14ac:dyDescent="0.3">
      <c r="A408" s="38"/>
      <c r="C408" s="14">
        <f>SUBTOTAL(109,Table14[Debit])</f>
        <v>15806023</v>
      </c>
      <c r="D408" s="14">
        <f>SUBTOTAL(109,Table14[Credit])</f>
        <v>15834740</v>
      </c>
      <c r="F408" s="54">
        <f>(Table14[[#Totals],[Credit]]-Table14[[#Totals],[Debit]])</f>
        <v>28717</v>
      </c>
    </row>
  </sheetData>
  <pageMargins left="0.7" right="0.7" top="0.75" bottom="0.75" header="0.3" footer="0.3"/>
  <pageSetup paperSize="129" orientation="portrait" r:id="rId2"/>
  <drawing r:id="rId3"/>
  <tableParts count="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DB14-19DB-4B01-8C13-74C417326C5D}">
  <dimension ref="A1:P57"/>
  <sheetViews>
    <sheetView topLeftCell="A37" zoomScale="93" zoomScaleNormal="210" workbookViewId="0">
      <selection activeCell="A19" sqref="A19"/>
    </sheetView>
  </sheetViews>
  <sheetFormatPr defaultRowHeight="14.4" x14ac:dyDescent="0.3"/>
  <cols>
    <col min="1" max="1" width="11.109375" customWidth="1"/>
    <col min="2" max="2" width="15.5546875" customWidth="1"/>
    <col min="3" max="3" width="11.5546875" customWidth="1"/>
    <col min="5" max="5" width="12.33203125" bestFit="1" customWidth="1"/>
    <col min="6" max="6" width="11.33203125" bestFit="1" customWidth="1"/>
    <col min="7" max="7" width="10.33203125" bestFit="1" customWidth="1"/>
    <col min="8" max="8" width="12.33203125" bestFit="1" customWidth="1"/>
    <col min="9" max="9" width="15.5546875" customWidth="1"/>
    <col min="10" max="10" width="14.44140625" bestFit="1" customWidth="1"/>
    <col min="11" max="11" width="13.109375" bestFit="1" customWidth="1"/>
    <col min="12" max="12" width="11.5546875" bestFit="1" customWidth="1"/>
    <col min="13" max="13" width="14.109375" bestFit="1" customWidth="1"/>
  </cols>
  <sheetData>
    <row r="1" spans="1:14" x14ac:dyDescent="0.3">
      <c r="A1" s="2" t="s">
        <v>75</v>
      </c>
      <c r="B1" s="2" t="s">
        <v>121</v>
      </c>
      <c r="C1" s="2" t="s">
        <v>122</v>
      </c>
      <c r="D1" s="8" t="s">
        <v>4</v>
      </c>
      <c r="E1" s="8" t="s">
        <v>123</v>
      </c>
      <c r="F1" s="8" t="s">
        <v>111</v>
      </c>
      <c r="G1" s="8" t="s">
        <v>93</v>
      </c>
      <c r="H1" s="8" t="s">
        <v>18</v>
      </c>
      <c r="I1" s="8" t="s">
        <v>124</v>
      </c>
    </row>
    <row r="2" spans="1:14" x14ac:dyDescent="0.3">
      <c r="A2" s="85">
        <v>45947</v>
      </c>
      <c r="B2" s="82" t="s">
        <v>64</v>
      </c>
      <c r="C2" s="82"/>
      <c r="D2" s="82"/>
      <c r="E2" s="82"/>
      <c r="F2" s="98" t="s">
        <v>116</v>
      </c>
      <c r="G2" s="82">
        <f>SUMIFS(Table14[Debit], Table14[Date], Table8[[#This Row],[Date]], Table14[Party], Table8[[#This Row],[Party]])</f>
        <v>0</v>
      </c>
      <c r="H2" s="82">
        <v>240125</v>
      </c>
      <c r="I2" s="82" t="s">
        <v>201</v>
      </c>
      <c r="K2" t="s">
        <v>75</v>
      </c>
      <c r="L2" t="s">
        <v>45</v>
      </c>
      <c r="M2" t="s">
        <v>36</v>
      </c>
      <c r="N2" t="s">
        <v>5</v>
      </c>
    </row>
    <row r="3" spans="1:14" x14ac:dyDescent="0.3">
      <c r="A3" s="96">
        <v>45947</v>
      </c>
      <c r="B3" s="81" t="s">
        <v>64</v>
      </c>
      <c r="C3" s="81"/>
      <c r="D3" s="81"/>
      <c r="E3" s="81"/>
      <c r="F3" s="81" t="s">
        <v>185</v>
      </c>
      <c r="G3" s="81">
        <f>SUMIFS(Table14[Debit], Table14[Date], Table8[[#This Row],[Date]], Table14[Party], Table8[[#This Row],[Party]])</f>
        <v>0</v>
      </c>
      <c r="H3" s="81">
        <v>0</v>
      </c>
      <c r="I3" s="81" t="s">
        <v>201</v>
      </c>
      <c r="K3" s="1"/>
      <c r="L3" t="s">
        <v>125</v>
      </c>
      <c r="N3" s="11">
        <f t="shared" ref="N3" si="0">47000+28750</f>
        <v>75750</v>
      </c>
    </row>
    <row r="4" spans="1:14" x14ac:dyDescent="0.3">
      <c r="A4" s="1">
        <v>45979</v>
      </c>
      <c r="B4" t="s">
        <v>64</v>
      </c>
      <c r="F4" t="s">
        <v>195</v>
      </c>
      <c r="G4">
        <f>SUMIFS(Table14[Debit], Table14[Date], Table8[[#This Row],[Date]], Table14[Party], Table8[[#This Row],[Party]])</f>
        <v>0</v>
      </c>
      <c r="H4">
        <f>Table8[[#This Row],[Price]]-Table8[[#This Row],[Paid]]</f>
        <v>0</v>
      </c>
      <c r="I4" t="s">
        <v>201</v>
      </c>
      <c r="K4" s="1"/>
      <c r="N4" s="11"/>
    </row>
    <row r="5" spans="1:14" x14ac:dyDescent="0.3">
      <c r="A5" s="1">
        <v>45981</v>
      </c>
      <c r="B5" t="s">
        <v>64</v>
      </c>
      <c r="E5">
        <v>141950</v>
      </c>
      <c r="F5" t="s">
        <v>185</v>
      </c>
      <c r="G5">
        <f>SUMIFS(Table14[Debit], Table14[Date], Table8[[#This Row],[Date]], Table14[Party], Table8[[#This Row],[Party]])</f>
        <v>141950</v>
      </c>
      <c r="H5">
        <f>Table8[[#This Row],[Price]]-Table8[[#This Row],[Paid]]</f>
        <v>0</v>
      </c>
      <c r="K5" s="1"/>
      <c r="N5" s="14">
        <f>SUM(Table7[Total])</f>
        <v>75750</v>
      </c>
    </row>
    <row r="6" spans="1:14" x14ac:dyDescent="0.3">
      <c r="A6" s="1">
        <v>45983</v>
      </c>
      <c r="B6" t="s">
        <v>258</v>
      </c>
      <c r="E6">
        <v>60000</v>
      </c>
      <c r="F6" t="s">
        <v>195</v>
      </c>
      <c r="G6">
        <f>SUMIFS(Table14[Debit], Table14[Date], Table8[[#This Row],[Date]], Table14[Party], Table8[[#This Row],[Party]])</f>
        <v>60000</v>
      </c>
      <c r="H6">
        <f>Table8[[#This Row],[Price]]-Table8[[#This Row],[Paid]]</f>
        <v>0</v>
      </c>
    </row>
    <row r="7" spans="1:14" x14ac:dyDescent="0.3">
      <c r="A7" s="1">
        <v>45983</v>
      </c>
      <c r="B7" t="s">
        <v>259</v>
      </c>
      <c r="E7">
        <v>98000</v>
      </c>
      <c r="F7" t="s">
        <v>185</v>
      </c>
      <c r="G7">
        <f>SUMIFS(Table14[Debit], Table14[Date], Table8[[#This Row],[Date]], Table14[Party], Table8[[#This Row],[Party]])</f>
        <v>98000</v>
      </c>
      <c r="H7">
        <f>Table8[[#This Row],[Price]]-Table8[[#This Row],[Paid]]</f>
        <v>0</v>
      </c>
      <c r="K7" s="3" t="s">
        <v>111</v>
      </c>
      <c r="L7" t="s">
        <v>88</v>
      </c>
    </row>
    <row r="8" spans="1:14" x14ac:dyDescent="0.3">
      <c r="A8" s="1">
        <v>45986</v>
      </c>
      <c r="B8" t="s">
        <v>64</v>
      </c>
      <c r="E8">
        <v>231500</v>
      </c>
      <c r="F8" t="s">
        <v>185</v>
      </c>
      <c r="G8">
        <f>SUMIFS(Table14[Debit], Table14[Date], Table8[[#This Row],[Date]], Table14[Party], Table8[[#This Row],[Party]])</f>
        <v>231500</v>
      </c>
      <c r="H8">
        <f>Table8[[#This Row],[Price]]-Table8[[#This Row],[Paid]]</f>
        <v>0</v>
      </c>
    </row>
    <row r="9" spans="1:14" x14ac:dyDescent="0.3">
      <c r="A9" s="1">
        <v>45987</v>
      </c>
      <c r="B9" t="s">
        <v>285</v>
      </c>
      <c r="F9" t="s">
        <v>116</v>
      </c>
      <c r="G9">
        <f>SUMIFS(Table14[Debit], Table14[Date], Table8[[#This Row],[Date]], Table14[Party], Table8[[#This Row],[Party]])</f>
        <v>240125</v>
      </c>
      <c r="H9">
        <f>Table8[[#This Row],[Price]]-Table8[[#This Row],[Paid]]</f>
        <v>-240125</v>
      </c>
      <c r="K9" s="3" t="s">
        <v>6</v>
      </c>
      <c r="L9" t="s">
        <v>128</v>
      </c>
      <c r="M9" t="s">
        <v>129</v>
      </c>
    </row>
    <row r="10" spans="1:14" x14ac:dyDescent="0.3">
      <c r="A10" s="1">
        <v>45988</v>
      </c>
      <c r="B10" t="s">
        <v>300</v>
      </c>
      <c r="E10">
        <v>85000</v>
      </c>
      <c r="F10" t="s">
        <v>301</v>
      </c>
      <c r="G10">
        <f>SUMIFS(Table14[Debit], Table14[Date], Table8[[#This Row],[Date]], Table14[Party], Table8[[#This Row],[Party]])</f>
        <v>85000</v>
      </c>
      <c r="H10">
        <f>Table8[[#This Row],[Price]]-Table8[[#This Row],[Paid]]</f>
        <v>0</v>
      </c>
      <c r="K10" s="26">
        <v>45947</v>
      </c>
      <c r="L10" s="134"/>
      <c r="M10" s="134">
        <v>240125</v>
      </c>
    </row>
    <row r="11" spans="1:14" x14ac:dyDescent="0.3">
      <c r="A11" s="1">
        <v>45990</v>
      </c>
      <c r="B11" t="s">
        <v>312</v>
      </c>
      <c r="E11">
        <v>46000</v>
      </c>
      <c r="F11" t="s">
        <v>185</v>
      </c>
      <c r="G11">
        <f>SUMIFS(Table14[Debit], Table14[Date], Table8[[#This Row],[Date]], Table14[Party], Table8[[#This Row],[Party]])</f>
        <v>46000</v>
      </c>
      <c r="H11">
        <f>Table8[[#This Row],[Price]]-Table8[[#This Row],[Paid]]</f>
        <v>0</v>
      </c>
      <c r="K11" s="26">
        <v>45979</v>
      </c>
      <c r="L11" s="134"/>
      <c r="M11" s="134">
        <v>0</v>
      </c>
    </row>
    <row r="12" spans="1:14" x14ac:dyDescent="0.3">
      <c r="A12" s="1">
        <v>45992</v>
      </c>
      <c r="E12">
        <v>52000</v>
      </c>
      <c r="F12" t="s">
        <v>185</v>
      </c>
      <c r="G12">
        <f>SUMIFS(Table14[Debit], Table14[Date], Table8[[#This Row],[Date]], Table14[Party], Table8[[#This Row],[Party]])</f>
        <v>52000</v>
      </c>
      <c r="H12">
        <f>Table8[[#This Row],[Price]]-Table8[[#This Row],[Paid]]</f>
        <v>0</v>
      </c>
      <c r="K12" s="26">
        <v>45981</v>
      </c>
      <c r="L12" s="134">
        <v>141950</v>
      </c>
      <c r="M12" s="134">
        <v>0</v>
      </c>
    </row>
    <row r="13" spans="1:14" x14ac:dyDescent="0.3">
      <c r="A13" s="1">
        <v>45993</v>
      </c>
      <c r="B13" t="s">
        <v>336</v>
      </c>
      <c r="E13">
        <v>242450</v>
      </c>
      <c r="F13" t="s">
        <v>185</v>
      </c>
      <c r="G13">
        <f>SUMIFS(Table14[Debit], Table14[Date], Table8[[#This Row],[Date]], Table14[Party], Table8[[#This Row],[Party]])</f>
        <v>242450</v>
      </c>
      <c r="H13">
        <f>Table8[[#This Row],[Price]]-Table8[[#This Row],[Paid]]</f>
        <v>0</v>
      </c>
      <c r="K13" s="26">
        <v>45983</v>
      </c>
      <c r="L13" s="134">
        <v>158000</v>
      </c>
      <c r="M13" s="134">
        <v>0</v>
      </c>
    </row>
    <row r="14" spans="1:14" x14ac:dyDescent="0.3">
      <c r="A14" s="1">
        <v>45995</v>
      </c>
      <c r="B14" t="s">
        <v>64</v>
      </c>
      <c r="E14">
        <v>56000</v>
      </c>
      <c r="F14" t="s">
        <v>185</v>
      </c>
      <c r="G14">
        <f>SUMIFS(Table14[Debit], Table14[Date], Table8[[#This Row],[Date]], Table14[Party], Table8[[#This Row],[Party]])</f>
        <v>56000</v>
      </c>
      <c r="H14">
        <f>Table8[[#This Row],[Price]]-Table8[[#This Row],[Paid]]</f>
        <v>0</v>
      </c>
      <c r="K14" s="26">
        <v>45986</v>
      </c>
      <c r="L14" s="134">
        <v>231500</v>
      </c>
      <c r="M14" s="134">
        <v>0</v>
      </c>
    </row>
    <row r="15" spans="1:14" x14ac:dyDescent="0.3">
      <c r="A15" s="1">
        <v>46002</v>
      </c>
      <c r="B15" t="s">
        <v>64</v>
      </c>
      <c r="E15">
        <v>134750</v>
      </c>
      <c r="F15" t="s">
        <v>185</v>
      </c>
      <c r="G15">
        <f>SUMIFS(Table14[Debit], Table14[Date], Table8[[#This Row],[Date]], Table14[Party], Table8[[#This Row],[Party]])</f>
        <v>134750</v>
      </c>
      <c r="H15">
        <f>Table8[[#This Row],[Price]]-Table8[[#This Row],[Paid]]</f>
        <v>0</v>
      </c>
      <c r="K15" s="26">
        <v>45987</v>
      </c>
      <c r="L15" s="134"/>
      <c r="M15" s="134">
        <v>-240125</v>
      </c>
    </row>
    <row r="16" spans="1:14" x14ac:dyDescent="0.3">
      <c r="A16" s="1">
        <v>46000</v>
      </c>
      <c r="B16" t="s">
        <v>64</v>
      </c>
      <c r="E16">
        <v>32000</v>
      </c>
      <c r="F16" t="s">
        <v>185</v>
      </c>
      <c r="G16">
        <f>SUMIFS(Table14[Debit], Table14[Date], Table8[[#This Row],[Date]], Table14[Party], Table8[[#This Row],[Party]])</f>
        <v>32000</v>
      </c>
      <c r="H16">
        <f>Table8[[#This Row],[Price]]-Table8[[#This Row],[Paid]]</f>
        <v>0</v>
      </c>
      <c r="K16" s="26">
        <v>45988</v>
      </c>
      <c r="L16" s="134">
        <v>85000</v>
      </c>
      <c r="M16" s="134">
        <v>0</v>
      </c>
    </row>
    <row r="17" spans="1:13" x14ac:dyDescent="0.3">
      <c r="A17" s="1">
        <v>45997</v>
      </c>
      <c r="B17" t="s">
        <v>64</v>
      </c>
      <c r="E17">
        <v>46000</v>
      </c>
      <c r="F17" t="s">
        <v>185</v>
      </c>
      <c r="G17">
        <f>SUMIFS(Table14[Debit], Table14[Date], Table8[[#This Row],[Date]], Table14[Party], Table8[[#This Row],[Party]])</f>
        <v>46000</v>
      </c>
      <c r="H17">
        <f>Table8[[#This Row],[Price]]-Table8[[#This Row],[Paid]]</f>
        <v>0</v>
      </c>
      <c r="K17" s="26">
        <v>45990</v>
      </c>
      <c r="L17" s="134">
        <v>46000</v>
      </c>
      <c r="M17" s="134">
        <v>0</v>
      </c>
    </row>
    <row r="18" spans="1:13" x14ac:dyDescent="0.3">
      <c r="A18" s="1">
        <v>46003</v>
      </c>
      <c r="B18" t="s">
        <v>423</v>
      </c>
      <c r="D18" s="134"/>
      <c r="E18">
        <v>66500</v>
      </c>
      <c r="F18" t="s">
        <v>185</v>
      </c>
      <c r="G18" s="134">
        <f>SUMIFS(Table14[Debit], Table14[Date], Table8[[#This Row],[Date]], Table14[Party], Table8[[#This Row],[Party]])</f>
        <v>66500</v>
      </c>
      <c r="H18" s="134">
        <f>Table8[[#This Row],[Price]]-Table8[[#This Row],[Paid]]</f>
        <v>0</v>
      </c>
      <c r="K18" s="26">
        <v>45993</v>
      </c>
      <c r="L18" s="134">
        <v>242450</v>
      </c>
      <c r="M18" s="134">
        <v>0</v>
      </c>
    </row>
    <row r="19" spans="1:13" x14ac:dyDescent="0.3">
      <c r="D19" s="134"/>
      <c r="G19" s="134">
        <f>SUMIFS(Table14[Debit], Table14[Date], Table8[[#This Row],[Date]], Table14[Party], Table8[[#This Row],[Party]])</f>
        <v>0</v>
      </c>
      <c r="H19" s="134">
        <f>Table8[[#This Row],[Price]]-Table8[[#This Row],[Paid]]</f>
        <v>0</v>
      </c>
      <c r="K19" s="26">
        <v>45995</v>
      </c>
      <c r="L19" s="134">
        <v>56000</v>
      </c>
      <c r="M19" s="134">
        <v>0</v>
      </c>
    </row>
    <row r="20" spans="1:13" x14ac:dyDescent="0.3">
      <c r="D20" s="134"/>
      <c r="G20" s="134">
        <f>SUMIFS(Table14[Debit], Table14[Date], Table8[[#This Row],[Date]], Table14[Party], Table8[[#This Row],[Party]])</f>
        <v>0</v>
      </c>
      <c r="H20" s="134">
        <f>Table8[[#This Row],[Price]]-Table8[[#This Row],[Paid]]</f>
        <v>0</v>
      </c>
      <c r="K20" s="26">
        <v>45992</v>
      </c>
      <c r="L20" s="134">
        <v>52000</v>
      </c>
      <c r="M20" s="134">
        <v>0</v>
      </c>
    </row>
    <row r="21" spans="1:13" x14ac:dyDescent="0.3">
      <c r="E21">
        <f>SUBTOTAL(109,Table8[Price])</f>
        <v>1292150</v>
      </c>
      <c r="H21">
        <f>SUBTOTAL(109,Table8[Balance])</f>
        <v>0</v>
      </c>
      <c r="K21" s="26">
        <v>46002</v>
      </c>
      <c r="L21" s="134">
        <v>134750</v>
      </c>
      <c r="M21" s="134">
        <v>0</v>
      </c>
    </row>
    <row r="22" spans="1:13" x14ac:dyDescent="0.3">
      <c r="K22" s="26">
        <v>46000</v>
      </c>
      <c r="L22" s="134">
        <v>32000</v>
      </c>
      <c r="M22" s="134">
        <v>0</v>
      </c>
    </row>
    <row r="23" spans="1:13" x14ac:dyDescent="0.3">
      <c r="K23" s="26">
        <v>45997</v>
      </c>
      <c r="L23" s="134">
        <v>46000</v>
      </c>
      <c r="M23" s="134">
        <v>0</v>
      </c>
    </row>
    <row r="24" spans="1:13" x14ac:dyDescent="0.3">
      <c r="K24" s="4" t="s">
        <v>28</v>
      </c>
      <c r="L24" s="134">
        <v>1225650</v>
      </c>
      <c r="M24" s="134">
        <v>0</v>
      </c>
    </row>
    <row r="30" spans="1:13" x14ac:dyDescent="0.3">
      <c r="A30" t="s">
        <v>57</v>
      </c>
      <c r="B30" t="s">
        <v>157</v>
      </c>
      <c r="C30" t="s">
        <v>158</v>
      </c>
      <c r="D30" t="s">
        <v>4</v>
      </c>
      <c r="E30" t="s">
        <v>159</v>
      </c>
    </row>
    <row r="31" spans="1:13" x14ac:dyDescent="0.3">
      <c r="A31" t="s">
        <v>132</v>
      </c>
      <c r="B31">
        <v>1</v>
      </c>
      <c r="C31">
        <v>25</v>
      </c>
      <c r="D31">
        <v>1400</v>
      </c>
      <c r="E31">
        <f>Table2325[[#This Row],[boxes]]*Table2325[[#This Row],[kgs]]*Table2325[[#This Row],[Rate]]</f>
        <v>35000</v>
      </c>
    </row>
    <row r="32" spans="1:13" x14ac:dyDescent="0.3">
      <c r="A32" t="s">
        <v>130</v>
      </c>
      <c r="B32">
        <v>1</v>
      </c>
      <c r="C32">
        <v>3</v>
      </c>
      <c r="D32">
        <v>1340</v>
      </c>
      <c r="E32">
        <f>Table2325[[#This Row],[boxes]]*Table2325[[#This Row],[kgs]]*Table2325[[#This Row],[Rate]]</f>
        <v>4020</v>
      </c>
      <c r="L32" t="s">
        <v>164</v>
      </c>
    </row>
    <row r="33" spans="1:16" x14ac:dyDescent="0.3">
      <c r="A33" t="s">
        <v>148</v>
      </c>
      <c r="B33">
        <v>1</v>
      </c>
      <c r="D33">
        <v>1120</v>
      </c>
      <c r="E33">
        <f>Table2325[[#This Row],[boxes]]*Table2325[[#This Row],[kgs]]*Table2325[[#This Row],[Rate]]</f>
        <v>0</v>
      </c>
      <c r="L33" t="s">
        <v>57</v>
      </c>
      <c r="M33" t="s">
        <v>157</v>
      </c>
      <c r="N33" t="s">
        <v>158</v>
      </c>
      <c r="O33" t="s">
        <v>4</v>
      </c>
      <c r="P33" t="s">
        <v>159</v>
      </c>
    </row>
    <row r="34" spans="1:16" x14ac:dyDescent="0.3">
      <c r="A34" t="s">
        <v>127</v>
      </c>
      <c r="B34">
        <v>1</v>
      </c>
      <c r="C34">
        <v>25</v>
      </c>
      <c r="D34">
        <v>1120</v>
      </c>
      <c r="E34">
        <f>Table2325[[#This Row],[boxes]]*Table2325[[#This Row],[kgs]]*Table2325[[#This Row],[Rate]]</f>
        <v>28000</v>
      </c>
      <c r="L34" t="s">
        <v>132</v>
      </c>
      <c r="M34">
        <v>1</v>
      </c>
      <c r="N34">
        <v>25</v>
      </c>
      <c r="O34">
        <v>1400</v>
      </c>
      <c r="P34">
        <v>35000</v>
      </c>
    </row>
    <row r="35" spans="1:16" x14ac:dyDescent="0.3">
      <c r="A35" t="s">
        <v>126</v>
      </c>
      <c r="B35">
        <v>1</v>
      </c>
      <c r="C35">
        <v>25</v>
      </c>
      <c r="D35">
        <v>1120</v>
      </c>
      <c r="E35">
        <f>Table2325[[#This Row],[boxes]]*Table2325[[#This Row],[kgs]]*Table2325[[#This Row],[Rate]]</f>
        <v>28000</v>
      </c>
      <c r="L35" t="s">
        <v>130</v>
      </c>
      <c r="M35">
        <v>1</v>
      </c>
      <c r="N35">
        <v>25</v>
      </c>
      <c r="O35">
        <v>1340</v>
      </c>
      <c r="P35">
        <v>33500</v>
      </c>
    </row>
    <row r="36" spans="1:16" x14ac:dyDescent="0.3">
      <c r="A36" t="s">
        <v>147</v>
      </c>
      <c r="B36">
        <v>1</v>
      </c>
      <c r="D36">
        <v>1300</v>
      </c>
      <c r="E36">
        <f>Table2325[[#This Row],[boxes]]*Table2325[[#This Row],[kgs]]*Table2325[[#This Row],[Rate]]</f>
        <v>0</v>
      </c>
      <c r="L36" t="s">
        <v>148</v>
      </c>
      <c r="M36">
        <v>2</v>
      </c>
      <c r="N36">
        <v>50</v>
      </c>
      <c r="O36">
        <v>1140</v>
      </c>
      <c r="P36">
        <v>57000</v>
      </c>
    </row>
    <row r="37" spans="1:16" x14ac:dyDescent="0.3">
      <c r="A37" t="s">
        <v>133</v>
      </c>
      <c r="B37">
        <v>1</v>
      </c>
      <c r="C37">
        <v>25</v>
      </c>
      <c r="D37">
        <v>1450</v>
      </c>
      <c r="E37">
        <f>Table2325[[#This Row],[boxes]]*Table2325[[#This Row],[kgs]]*Table2325[[#This Row],[Rate]]</f>
        <v>36250</v>
      </c>
      <c r="L37" t="s">
        <v>127</v>
      </c>
      <c r="M37">
        <v>1</v>
      </c>
      <c r="N37">
        <v>25</v>
      </c>
      <c r="O37">
        <v>1140</v>
      </c>
      <c r="P37">
        <v>28500</v>
      </c>
    </row>
    <row r="38" spans="1:16" x14ac:dyDescent="0.3">
      <c r="A38" t="s">
        <v>160</v>
      </c>
      <c r="B38">
        <v>1</v>
      </c>
      <c r="C38">
        <v>25</v>
      </c>
      <c r="D38">
        <v>940</v>
      </c>
      <c r="E38">
        <f>Table2325[[#This Row],[boxes]]*Table2325[[#This Row],[kgs]]*Table2325[[#This Row],[Rate]]</f>
        <v>23500</v>
      </c>
      <c r="L38" t="s">
        <v>126</v>
      </c>
      <c r="M38">
        <v>2</v>
      </c>
      <c r="N38">
        <v>50</v>
      </c>
      <c r="O38">
        <v>1130</v>
      </c>
      <c r="P38">
        <v>56500</v>
      </c>
    </row>
    <row r="39" spans="1:16" x14ac:dyDescent="0.3">
      <c r="A39" t="s">
        <v>126</v>
      </c>
      <c r="D39">
        <v>1130</v>
      </c>
      <c r="E39">
        <f>Table2325[[#This Row],[boxes]]*Table2325[[#This Row],[kgs]]*Table2325[[#This Row],[Rate]]</f>
        <v>0</v>
      </c>
      <c r="L39" t="s">
        <v>147</v>
      </c>
      <c r="M39">
        <v>1</v>
      </c>
      <c r="N39">
        <v>25</v>
      </c>
      <c r="O39">
        <v>1300</v>
      </c>
      <c r="P39">
        <v>32500</v>
      </c>
    </row>
    <row r="40" spans="1:16" x14ac:dyDescent="0.3">
      <c r="A40" t="s">
        <v>147</v>
      </c>
      <c r="B40">
        <v>1</v>
      </c>
      <c r="C40">
        <v>12</v>
      </c>
      <c r="D40">
        <v>1300</v>
      </c>
      <c r="E40">
        <f>Table2325[[#This Row],[boxes]]*Table2325[[#This Row],[kgs]]*Table2325[[#This Row],[Rate]]</f>
        <v>15600</v>
      </c>
      <c r="L40" t="s">
        <v>133</v>
      </c>
      <c r="M40">
        <v>1</v>
      </c>
      <c r="N40">
        <v>25</v>
      </c>
      <c r="O40">
        <v>1450</v>
      </c>
      <c r="P40">
        <v>36250</v>
      </c>
    </row>
    <row r="41" spans="1:16" x14ac:dyDescent="0.3">
      <c r="A41" t="s">
        <v>134</v>
      </c>
      <c r="B41">
        <v>1</v>
      </c>
      <c r="C41">
        <v>8</v>
      </c>
      <c r="D41">
        <v>1650</v>
      </c>
      <c r="E41">
        <f>Table2325[[#This Row],[boxes]]*Table2325[[#This Row],[kgs]]*Table2325[[#This Row],[Rate]]</f>
        <v>13200</v>
      </c>
      <c r="L41" t="s">
        <v>160</v>
      </c>
      <c r="N41">
        <v>6</v>
      </c>
      <c r="O41">
        <v>940</v>
      </c>
      <c r="P41">
        <v>5640</v>
      </c>
    </row>
    <row r="42" spans="1:16" x14ac:dyDescent="0.3">
      <c r="A42" t="s">
        <v>130</v>
      </c>
      <c r="D42">
        <v>1340</v>
      </c>
      <c r="E42">
        <f>Table2325[[#This Row],[boxes]]*Table2325[[#This Row],[kgs]]*Table2325[[#This Row],[Rate]]</f>
        <v>0</v>
      </c>
      <c r="L42" t="s">
        <v>126</v>
      </c>
      <c r="N42">
        <v>8</v>
      </c>
      <c r="O42">
        <v>1130</v>
      </c>
      <c r="P42">
        <v>9040</v>
      </c>
    </row>
    <row r="43" spans="1:16" x14ac:dyDescent="0.3">
      <c r="A43" t="s">
        <v>133</v>
      </c>
      <c r="B43">
        <v>1</v>
      </c>
      <c r="C43">
        <v>12</v>
      </c>
      <c r="D43">
        <v>1450</v>
      </c>
      <c r="E43">
        <f>Table2325[[#This Row],[boxes]]*Table2325[[#This Row],[kgs]]*Table2325[[#This Row],[Rate]]</f>
        <v>17400</v>
      </c>
      <c r="L43" t="s">
        <v>147</v>
      </c>
      <c r="N43">
        <v>10</v>
      </c>
      <c r="O43">
        <v>1300</v>
      </c>
      <c r="P43">
        <v>13000</v>
      </c>
    </row>
    <row r="44" spans="1:16" x14ac:dyDescent="0.3">
      <c r="A44" t="s">
        <v>132</v>
      </c>
      <c r="B44">
        <v>1</v>
      </c>
      <c r="C44">
        <v>4</v>
      </c>
      <c r="D44">
        <v>1400</v>
      </c>
      <c r="E44">
        <f>Table2325[[#This Row],[boxes]]*Table2325[[#This Row],[kgs]]*Table2325[[#This Row],[Rate]]</f>
        <v>5600</v>
      </c>
      <c r="L44" t="s">
        <v>134</v>
      </c>
      <c r="N44">
        <v>9</v>
      </c>
      <c r="O44">
        <v>1650</v>
      </c>
      <c r="P44">
        <v>14850</v>
      </c>
    </row>
    <row r="45" spans="1:16" x14ac:dyDescent="0.3">
      <c r="A45" t="s">
        <v>161</v>
      </c>
      <c r="D45">
        <v>1000</v>
      </c>
      <c r="E45">
        <f>Table2325[[#This Row],[boxes]]*Table2325[[#This Row],[kgs]]*Table2325[[#This Row],[Rate]]</f>
        <v>0</v>
      </c>
      <c r="L45" t="s">
        <v>130</v>
      </c>
      <c r="N45">
        <v>5</v>
      </c>
      <c r="O45">
        <v>1340</v>
      </c>
      <c r="P45">
        <v>6700</v>
      </c>
    </row>
    <row r="46" spans="1:16" x14ac:dyDescent="0.3">
      <c r="A46" t="s">
        <v>131</v>
      </c>
      <c r="B46">
        <v>1</v>
      </c>
      <c r="C46">
        <v>12</v>
      </c>
      <c r="D46">
        <v>1650</v>
      </c>
      <c r="E46">
        <f>Table2325[[#This Row],[boxes]]*Table2325[[#This Row],[kgs]]*Table2325[[#This Row],[Rate]]</f>
        <v>19800</v>
      </c>
      <c r="L46" t="s">
        <v>133</v>
      </c>
      <c r="N46">
        <v>20</v>
      </c>
      <c r="O46">
        <v>1450</v>
      </c>
      <c r="P46">
        <v>29000</v>
      </c>
    </row>
    <row r="47" spans="1:16" x14ac:dyDescent="0.3">
      <c r="A47" t="s">
        <v>115</v>
      </c>
      <c r="D47">
        <v>1130</v>
      </c>
      <c r="E47">
        <f>Table2325[[#This Row],[boxes]]*Table2325[[#This Row],[kgs]]*Table2325[[#This Row],[Rate]]</f>
        <v>0</v>
      </c>
      <c r="L47" t="s">
        <v>132</v>
      </c>
      <c r="N47">
        <v>8</v>
      </c>
      <c r="O47">
        <v>1400</v>
      </c>
      <c r="P47">
        <v>11200</v>
      </c>
    </row>
    <row r="48" spans="1:16" x14ac:dyDescent="0.3">
      <c r="A48" t="s">
        <v>154</v>
      </c>
      <c r="B48">
        <v>1</v>
      </c>
      <c r="C48">
        <v>5</v>
      </c>
      <c r="D48">
        <v>3100</v>
      </c>
      <c r="E48">
        <f>Table2325[[#This Row],[boxes]]*Table2325[[#This Row],[kgs]]*Table2325[[#This Row],[Rate]]</f>
        <v>15500</v>
      </c>
      <c r="L48" t="s">
        <v>161</v>
      </c>
      <c r="N48">
        <v>2</v>
      </c>
      <c r="O48">
        <v>1000</v>
      </c>
      <c r="P48">
        <v>2000</v>
      </c>
    </row>
    <row r="49" spans="1:16" x14ac:dyDescent="0.3">
      <c r="A49" t="s">
        <v>127</v>
      </c>
      <c r="B49">
        <v>1</v>
      </c>
      <c r="C49">
        <v>8</v>
      </c>
      <c r="D49">
        <v>1140</v>
      </c>
      <c r="E49">
        <f>Table2325[[#This Row],[boxes]]*Table2325[[#This Row],[kgs]]*Table2325[[#This Row],[Rate]]</f>
        <v>9120</v>
      </c>
      <c r="L49" t="s">
        <v>131</v>
      </c>
      <c r="N49">
        <v>20</v>
      </c>
      <c r="O49">
        <v>1650</v>
      </c>
      <c r="P49">
        <v>33000</v>
      </c>
    </row>
    <row r="50" spans="1:16" x14ac:dyDescent="0.3">
      <c r="A50" t="s">
        <v>148</v>
      </c>
      <c r="B50">
        <v>1</v>
      </c>
      <c r="C50">
        <v>6</v>
      </c>
      <c r="D50">
        <v>1140</v>
      </c>
      <c r="E50">
        <f>Table2325[[#This Row],[boxes]]*Table2325[[#This Row],[kgs]]*Table2325[[#This Row],[Rate]]</f>
        <v>6840</v>
      </c>
      <c r="L50" t="s">
        <v>115</v>
      </c>
      <c r="N50">
        <v>15</v>
      </c>
      <c r="O50">
        <v>1130</v>
      </c>
      <c r="P50">
        <v>16950</v>
      </c>
    </row>
    <row r="51" spans="1:16" x14ac:dyDescent="0.3">
      <c r="A51" t="s">
        <v>162</v>
      </c>
      <c r="D51">
        <v>1000</v>
      </c>
      <c r="E51">
        <f>Table2325[[#This Row],[boxes]]*Table2325[[#This Row],[kgs]]*Table2325[[#This Row],[Rate]]</f>
        <v>0</v>
      </c>
      <c r="L51" t="s">
        <v>154</v>
      </c>
      <c r="N51">
        <v>25</v>
      </c>
      <c r="O51">
        <v>3100</v>
      </c>
      <c r="P51">
        <v>77500</v>
      </c>
    </row>
    <row r="52" spans="1:16" x14ac:dyDescent="0.3">
      <c r="A52" t="s">
        <v>163</v>
      </c>
      <c r="B52">
        <v>1</v>
      </c>
      <c r="C52">
        <v>10</v>
      </c>
      <c r="D52">
        <v>1600</v>
      </c>
      <c r="E52">
        <f>Table2325[[#This Row],[boxes]]*Table2325[[#This Row],[kgs]]*Table2325[[#This Row],[Rate]]</f>
        <v>16000</v>
      </c>
      <c r="L52" t="s">
        <v>127</v>
      </c>
      <c r="N52">
        <v>10</v>
      </c>
      <c r="O52">
        <v>1140</v>
      </c>
      <c r="P52">
        <v>11400</v>
      </c>
    </row>
    <row r="53" spans="1:16" x14ac:dyDescent="0.3">
      <c r="A53" t="s">
        <v>115</v>
      </c>
      <c r="B53">
        <v>1</v>
      </c>
      <c r="C53">
        <v>3</v>
      </c>
      <c r="D53">
        <v>1120</v>
      </c>
      <c r="E53">
        <f>Table2325[[#This Row],[boxes]]*Table2325[[#This Row],[kgs]]*Table2325[[#This Row],[Rate]]</f>
        <v>3360</v>
      </c>
      <c r="L53" t="s">
        <v>148</v>
      </c>
      <c r="N53">
        <v>5</v>
      </c>
      <c r="O53">
        <v>1140</v>
      </c>
      <c r="P53">
        <v>5700</v>
      </c>
    </row>
    <row r="54" spans="1:16" x14ac:dyDescent="0.3">
      <c r="A54" t="s">
        <v>202</v>
      </c>
      <c r="B54">
        <v>1</v>
      </c>
      <c r="C54">
        <v>4</v>
      </c>
      <c r="D54">
        <v>920</v>
      </c>
      <c r="E54">
        <f>Table2325[[#This Row],[boxes]]*Table2325[[#This Row],[kgs]]*Table2325[[#This Row],[Rate]]</f>
        <v>3680</v>
      </c>
      <c r="L54" t="s">
        <v>162</v>
      </c>
      <c r="N54">
        <v>9</v>
      </c>
      <c r="O54">
        <v>1000</v>
      </c>
      <c r="P54">
        <v>9000</v>
      </c>
    </row>
    <row r="55" spans="1:16" x14ac:dyDescent="0.3">
      <c r="L55" t="s">
        <v>163</v>
      </c>
      <c r="N55">
        <v>10</v>
      </c>
      <c r="O55">
        <v>1000</v>
      </c>
      <c r="P55">
        <v>10000</v>
      </c>
    </row>
    <row r="56" spans="1:16" x14ac:dyDescent="0.3">
      <c r="P56">
        <v>534230</v>
      </c>
    </row>
    <row r="57" spans="1:16" x14ac:dyDescent="0.3">
      <c r="E57">
        <f>SUM(Table2325[total])</f>
        <v>280870</v>
      </c>
    </row>
  </sheetData>
  <pageMargins left="0.7" right="0.7" top="0.75" bottom="0.75" header="0.3" footer="0.3"/>
  <tableParts count="4">
    <tablePart r:id="rId2"/>
    <tablePart r:id="rId3"/>
    <tablePart r:id="rId4"/>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3B8EA-7CD9-455D-A87F-F3555B03CAC4}">
  <dimension ref="A4:M30"/>
  <sheetViews>
    <sheetView topLeftCell="A3" workbookViewId="0">
      <selection activeCell="D25" sqref="D25"/>
    </sheetView>
  </sheetViews>
  <sheetFormatPr defaultRowHeight="14.4" x14ac:dyDescent="0.3"/>
  <cols>
    <col min="1" max="1" width="13.88671875" customWidth="1"/>
    <col min="2" max="2" width="14.109375" customWidth="1"/>
    <col min="3" max="3" width="13" customWidth="1"/>
    <col min="4" max="4" width="10.6640625" bestFit="1" customWidth="1"/>
    <col min="7" max="8" width="12.33203125" bestFit="1" customWidth="1"/>
    <col min="9" max="9" width="11.33203125" bestFit="1" customWidth="1"/>
    <col min="10" max="10" width="12.6640625" bestFit="1" customWidth="1"/>
    <col min="11" max="11" width="11.33203125" bestFit="1" customWidth="1"/>
    <col min="12" max="12" width="10.77734375" bestFit="1" customWidth="1"/>
    <col min="13" max="13" width="13.77734375" bestFit="1" customWidth="1"/>
  </cols>
  <sheetData>
    <row r="4" spans="1:13" x14ac:dyDescent="0.3">
      <c r="A4" s="2" t="s">
        <v>75</v>
      </c>
      <c r="B4" s="8" t="s">
        <v>2</v>
      </c>
      <c r="C4" s="2" t="s">
        <v>135</v>
      </c>
      <c r="D4" s="2" t="s">
        <v>122</v>
      </c>
      <c r="E4" s="8" t="s">
        <v>136</v>
      </c>
      <c r="F4" s="8" t="s">
        <v>123</v>
      </c>
      <c r="G4" s="8" t="s">
        <v>93</v>
      </c>
      <c r="H4" s="8" t="s">
        <v>18</v>
      </c>
      <c r="J4" s="3" t="s">
        <v>6</v>
      </c>
      <c r="K4" t="s">
        <v>128</v>
      </c>
      <c r="L4" t="s">
        <v>102</v>
      </c>
      <c r="M4" t="s">
        <v>129</v>
      </c>
    </row>
    <row r="5" spans="1:13" x14ac:dyDescent="0.3">
      <c r="A5" s="85">
        <v>45979</v>
      </c>
      <c r="B5" s="85" t="s">
        <v>118</v>
      </c>
      <c r="C5" s="82" t="s">
        <v>180</v>
      </c>
      <c r="D5" s="82"/>
      <c r="E5" s="82"/>
      <c r="F5" s="82">
        <f>Table2[[#This Row],[Quantity]]*200*Table2[[#This Row],[Boxes]]</f>
        <v>0</v>
      </c>
      <c r="G5" s="82">
        <f>SUMIFS(Table14[Debit], Table14[Date], Table2[[#This Row],[Date]], Table14[Party], Table2[[#This Row],[Party Name]],Table14[Description],Table2[[#This Row],[Item]])</f>
        <v>0</v>
      </c>
      <c r="H5" s="82">
        <v>0</v>
      </c>
      <c r="J5" s="4" t="s">
        <v>104</v>
      </c>
      <c r="K5" s="134">
        <v>0</v>
      </c>
      <c r="L5" s="134">
        <v>0</v>
      </c>
      <c r="M5" s="134">
        <v>0</v>
      </c>
    </row>
    <row r="6" spans="1:13" x14ac:dyDescent="0.3">
      <c r="A6" s="85">
        <v>45979</v>
      </c>
      <c r="B6" s="85" t="s">
        <v>117</v>
      </c>
      <c r="C6" s="82" t="s">
        <v>180</v>
      </c>
      <c r="D6" s="82"/>
      <c r="E6" s="82"/>
      <c r="F6" s="82">
        <f>Table2[[#This Row],[Quantity]]*200*Table2[[#This Row],[Boxes]]</f>
        <v>0</v>
      </c>
      <c r="G6" s="82">
        <f>SUMIFS(Table14[Debit], Table14[Date], Table2[[#This Row],[Date]], Table14[Party], Table2[[#This Row],[Party Name]],Table14[Description],Table2[[#This Row],[Item]])</f>
        <v>0</v>
      </c>
      <c r="H6" s="82">
        <v>-1000</v>
      </c>
      <c r="J6" s="4" t="s">
        <v>117</v>
      </c>
      <c r="K6" s="134">
        <v>269000</v>
      </c>
      <c r="L6" s="134">
        <v>0</v>
      </c>
      <c r="M6" s="134">
        <v>268000</v>
      </c>
    </row>
    <row r="7" spans="1:13" x14ac:dyDescent="0.3">
      <c r="A7" s="85">
        <v>45979</v>
      </c>
      <c r="B7" s="85" t="s">
        <v>166</v>
      </c>
      <c r="C7" s="82" t="s">
        <v>180</v>
      </c>
      <c r="F7">
        <v>0</v>
      </c>
      <c r="G7">
        <v>0</v>
      </c>
      <c r="H7" s="81">
        <v>0</v>
      </c>
      <c r="J7" s="4" t="s">
        <v>118</v>
      </c>
      <c r="K7" s="134">
        <v>24000</v>
      </c>
      <c r="L7" s="134">
        <v>24000</v>
      </c>
      <c r="M7" s="134">
        <v>0</v>
      </c>
    </row>
    <row r="8" spans="1:13" x14ac:dyDescent="0.3">
      <c r="A8" s="1">
        <v>45979</v>
      </c>
      <c r="B8" s="1" t="s">
        <v>274</v>
      </c>
      <c r="C8" t="s">
        <v>180</v>
      </c>
      <c r="F8">
        <f>Table2[[#This Row],[Quantity]]*200*Table2[[#This Row],[Boxes]]</f>
        <v>0</v>
      </c>
      <c r="G8">
        <f>SUMIFS(Table14[Debit], Table14[Date], Table2[[#This Row],[Date]], Table14[Party], Table2[[#This Row],[Party Name]],Table14[Description],Table2[[#This Row],[Item]])</f>
        <v>0</v>
      </c>
      <c r="H8">
        <v>624000</v>
      </c>
      <c r="J8" s="4" t="s">
        <v>166</v>
      </c>
      <c r="K8" s="134">
        <v>0</v>
      </c>
      <c r="L8" s="134">
        <v>0</v>
      </c>
      <c r="M8" s="134">
        <v>0</v>
      </c>
    </row>
    <row r="9" spans="1:13" x14ac:dyDescent="0.3">
      <c r="A9" s="1">
        <v>45980</v>
      </c>
      <c r="B9" s="1" t="s">
        <v>118</v>
      </c>
      <c r="C9" t="s">
        <v>217</v>
      </c>
      <c r="F9">
        <v>24000</v>
      </c>
      <c r="G9">
        <f>SUMIFS(Table14[Debit], Table14[Date], Table2[[#This Row],[Date]], Table14[Party], Table2[[#This Row],[Party Name]],Table14[Description],Table2[[#This Row],[Item]])</f>
        <v>24000</v>
      </c>
      <c r="H9">
        <f>Table2[[#This Row],[Price]]-Table2[[#This Row],[Paid]]</f>
        <v>0</v>
      </c>
      <c r="J9" s="4" t="s">
        <v>274</v>
      </c>
      <c r="K9" s="134">
        <v>0</v>
      </c>
      <c r="L9" s="134">
        <v>400000</v>
      </c>
      <c r="M9" s="134">
        <v>224000</v>
      </c>
    </row>
    <row r="10" spans="1:13" x14ac:dyDescent="0.3">
      <c r="A10" s="1">
        <v>45981</v>
      </c>
      <c r="B10" s="1" t="s">
        <v>117</v>
      </c>
      <c r="C10" t="s">
        <v>217</v>
      </c>
      <c r="F10">
        <f>380*50</f>
        <v>19000</v>
      </c>
      <c r="G10">
        <f>SUMIFS(Table14[Debit], Table14[Date], Table2[[#This Row],[Date]], Table14[Party], Table2[[#This Row],[Party Name]],Table14[Description],Table2[[#This Row],[Item]])</f>
        <v>0</v>
      </c>
      <c r="H10">
        <f>Table2[[#This Row],[Price]]-Table2[[#This Row],[Paid]]</f>
        <v>19000</v>
      </c>
      <c r="J10" s="4" t="s">
        <v>328</v>
      </c>
      <c r="K10" s="134">
        <v>52000</v>
      </c>
      <c r="L10" s="134">
        <v>52000</v>
      </c>
      <c r="M10" s="134">
        <v>0</v>
      </c>
    </row>
    <row r="11" spans="1:13" x14ac:dyDescent="0.3">
      <c r="A11" s="1">
        <v>45983</v>
      </c>
      <c r="B11" s="1" t="s">
        <v>117</v>
      </c>
      <c r="C11" t="s">
        <v>230</v>
      </c>
      <c r="D11">
        <v>2</v>
      </c>
      <c r="E11">
        <v>125</v>
      </c>
      <c r="F11">
        <f>200*125*2</f>
        <v>50000</v>
      </c>
      <c r="G11">
        <f>SUMIFS(Table14[Debit], Table14[Date], Table2[[#This Row],[Date]], Table14[Party], Table2[[#This Row],[Party Name]],Table14[Description],Table2[[#This Row],[Item]])</f>
        <v>0</v>
      </c>
      <c r="H11">
        <f>Table2[[#This Row],[Price]]-Table2[[#This Row],[Paid]]</f>
        <v>50000</v>
      </c>
      <c r="J11" s="4" t="s">
        <v>28</v>
      </c>
      <c r="K11" s="134">
        <v>345000</v>
      </c>
      <c r="L11" s="134">
        <v>476000</v>
      </c>
      <c r="M11" s="134">
        <v>492000</v>
      </c>
    </row>
    <row r="12" spans="1:13" x14ac:dyDescent="0.3">
      <c r="A12" s="1">
        <v>45986</v>
      </c>
      <c r="B12" s="1" t="s">
        <v>274</v>
      </c>
      <c r="C12" t="s">
        <v>261</v>
      </c>
      <c r="F12">
        <f>Table2[[#This Row],[Quantity]]*200*Table2[[#This Row],[Boxes]]</f>
        <v>0</v>
      </c>
      <c r="G12">
        <f>SUMIFS(Table14[Debit], Table14[Date], Table2[[#This Row],[Date]], Table14[Party], Table2[[#This Row],[Party Name]],Table14[Description],Table2[[#This Row],[Item]])</f>
        <v>400000</v>
      </c>
      <c r="H12">
        <f>Table2[[#This Row],[Price]]-Table2[[#This Row],[Paid]]</f>
        <v>-400000</v>
      </c>
    </row>
    <row r="13" spans="1:13" x14ac:dyDescent="0.3">
      <c r="A13" s="1">
        <v>45992</v>
      </c>
      <c r="B13" s="1" t="s">
        <v>328</v>
      </c>
      <c r="C13" t="s">
        <v>326</v>
      </c>
      <c r="F13">
        <v>52000</v>
      </c>
      <c r="G13">
        <f>SUMIFS(Table14[Debit], Table14[Date], Table2[[#This Row],[Date]], Table14[Party], Table2[[#This Row],[Party Name]],Table14[Description],Table2[[#This Row],[Item]])</f>
        <v>52000</v>
      </c>
      <c r="H13">
        <f>Table2[[#This Row],[Price]]-Table2[[#This Row],[Paid]]</f>
        <v>0</v>
      </c>
    </row>
    <row r="14" spans="1:13" x14ac:dyDescent="0.3">
      <c r="A14" s="1">
        <v>45994</v>
      </c>
      <c r="B14" s="1" t="s">
        <v>117</v>
      </c>
      <c r="C14" t="s">
        <v>230</v>
      </c>
      <c r="D14">
        <v>8</v>
      </c>
      <c r="E14">
        <v>125</v>
      </c>
      <c r="F14">
        <f>Table2[[#This Row],[Quantity]]*200*Table2[[#This Row],[Boxes]]</f>
        <v>200000</v>
      </c>
      <c r="G14">
        <f>SUMIFS(Table14[Debit], Table14[Date], Table2[[#This Row],[Date]], Table14[Party], Table2[[#This Row],[Party Name]],Table14[Description],Table2[[#This Row],[Item]])</f>
        <v>0</v>
      </c>
      <c r="H14">
        <f>Table2[[#This Row],[Price]]-Table2[[#This Row],[Paid]]</f>
        <v>200000</v>
      </c>
    </row>
    <row r="15" spans="1:13" x14ac:dyDescent="0.3">
      <c r="A15" s="1"/>
      <c r="B15" s="1"/>
      <c r="F15">
        <f>Table2[[#This Row],[Quantity]]*200*Table2[[#This Row],[Boxes]]</f>
        <v>0</v>
      </c>
      <c r="G15">
        <f>SUMIFS(Table14[Debit], Table14[Date], Table2[[#This Row],[Date]], Table14[Party], Table2[[#This Row],[Party Name]],Table14[Description],Table2[[#This Row],[Item]])</f>
        <v>0</v>
      </c>
      <c r="H15">
        <f>Table2[[#This Row],[Price]]-Table2[[#This Row],[Paid]]</f>
        <v>0</v>
      </c>
    </row>
    <row r="16" spans="1:13" x14ac:dyDescent="0.3">
      <c r="A16" s="1"/>
      <c r="B16" s="1"/>
      <c r="F16">
        <f>Table2[[#This Row],[Quantity]]*200*Table2[[#This Row],[Boxes]]</f>
        <v>0</v>
      </c>
      <c r="G16">
        <f>SUMIFS(Table14[Debit], Table14[Date], Table2[[#This Row],[Date]], Table14[Party], Table2[[#This Row],[Party Name]],Table14[Description],Table2[[#This Row],[Item]])</f>
        <v>0</v>
      </c>
      <c r="H16">
        <f>Table2[[#This Row],[Price]]-Table2[[#This Row],[Paid]]</f>
        <v>0</v>
      </c>
    </row>
    <row r="17" spans="1:10" x14ac:dyDescent="0.3">
      <c r="A17" s="1"/>
      <c r="B17" s="1"/>
      <c r="F17">
        <f>Table2[[#This Row],[Quantity]]*200*Table2[[#This Row],[Boxes]]</f>
        <v>0</v>
      </c>
      <c r="G17">
        <f>SUMIFS(Table14[Debit], Table14[Date], Table2[[#This Row],[Date]], Table14[Party], Table2[[#This Row],[Party Name]],Table14[Description],Table2[[#This Row],[Item]])</f>
        <v>0</v>
      </c>
      <c r="H17">
        <f>Table2[[#This Row],[Price]]-Table2[[#This Row],[Paid]]</f>
        <v>0</v>
      </c>
    </row>
    <row r="18" spans="1:10" x14ac:dyDescent="0.3">
      <c r="A18" s="1"/>
      <c r="B18" s="1"/>
      <c r="F18">
        <f>Table2[[#This Row],[Quantity]]*200*Table2[[#This Row],[Boxes]]</f>
        <v>0</v>
      </c>
      <c r="G18">
        <f>SUMIFS(Table14[Debit], Table14[Date], Table2[[#This Row],[Date]], Table14[Party], Table2[[#This Row],[Party Name]],Table14[Description],Table2[[#This Row],[Item]])</f>
        <v>0</v>
      </c>
      <c r="H18">
        <f>Table2[[#This Row],[Price]]-Table2[[#This Row],[Paid]]</f>
        <v>0</v>
      </c>
    </row>
    <row r="19" spans="1:10" x14ac:dyDescent="0.3">
      <c r="A19" s="1"/>
      <c r="B19" s="1"/>
      <c r="F19">
        <f>Table2[[#This Row],[Quantity]]*200*Table2[[#This Row],[Boxes]]</f>
        <v>0</v>
      </c>
      <c r="G19">
        <f>SUMIFS(Table14[Debit], Table14[Date], Table2[[#This Row],[Date]], Table14[Party], Table2[[#This Row],[Party Name]],Table14[Description],Table2[[#This Row],[Item]])</f>
        <v>0</v>
      </c>
      <c r="H19">
        <f>Table2[[#This Row],[Price]]-Table2[[#This Row],[Paid]]</f>
        <v>0</v>
      </c>
    </row>
    <row r="20" spans="1:10" x14ac:dyDescent="0.3">
      <c r="A20" s="1"/>
      <c r="F20">
        <f>SUBTOTAL(109,Table2[Price])</f>
        <v>345000</v>
      </c>
      <c r="G20">
        <f>SUBTOTAL(109,Table2[Paid])</f>
        <v>476000</v>
      </c>
      <c r="H20">
        <f>SUBTOTAL(109,Table2[Balance])</f>
        <v>492000</v>
      </c>
    </row>
    <row r="24" spans="1:10" x14ac:dyDescent="0.3">
      <c r="I24" t="s">
        <v>57</v>
      </c>
      <c r="J24" t="s">
        <v>181</v>
      </c>
    </row>
    <row r="25" spans="1:10" x14ac:dyDescent="0.3">
      <c r="I25" t="s">
        <v>61</v>
      </c>
      <c r="J25">
        <f>7800*60</f>
        <v>468000</v>
      </c>
    </row>
    <row r="26" spans="1:10" x14ac:dyDescent="0.3">
      <c r="I26" t="s">
        <v>61</v>
      </c>
    </row>
    <row r="27" spans="1:10" x14ac:dyDescent="0.3">
      <c r="I27" t="s">
        <v>165</v>
      </c>
      <c r="J27">
        <f>13000*3</f>
        <v>39000</v>
      </c>
    </row>
    <row r="30" spans="1:10" x14ac:dyDescent="0.3">
      <c r="I30" t="s">
        <v>159</v>
      </c>
      <c r="J30">
        <f>SUM(J25:J27)</f>
        <v>507000</v>
      </c>
    </row>
  </sheetData>
  <phoneticPr fontId="4" type="noConversion"/>
  <pageMargins left="0.7" right="0.7" top="0.75" bottom="0.75" header="0.3" footer="0.3"/>
  <pageSetup scale="0" firstPageNumber="0" fitToWidth="0" fitToHeight="0" orientation="portrait" horizontalDpi="0" verticalDpi="0" copies="0"/>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17EB1-FAC4-4151-BC54-C60611322E2D}">
  <dimension ref="B2:E3"/>
  <sheetViews>
    <sheetView workbookViewId="0">
      <selection activeCell="B4" sqref="B4"/>
    </sheetView>
  </sheetViews>
  <sheetFormatPr defaultRowHeight="14.4" x14ac:dyDescent="0.3"/>
  <cols>
    <col min="3" max="3" width="12.33203125" customWidth="1"/>
    <col min="5" max="5" width="11.44140625" bestFit="1" customWidth="1"/>
  </cols>
  <sheetData>
    <row r="2" spans="2:5" x14ac:dyDescent="0.3">
      <c r="B2" t="s">
        <v>75</v>
      </c>
      <c r="C2" t="s">
        <v>137</v>
      </c>
      <c r="D2" t="s">
        <v>138</v>
      </c>
      <c r="E2" t="s">
        <v>5</v>
      </c>
    </row>
    <row r="3" spans="2:5" x14ac:dyDescent="0.3">
      <c r="B3" s="19" t="s">
        <v>182</v>
      </c>
      <c r="C3" s="19" t="s">
        <v>98</v>
      </c>
      <c r="D3" s="19" t="s">
        <v>98</v>
      </c>
      <c r="E3" s="20"/>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FBF89-1A2A-4F2E-9BAA-643F24136016}">
  <dimension ref="B2:E6"/>
  <sheetViews>
    <sheetView workbookViewId="0">
      <selection activeCell="C4" sqref="C4"/>
    </sheetView>
  </sheetViews>
  <sheetFormatPr defaultRowHeight="14.4" x14ac:dyDescent="0.3"/>
  <cols>
    <col min="2" max="2" width="16.21875" customWidth="1"/>
    <col min="3" max="3" width="12.5546875" customWidth="1"/>
    <col min="4" max="4" width="13.33203125" customWidth="1"/>
    <col min="5" max="5" width="15.5546875" customWidth="1"/>
  </cols>
  <sheetData>
    <row r="2" spans="2:5" x14ac:dyDescent="0.3">
      <c r="B2" t="s">
        <v>75</v>
      </c>
      <c r="C2" t="s">
        <v>45</v>
      </c>
      <c r="D2" t="s">
        <v>46</v>
      </c>
      <c r="E2" t="s">
        <v>66</v>
      </c>
    </row>
    <row r="3" spans="2:5" x14ac:dyDescent="0.3">
      <c r="B3" s="1"/>
      <c r="D3" s="11"/>
    </row>
    <row r="4" spans="2:5" x14ac:dyDescent="0.3">
      <c r="D4" s="11"/>
    </row>
    <row r="5" spans="2:5" x14ac:dyDescent="0.3">
      <c r="D5" s="11"/>
    </row>
    <row r="6" spans="2:5" x14ac:dyDescent="0.3">
      <c r="B6" t="s">
        <v>5</v>
      </c>
      <c r="D6" s="14">
        <f>SUBTOTAL(109,Table210[Amount])</f>
        <v>0</v>
      </c>
      <c r="E6">
        <f>SUBTOTAL(103,Table210[Column1])</f>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2331-540A-4BE5-B987-3C6225CFE23F}">
  <dimension ref="B2:O43"/>
  <sheetViews>
    <sheetView topLeftCell="A13" zoomScale="118" workbookViewId="0">
      <selection activeCell="G32" sqref="G32"/>
    </sheetView>
  </sheetViews>
  <sheetFormatPr defaultRowHeight="14.4" x14ac:dyDescent="0.3"/>
  <cols>
    <col min="2" max="2" width="12.33203125" customWidth="1"/>
    <col min="3" max="3" width="11.33203125" customWidth="1"/>
    <col min="4" max="4" width="10.33203125" bestFit="1" customWidth="1"/>
    <col min="8" max="8" width="14" customWidth="1"/>
    <col min="9" max="9" width="10" customWidth="1"/>
    <col min="10" max="10" width="13.33203125" customWidth="1"/>
  </cols>
  <sheetData>
    <row r="2" spans="2:15" x14ac:dyDescent="0.3">
      <c r="B2" t="s">
        <v>75</v>
      </c>
      <c r="C2" t="s">
        <v>46</v>
      </c>
      <c r="D2" t="s">
        <v>66</v>
      </c>
      <c r="E2" t="s">
        <v>67</v>
      </c>
      <c r="H2" t="s">
        <v>75</v>
      </c>
      <c r="I2" t="s">
        <v>139</v>
      </c>
      <c r="J2" t="s">
        <v>140</v>
      </c>
    </row>
    <row r="3" spans="2:15" x14ac:dyDescent="0.3">
      <c r="B3" s="1">
        <v>45978</v>
      </c>
      <c r="C3" s="20">
        <f>SUMIFS(Table14[Debit], Table14[Date], Table11[[#This Row],[Date]], Table14[Party],"Salary ", Table14[Description],Table11[[#This Row],[Column1]])</f>
        <v>0</v>
      </c>
      <c r="H3" s="1">
        <v>45978</v>
      </c>
      <c r="I3">
        <f>SUMIFS(Table14[Debit], Table14[Date], Table16[[#This Row],[Date]], Table14[Party], "Advance Salary", Table14[Description], Table16[[#This Row],[Person]] )</f>
        <v>0</v>
      </c>
      <c r="M3" t="s">
        <v>171</v>
      </c>
      <c r="N3" t="s">
        <v>172</v>
      </c>
    </row>
    <row r="4" spans="2:15" x14ac:dyDescent="0.3">
      <c r="B4" s="1">
        <v>45979</v>
      </c>
      <c r="C4" s="20">
        <f>SUMIFS(Table14[Debit], Table14[Date], Table11[[#This Row],[Date]], Table14[Party],"Salary", Table14[Description],Table11[[#This Row],[Column1]])</f>
        <v>0</v>
      </c>
      <c r="H4" s="1">
        <v>45979</v>
      </c>
      <c r="I4">
        <f>SUMIFS(Table14[Debit], Table14[Date], Table16[[#This Row],[Date]], Table14[Party], "Advance Salary", Table14[Description], Table16[[#This Row],[Person]] )</f>
        <v>0</v>
      </c>
      <c r="N4" t="s">
        <v>173</v>
      </c>
    </row>
    <row r="5" spans="2:15" x14ac:dyDescent="0.3">
      <c r="B5" s="1">
        <v>45980</v>
      </c>
      <c r="C5" s="20">
        <f>SUMIFS(Table14[Debit], Table14[Date], Table11[[#This Row],[Date]], Table14[Party],"Salary", Table14[Description],Table11[[#This Row],[Column1]])</f>
        <v>0</v>
      </c>
      <c r="H5" s="1">
        <v>45980</v>
      </c>
      <c r="I5">
        <f>SUMIFS(Table14[Debit], Table14[Date], Table16[[#This Row],[Date]], Table14[Party], "Advance Salary", Table14[Description], Table16[[#This Row],[Person]] )</f>
        <v>0</v>
      </c>
      <c r="N5" t="s">
        <v>174</v>
      </c>
      <c r="O5" t="s">
        <v>175</v>
      </c>
    </row>
    <row r="6" spans="2:15" x14ac:dyDescent="0.3">
      <c r="B6" s="1">
        <v>45981</v>
      </c>
      <c r="C6" s="20">
        <f>SUMIFS(Table14[Debit], Table14[Date], Table11[[#This Row],[Date]], Table14[Party],"Salary", Table14[Description],Table11[[#This Row],[Column1]])</f>
        <v>0</v>
      </c>
      <c r="H6" s="1">
        <v>45981</v>
      </c>
      <c r="I6">
        <f>SUMIFS(Table14[Debit], Table14[Date], Table16[[#This Row],[Date]], Table14[Party], "Advance Salary", Table14[Description], Table16[[#This Row],[Person]] )</f>
        <v>0</v>
      </c>
    </row>
    <row r="7" spans="2:15" x14ac:dyDescent="0.3">
      <c r="B7" s="1">
        <v>45982</v>
      </c>
      <c r="C7" s="20">
        <f>SUMIFS(Table14[Debit], Table14[Date], Table11[[#This Row],[Date]], Table14[Party],"Salary", Table14[Description],Table11[[#This Row],[Column1]])</f>
        <v>0</v>
      </c>
      <c r="H7" s="1">
        <v>45982</v>
      </c>
      <c r="I7">
        <f>SUMIFS(Table14[Debit], Table14[Date], Table16[[#This Row],[Date]], Table14[Party], "Advance Salary", Table14[Description], Table16[[#This Row],[Person]] )</f>
        <v>0</v>
      </c>
    </row>
    <row r="8" spans="2:15" x14ac:dyDescent="0.3">
      <c r="B8" s="1">
        <v>45983</v>
      </c>
      <c r="C8" s="20">
        <f>SUMIFS(Table14[Debit], Table14[Date], Table11[[#This Row],[Date]], Table14[Party],"Salary", Table14[Description],Table11[[#This Row],[Column1]])</f>
        <v>0</v>
      </c>
      <c r="H8" s="1">
        <v>45983</v>
      </c>
      <c r="I8">
        <f>SUMIFS(Table14[Debit], Table14[Date], Table16[[#This Row],[Date]], Table14[Party], "Advance Salary", Table14[Description], Table16[[#This Row],[Person]] )</f>
        <v>25000</v>
      </c>
      <c r="J8" t="s">
        <v>189</v>
      </c>
    </row>
    <row r="9" spans="2:15" x14ac:dyDescent="0.3">
      <c r="B9" s="1">
        <v>45984</v>
      </c>
      <c r="C9" s="20">
        <f>SUMIFS(Table14[Debit], Table14[Date], Table11[[#This Row],[Date]], Table14[Party],"Salary", Table14[Description],Table11[[#This Row],[Column1]])</f>
        <v>0</v>
      </c>
      <c r="H9" s="1">
        <v>45984</v>
      </c>
      <c r="I9">
        <f>SUMIFS(Table14[Debit], Table14[Date], Table16[[#This Row],[Date]], Table14[Party], "Advance Salary", Table14[Description], Table16[[#This Row],[Person]] )</f>
        <v>0</v>
      </c>
    </row>
    <row r="10" spans="2:15" x14ac:dyDescent="0.3">
      <c r="B10" s="1">
        <v>45985</v>
      </c>
      <c r="C10" s="20">
        <f>SUMIFS(Table14[Debit], Table14[Date], Table11[[#This Row],[Date]], Table14[Party],"Salary", Table14[Description],Table11[[#This Row],[Column1]])</f>
        <v>0</v>
      </c>
      <c r="H10" s="1">
        <v>45985</v>
      </c>
      <c r="I10">
        <f>SUMIFS(Table14[Debit], Table14[Date], Table16[[#This Row],[Date]], Table14[Party], "Advance Salary", Table14[Description], Table16[[#This Row],[Person]] )</f>
        <v>0</v>
      </c>
    </row>
    <row r="11" spans="2:15" x14ac:dyDescent="0.3">
      <c r="B11" s="1">
        <v>45986</v>
      </c>
      <c r="C11" s="20">
        <f>SUMIFS(Table14[Debit], Table14[Date], Table11[[#This Row],[Date]], Table14[Party],"Salary", Table14[Description],Table11[[#This Row],[Column1]])</f>
        <v>0</v>
      </c>
      <c r="H11" s="1">
        <v>45986</v>
      </c>
      <c r="I11">
        <f>SUMIFS(Table14[Debit], Table14[Date], Table16[[#This Row],[Date]], Table14[Party], "Advance Salary", Table14[Description], Table16[[#This Row],[Person]] )</f>
        <v>0</v>
      </c>
    </row>
    <row r="12" spans="2:15" x14ac:dyDescent="0.3">
      <c r="B12" s="1">
        <v>45987</v>
      </c>
      <c r="C12" s="20">
        <f>SUMIFS(Table14[Debit], Table14[Date], Table11[[#This Row],[Date]], Table14[Party],"Salary", Table14[Description],Table11[[#This Row],[Column1]])</f>
        <v>0</v>
      </c>
      <c r="H12" s="1">
        <v>45987</v>
      </c>
      <c r="I12">
        <f>SUMIFS(Table14[Debit], Table14[Date], Table16[[#This Row],[Date]], Table14[Party], "Advance Salary", Table14[Description], Table16[[#This Row],[Person]] )</f>
        <v>0</v>
      </c>
    </row>
    <row r="13" spans="2:15" x14ac:dyDescent="0.3">
      <c r="B13" s="1">
        <v>45988</v>
      </c>
      <c r="C13" s="20">
        <f>SUMIFS(Table14[Debit], Table14[Date], Table11[[#This Row],[Date]], Table14[Party],"Salary", Table14[Description],Table11[[#This Row],[Column1]])</f>
        <v>0</v>
      </c>
      <c r="H13" s="1">
        <v>45988</v>
      </c>
      <c r="I13">
        <f>SUMIFS(Table14[Debit], Table14[Date], Table16[[#This Row],[Date]], Table14[Party], "Advance Salary", Table14[Description], Table16[[#This Row],[Person]] )</f>
        <v>0</v>
      </c>
    </row>
    <row r="14" spans="2:15" x14ac:dyDescent="0.3">
      <c r="B14" s="1">
        <v>45989</v>
      </c>
      <c r="C14" s="20">
        <f>SUMIFS(Table14[Debit], Table14[Date], Table11[[#This Row],[Date]], Table14[Party],"Salary", Table14[Description],Table11[[#This Row],[Column1]])</f>
        <v>0</v>
      </c>
      <c r="H14" s="1">
        <v>45988</v>
      </c>
      <c r="I14">
        <f>SUMIFS(Table14[Debit], Table14[Date], Table16[[#This Row],[Date]], Table14[Party], "Advance Salary", Table14[Description], Table16[[#This Row],[Person]] )</f>
        <v>5000</v>
      </c>
      <c r="J14" t="s">
        <v>290</v>
      </c>
    </row>
    <row r="15" spans="2:15" x14ac:dyDescent="0.3">
      <c r="B15" s="1">
        <v>45990</v>
      </c>
      <c r="C15" s="20">
        <f>SUMIFS(Table14[Debit], Table14[Date], Table11[[#This Row],[Date]], Table14[Party],"Salary", Table14[Description],Table11[[#This Row],[Column1]])</f>
        <v>1000</v>
      </c>
      <c r="D15" t="s">
        <v>316</v>
      </c>
      <c r="H15" s="1">
        <v>45990</v>
      </c>
      <c r="I15">
        <f>SUMIFS(Table14[Debit], Table14[Date], Table16[[#This Row],[Date]], Table14[Party], "Advance Salary", Table14[Description], Table16[[#This Row],[Person]] )</f>
        <v>20000</v>
      </c>
      <c r="J15" t="s">
        <v>290</v>
      </c>
    </row>
    <row r="16" spans="2:15" x14ac:dyDescent="0.3">
      <c r="B16" s="1">
        <v>45991</v>
      </c>
      <c r="C16" s="20">
        <f>SUMIFS(Table14[Debit], Table14[Date], Table11[[#This Row],[Date]], Table14[Party],"Salary", Table14[Description],Table11[[#This Row],[Column1]])</f>
        <v>0</v>
      </c>
      <c r="H16" s="1">
        <v>45991</v>
      </c>
      <c r="I16">
        <f>SUMIFS(Table14[Debit], Table14[Date], Table16[[#This Row],[Date]], Table14[Party], "Advance Salary", Table14[Description], Table16[[#This Row],[Person]] )</f>
        <v>0</v>
      </c>
    </row>
    <row r="17" spans="2:10" x14ac:dyDescent="0.3">
      <c r="B17" s="1">
        <v>45992</v>
      </c>
      <c r="C17" s="20">
        <f>SUMIFS(Table14[Debit], Table14[Date], Table11[[#This Row],[Date]], Table14[Party],"Salary", Table14[Description],Table11[[#This Row],[Column1]])</f>
        <v>0</v>
      </c>
      <c r="H17" s="1">
        <v>45992</v>
      </c>
      <c r="I17">
        <f>SUMIFS(Table14[Debit], Table14[Date], Table16[[#This Row],[Date]], Table14[Party], "Advance Salary", Table14[Description], Table16[[#This Row],[Person]] )</f>
        <v>0</v>
      </c>
    </row>
    <row r="18" spans="2:10" x14ac:dyDescent="0.3">
      <c r="B18" s="1">
        <v>45993</v>
      </c>
      <c r="C18" s="20">
        <f>SUMIFS(Table14[Debit], Table14[Date], Table11[[#This Row],[Date]], Table14[Party],"Salary", Table14[Description],Table11[[#This Row],[Column1]])</f>
        <v>6000</v>
      </c>
      <c r="D18" t="s">
        <v>337</v>
      </c>
      <c r="H18" s="1">
        <v>45993</v>
      </c>
      <c r="I18">
        <f>SUMIFS(Table14[Debit], Table14[Date], Table16[[#This Row],[Date]], Table14[Party], "Advance Salary", Table14[Description], Table16[[#This Row],[Person]] )</f>
        <v>0</v>
      </c>
    </row>
    <row r="19" spans="2:10" x14ac:dyDescent="0.3">
      <c r="B19" s="1">
        <v>45993</v>
      </c>
      <c r="C19" s="20">
        <f>SUMIFS(Table14[Debit], Table14[Date], Table11[[#This Row],[Date]], Table14[Party],"Salary", Table14[Description],Table11[[#This Row],[Column1]])</f>
        <v>45000</v>
      </c>
      <c r="D19" t="s">
        <v>338</v>
      </c>
      <c r="H19" s="1">
        <v>45994</v>
      </c>
      <c r="I19">
        <f>SUMIFS(Table14[Debit], Table14[Date], Table16[[#This Row],[Date]], Table14[Party], "Advance Salary", Table14[Description], Table16[[#This Row],[Person]] )</f>
        <v>45000</v>
      </c>
      <c r="J19" t="s">
        <v>338</v>
      </c>
    </row>
    <row r="20" spans="2:10" x14ac:dyDescent="0.3">
      <c r="B20" s="1">
        <v>45995</v>
      </c>
      <c r="C20" s="20">
        <f>SUMIFS(Table14[Debit], Table14[Date], Table11[[#This Row],[Date]], Table14[Party],"Salary", Table14[Description],Table11[[#This Row],[Column1]])</f>
        <v>0</v>
      </c>
      <c r="H20" s="1">
        <v>45994</v>
      </c>
      <c r="I20">
        <f>SUMIFS(Table14[Debit], Table14[Date], Table16[[#This Row],[Date]], Table14[Party], "Advance Salary", Table14[Description], Table16[[#This Row],[Person]] )</f>
        <v>50000</v>
      </c>
      <c r="J20" t="s">
        <v>339</v>
      </c>
    </row>
    <row r="21" spans="2:10" x14ac:dyDescent="0.3">
      <c r="B21" s="1">
        <v>45996</v>
      </c>
      <c r="C21" s="20">
        <f>SUMIFS(Table14[Debit], Table14[Date], Table11[[#This Row],[Date]], Table14[Party],"Salary", Table14[Description],Table11[[#This Row],[Column1]])</f>
        <v>0</v>
      </c>
      <c r="H21" s="1">
        <v>45996</v>
      </c>
      <c r="I21">
        <f>SUMIFS(Table14[Debit], Table14[Date], Table16[[#This Row],[Date]], Table14[Party], "Advance Salary", Table14[Description], Table16[[#This Row],[Person]] )</f>
        <v>0</v>
      </c>
    </row>
    <row r="22" spans="2:10" x14ac:dyDescent="0.3">
      <c r="B22" s="1">
        <v>45997</v>
      </c>
      <c r="C22" s="20">
        <f>SUMIFS(Table14[Debit], Table14[Date], Table11[[#This Row],[Date]], Table14[Party],"Salary", Table14[Description],Table11[[#This Row],[Column1]])</f>
        <v>0</v>
      </c>
      <c r="H22" s="1">
        <v>45997</v>
      </c>
      <c r="I22">
        <f>SUMIFS(Table14[Debit], Table14[Date], Table16[[#This Row],[Date]], Table14[Party], "Advance Salary", Table14[Description], Table16[[#This Row],[Person]] )</f>
        <v>20000</v>
      </c>
      <c r="J22" t="s">
        <v>377</v>
      </c>
    </row>
    <row r="23" spans="2:10" x14ac:dyDescent="0.3">
      <c r="B23" s="1">
        <v>45998</v>
      </c>
      <c r="C23" s="20">
        <f>SUMIFS(Table14[Debit], Table14[Date], Table11[[#This Row],[Date]], Table14[Party],"Salary", Table14[Description],Table11[[#This Row],[Column1]])</f>
        <v>0</v>
      </c>
      <c r="H23" s="1">
        <v>45998</v>
      </c>
      <c r="I23">
        <f>SUMIFS(Table14[Debit], Table14[Date], Table16[[#This Row],[Date]], Table14[Party], "Advance Salary", Table14[Description], Table16[[#This Row],[Person]] )</f>
        <v>80000</v>
      </c>
      <c r="J23" t="s">
        <v>189</v>
      </c>
    </row>
    <row r="24" spans="2:10" x14ac:dyDescent="0.3">
      <c r="B24" s="1">
        <v>45999</v>
      </c>
      <c r="C24" s="20">
        <f>SUMIFS(Table14[Debit], Table14[Date], Table11[[#This Row],[Date]], Table14[Party],"Salary", Table14[Description],Table11[[#This Row],[Column1]])</f>
        <v>50000</v>
      </c>
      <c r="D24" t="s">
        <v>386</v>
      </c>
      <c r="H24" s="1">
        <v>45998</v>
      </c>
      <c r="I24">
        <f>SUMIFS(Table14[Debit], Table14[Date], Table16[[#This Row],[Date]], Table14[Party], "Advance Salary", Table14[Description], Table16[[#This Row],[Person]] )</f>
        <v>20000</v>
      </c>
      <c r="J24" t="s">
        <v>290</v>
      </c>
    </row>
    <row r="25" spans="2:10" x14ac:dyDescent="0.3">
      <c r="B25" s="1">
        <v>45999</v>
      </c>
      <c r="C25" s="20">
        <f>SUMIFS(Table14[Debit], Table14[Date], Table11[[#This Row],[Date]], Table14[Party],"Salary", Table14[Description],Table11[[#This Row],[Column1]])</f>
        <v>17600</v>
      </c>
      <c r="D25" t="s">
        <v>379</v>
      </c>
      <c r="H25" s="1">
        <v>45999</v>
      </c>
      <c r="I25">
        <f>SUMIFS(Table14[Debit], Table14[Date], Table16[[#This Row],[Date]], Table14[Party], "Advance Salary", Table14[Description], Table16[[#This Row],[Person]] )</f>
        <v>120000</v>
      </c>
      <c r="J25" t="s">
        <v>380</v>
      </c>
    </row>
    <row r="26" spans="2:10" x14ac:dyDescent="0.3">
      <c r="B26" s="1">
        <v>46001</v>
      </c>
      <c r="C26" s="20">
        <f>SUMIFS(Table14[Debit], Table14[Date], Table11[[#This Row],[Date]], Table14[Party],"Salary", Table14[Description],Table11[[#This Row],[Column1]])</f>
        <v>0</v>
      </c>
      <c r="H26" s="1">
        <v>46000</v>
      </c>
      <c r="I26">
        <f>SUMIFS(Table14[Debit], Table14[Date], Table16[[#This Row],[Date]], Table14[Party], "Advance Salary", Table14[Description], Table16[[#This Row],[Person]] )</f>
        <v>50000</v>
      </c>
      <c r="J26" t="s">
        <v>386</v>
      </c>
    </row>
    <row r="27" spans="2:10" x14ac:dyDescent="0.3">
      <c r="B27" s="1">
        <v>46002</v>
      </c>
      <c r="C27" s="20">
        <f>SUMIFS(Table14[Debit], Table14[Date], Table11[[#This Row],[Date]], Table14[Party],"Salary", Table14[Description],Table11[[#This Row],[Column1]])</f>
        <v>0</v>
      </c>
      <c r="H27" s="1">
        <v>46000</v>
      </c>
      <c r="I27">
        <f>SUMIFS(Table14[Debit], Table14[Date], Table16[[#This Row],[Date]], Table14[Party], "Advance Salary", Table14[Description], Table16[[#This Row],[Person]] )</f>
        <v>5000</v>
      </c>
      <c r="J27" t="s">
        <v>398</v>
      </c>
    </row>
    <row r="28" spans="2:10" x14ac:dyDescent="0.3">
      <c r="B28" s="1">
        <v>46003</v>
      </c>
      <c r="C28" s="20">
        <f>SUMIFS(Table14[Debit], Table14[Date], Table11[[#This Row],[Date]], Table14[Party],"Salary", Table14[Description],Table11[[#This Row],[Column1]])</f>
        <v>80000</v>
      </c>
      <c r="D28" t="s">
        <v>422</v>
      </c>
      <c r="H28" s="1">
        <v>46000</v>
      </c>
      <c r="I28">
        <f>SUMIFS(Table14[Debit], Table14[Date], Table16[[#This Row],[Date]], Table14[Party], "Advance Salary", Table14[Description], Table16[[#This Row],[Person]] )</f>
        <v>6000</v>
      </c>
      <c r="J28" t="s">
        <v>400</v>
      </c>
    </row>
    <row r="29" spans="2:10" x14ac:dyDescent="0.3">
      <c r="B29" s="1">
        <v>46003</v>
      </c>
      <c r="C29" s="20">
        <f>SUMIFS(Table14[Debit], Table14[Date], Table11[[#This Row],[Date]], Table14[Party],"Salary", Table14[Description],Table11[[#This Row],[Column1]])</f>
        <v>50000</v>
      </c>
      <c r="D29" t="s">
        <v>420</v>
      </c>
      <c r="H29" s="1">
        <v>46001</v>
      </c>
      <c r="I29">
        <f>SUMIFS(Table14[Debit], Table14[Date], Table16[[#This Row],[Date]], Table14[Party], "Advance Salary", Table14[Description], Table16[[#This Row],[Person]] )</f>
        <v>5000</v>
      </c>
      <c r="J29" t="s">
        <v>405</v>
      </c>
    </row>
    <row r="30" spans="2:10" x14ac:dyDescent="0.3">
      <c r="B30" s="1">
        <v>46005</v>
      </c>
      <c r="C30" s="20">
        <f>SUMIFS(Table14[Debit], Table14[Date], Table11[[#This Row],[Date]], Table14[Party],"Salary", Table14[Description],Table11[[#This Row],[Column1]])</f>
        <v>0</v>
      </c>
      <c r="H30" s="1">
        <v>46002</v>
      </c>
      <c r="I30">
        <f>SUMIFS(Table14[Debit], Table14[Date], Table16[[#This Row],[Date]], Table14[Party], "Advance Salary", Table14[Description], Table16[[#This Row],[Person]] )</f>
        <v>5000</v>
      </c>
      <c r="J30" t="s">
        <v>360</v>
      </c>
    </row>
    <row r="31" spans="2:10" x14ac:dyDescent="0.3">
      <c r="B31" s="1">
        <v>46006</v>
      </c>
      <c r="C31" s="20">
        <f>SUMIFS(Table14[Debit], Table14[Date], Table11[[#This Row],[Date]], Table14[Party],"Salary", Table14[Description],Table11[[#This Row],[Column1]])</f>
        <v>0</v>
      </c>
      <c r="H31" s="1">
        <v>46002</v>
      </c>
      <c r="I31">
        <f>SUMIFS(Table14[Debit], Table14[Date], Table16[[#This Row],[Date]], Table14[Party], "Advance Salary", Table14[Description], Table16[[#This Row],[Person]] )</f>
        <v>5000</v>
      </c>
      <c r="J31" t="s">
        <v>352</v>
      </c>
    </row>
    <row r="32" spans="2:10" x14ac:dyDescent="0.3">
      <c r="B32" s="1">
        <v>46007</v>
      </c>
      <c r="C32" s="20">
        <f>SUMIFS(Table14[Debit], Table14[Date], Table11[[#This Row],[Date]], Table14[Party],"Salary", Table14[Description],Table11[[#This Row],[Column1]])</f>
        <v>0</v>
      </c>
      <c r="H32" s="1">
        <v>46004</v>
      </c>
      <c r="I32">
        <f>SUMIFS(Table14[Debit], Table14[Date], Table16[[#This Row],[Date]], Table14[Party], "Advance Salary", Table14[Description], Table16[[#This Row],[Person]] )</f>
        <v>20000</v>
      </c>
      <c r="J32" t="s">
        <v>398</v>
      </c>
    </row>
    <row r="33" spans="2:9" x14ac:dyDescent="0.3">
      <c r="B33" s="1">
        <v>46008</v>
      </c>
      <c r="C33" s="20">
        <f>SUMIFS(Table14[Debit], Table14[Date], Table11[[#This Row],[Date]], Table14[Party],"Salary", Table14[Description],Table11[[#This Row],[Column1]])</f>
        <v>0</v>
      </c>
      <c r="H33" s="1">
        <v>46008</v>
      </c>
      <c r="I33">
        <f>SUMIFS(Table14[Debit], Table14[Date], Table16[[#This Row],[Date]], Table14[Party], "Advance Salary", Table14[Description], Table16[[#This Row],[Person]] )</f>
        <v>0</v>
      </c>
    </row>
    <row r="34" spans="2:9" x14ac:dyDescent="0.3">
      <c r="B34" s="1">
        <v>46009</v>
      </c>
      <c r="C34" s="20">
        <f>SUMIFS(Table14[Debit], Table14[Date], Table11[[#This Row],[Date]], Table14[Party],"Salary", Table14[Description],Table11[[#This Row],[Column1]])</f>
        <v>0</v>
      </c>
      <c r="H34" s="1">
        <v>46009</v>
      </c>
      <c r="I34">
        <f>SUMIFS(Table14[Debit], Table14[Date], Table16[[#This Row],[Date]], Table14[Party], "Advance Salary", Table14[Description], Table16[[#This Row],[Person]] )</f>
        <v>0</v>
      </c>
    </row>
    <row r="35" spans="2:9" x14ac:dyDescent="0.3">
      <c r="B35" s="1">
        <v>46010</v>
      </c>
      <c r="C35" s="20">
        <f>SUMIFS(Table14[Debit], Table14[Date], Table11[[#This Row],[Date]], Table14[Party],"Salary", Table14[Description],Table11[[#This Row],[Column1]])</f>
        <v>0</v>
      </c>
      <c r="H35" s="1">
        <v>46010</v>
      </c>
      <c r="I35">
        <f>SUMIFS(Table14[Debit], Table14[Date], Table16[[#This Row],[Date]], Table14[Party], "Advance Salary", Table14[Description], Table16[[#This Row],[Person]] )</f>
        <v>0</v>
      </c>
    </row>
    <row r="36" spans="2:9" x14ac:dyDescent="0.3">
      <c r="B36" s="1">
        <v>46011</v>
      </c>
      <c r="C36" s="20">
        <f>SUMIFS(Table14[Debit], Table14[Date], Table11[[#This Row],[Date]], Table14[Party],"Salary", Table14[Description],Table11[[#This Row],[Column1]])</f>
        <v>0</v>
      </c>
      <c r="H36" s="1">
        <v>46011</v>
      </c>
      <c r="I36">
        <f>SUMIFS(Table14[Debit], Table14[Date], Table16[[#This Row],[Date]], Table14[Party], "Advance Salary", Table14[Description], Table16[[#This Row],[Person]] )</f>
        <v>0</v>
      </c>
    </row>
    <row r="37" spans="2:9" x14ac:dyDescent="0.3">
      <c r="B37" s="1">
        <v>46012</v>
      </c>
      <c r="C37" s="20">
        <f>SUMIFS(Table14[Debit], Table14[Date], Table11[[#This Row],[Date]], Table14[Party],"Salary", Table14[Description],Table11[[#This Row],[Column1]])</f>
        <v>0</v>
      </c>
      <c r="H37" s="1"/>
      <c r="I37">
        <f>SUBTOTAL(109,Table16[Advance])</f>
        <v>481000</v>
      </c>
    </row>
    <row r="38" spans="2:9" x14ac:dyDescent="0.3">
      <c r="B38" s="1">
        <v>46013</v>
      </c>
      <c r="C38" s="20">
        <f>SUMIFS(Table14[Debit], Table14[Date], Table11[[#This Row],[Date]], Table14[Party],"Salary", Table14[Description],Table11[[#This Row],[Column1]])</f>
        <v>0</v>
      </c>
    </row>
    <row r="39" spans="2:9" x14ac:dyDescent="0.3">
      <c r="B39" s="1">
        <v>46014</v>
      </c>
      <c r="C39" s="20">
        <f>SUMIFS(Table14[Debit], Table14[Date], Table11[[#This Row],[Date]], Table14[Party],"Salary", Table14[Description],Table11[[#This Row],[Column1]])</f>
        <v>0</v>
      </c>
    </row>
    <row r="40" spans="2:9" x14ac:dyDescent="0.3">
      <c r="B40" s="1">
        <v>46015</v>
      </c>
      <c r="C40" s="20">
        <f>SUMIFS(Table14[Debit], Table14[Date], Table11[[#This Row],[Date]], Table14[Party],"Salary", Table14[Description],Table11[[#This Row],[Column1]])</f>
        <v>0</v>
      </c>
    </row>
    <row r="41" spans="2:9" x14ac:dyDescent="0.3">
      <c r="B41" s="1">
        <v>46016</v>
      </c>
      <c r="C41" s="20">
        <f>SUMIFS(Table14[Debit], Table14[Date], Table11[[#This Row],[Date]], Table14[Party],"Salary", Table14[Description],Table11[[#This Row],[Column1]])</f>
        <v>0</v>
      </c>
    </row>
    <row r="42" spans="2:9" x14ac:dyDescent="0.3">
      <c r="B42" s="1">
        <v>46017</v>
      </c>
      <c r="C42" s="20">
        <f>SUMIFS(Table14[Debit], Table14[Date], Table11[[#This Row],[Date]], Table14[Party],"Salary", Table14[Description],Table11[[#This Row],[Column1]])</f>
        <v>0</v>
      </c>
    </row>
    <row r="43" spans="2:9" x14ac:dyDescent="0.3">
      <c r="B43" s="1"/>
      <c r="C43" s="25">
        <f>SUM(Table11[Amount])</f>
        <v>249600</v>
      </c>
    </row>
  </sheetData>
  <phoneticPr fontId="4" type="noConversion"/>
  <pageMargins left="0.7" right="0.7" top="0.75" bottom="0.75" header="0.3" footer="0.3"/>
  <pageSetup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A8C4-D49C-464B-A701-37B1759EDEA7}">
  <dimension ref="A1:L119"/>
  <sheetViews>
    <sheetView zoomScale="90" workbookViewId="0">
      <selection activeCell="F123" sqref="F123"/>
    </sheetView>
  </sheetViews>
  <sheetFormatPr defaultRowHeight="14.4" x14ac:dyDescent="0.3"/>
  <cols>
    <col min="1" max="1" width="20.5546875" bestFit="1" customWidth="1"/>
    <col min="2" max="2" width="18.5546875" bestFit="1" customWidth="1"/>
    <col min="3" max="3" width="17.6640625" bestFit="1" customWidth="1"/>
    <col min="4" max="4" width="17.109375" bestFit="1" customWidth="1"/>
    <col min="5" max="5" width="16.21875" customWidth="1"/>
    <col min="6" max="6" width="17" customWidth="1"/>
    <col min="7" max="7" width="12.33203125" customWidth="1"/>
    <col min="8" max="8" width="15.33203125" customWidth="1"/>
    <col min="9" max="9" width="13.6640625" customWidth="1"/>
    <col min="10" max="10" width="15.33203125" customWidth="1"/>
    <col min="11" max="11" width="13.5546875" bestFit="1" customWidth="1"/>
  </cols>
  <sheetData>
    <row r="1" spans="1:12" x14ac:dyDescent="0.3">
      <c r="A1" s="44" t="s">
        <v>2</v>
      </c>
      <c r="B1" s="14" t="s">
        <v>88</v>
      </c>
      <c r="C1" s="14"/>
    </row>
    <row r="2" spans="1:12" x14ac:dyDescent="0.3">
      <c r="A2" s="31" t="s">
        <v>28</v>
      </c>
      <c r="B2" s="33">
        <f>SUM(B4:INDEX(B:B, MATCH(1E+100, B:B)-1))</f>
        <v>1876274</v>
      </c>
      <c r="C2" s="32">
        <f>GETPIVOTDATA("Sum of Tiyaar/gaz",$A$3)</f>
        <v>1825770</v>
      </c>
      <c r="D2" s="31">
        <f>((B2*48)+((C2/1.0936)*10))/C2</f>
        <v>58.471875368602682</v>
      </c>
      <c r="J2">
        <v>48</v>
      </c>
    </row>
    <row r="3" spans="1:12" x14ac:dyDescent="0.3">
      <c r="A3" s="34" t="s">
        <v>141</v>
      </c>
      <c r="B3" s="35" t="s">
        <v>142</v>
      </c>
      <c r="C3" s="36" t="s">
        <v>89</v>
      </c>
      <c r="D3" s="32" t="s">
        <v>143</v>
      </c>
      <c r="E3" s="11" t="s">
        <v>144</v>
      </c>
      <c r="F3" s="11" t="str">
        <f t="shared" ref="F3:F38" si="0">C3</f>
        <v>Sum of Tiyaar/gaz</v>
      </c>
      <c r="G3" s="77" t="s">
        <v>82</v>
      </c>
      <c r="H3" s="11" t="s">
        <v>145</v>
      </c>
      <c r="I3" s="29" t="s">
        <v>146</v>
      </c>
    </row>
    <row r="4" spans="1:12" x14ac:dyDescent="0.3">
      <c r="A4" s="16" t="s">
        <v>104</v>
      </c>
      <c r="B4" s="14"/>
      <c r="C4" s="14"/>
      <c r="D4" s="28" t="e">
        <f>I4</f>
        <v>#DIV/0!</v>
      </c>
      <c r="E4" s="11">
        <f>B4 * 1.0936</f>
        <v>0</v>
      </c>
      <c r="F4" s="11">
        <f t="shared" si="0"/>
        <v>0</v>
      </c>
      <c r="G4" s="78" t="e">
        <f>100- (F4/E4 *100)</f>
        <v>#DIV/0!</v>
      </c>
      <c r="H4" s="28">
        <f>F4/1.0936</f>
        <v>0</v>
      </c>
      <c r="I4" s="28" t="e">
        <f>((B4*48)+(H4*10))/C4</f>
        <v>#DIV/0!</v>
      </c>
      <c r="J4" s="28"/>
      <c r="K4" s="28"/>
      <c r="L4" s="28"/>
    </row>
    <row r="5" spans="1:12" x14ac:dyDescent="0.3">
      <c r="A5" s="16">
        <v>1873</v>
      </c>
      <c r="B5" s="14">
        <v>42762</v>
      </c>
      <c r="C5" s="14">
        <v>835</v>
      </c>
      <c r="D5" s="28">
        <f t="shared" ref="D5:D38" si="1">I5</f>
        <v>2467.3189614917933</v>
      </c>
      <c r="E5" s="11">
        <f t="shared" ref="E5:E38" si="2">B5 * 1.0936</f>
        <v>46764.523199999996</v>
      </c>
      <c r="F5" s="11">
        <f t="shared" si="0"/>
        <v>835</v>
      </c>
      <c r="G5" s="78">
        <f>100- (F5/E5 *100)</f>
        <v>98.2144584337385</v>
      </c>
      <c r="H5" s="28">
        <f t="shared" ref="H5:H38" si="3">F5/1.0936</f>
        <v>763.53328456474037</v>
      </c>
      <c r="I5" s="28">
        <f>((B5*48)+(H5*10))/C5</f>
        <v>2467.3189614917933</v>
      </c>
      <c r="J5" s="28"/>
      <c r="K5" s="28"/>
      <c r="L5" s="28"/>
    </row>
    <row r="6" spans="1:12" x14ac:dyDescent="0.3">
      <c r="A6" s="16">
        <v>1879</v>
      </c>
      <c r="B6" s="14">
        <v>15061</v>
      </c>
      <c r="C6" s="14">
        <v>16220</v>
      </c>
      <c r="D6" s="28">
        <f t="shared" si="1"/>
        <v>53.714271488323057</v>
      </c>
      <c r="E6" s="11">
        <f t="shared" si="2"/>
        <v>16470.709599999998</v>
      </c>
      <c r="F6" s="11">
        <f t="shared" si="0"/>
        <v>16220</v>
      </c>
      <c r="G6" s="78">
        <f t="shared" ref="G6:G18" si="4">100- (F6/E6 *100)</f>
        <v>1.5221542124693741</v>
      </c>
      <c r="H6" s="28">
        <f t="shared" si="3"/>
        <v>14831.748354059986</v>
      </c>
      <c r="I6" s="28">
        <f>((B6*48)+(H6*10))/C6</f>
        <v>53.714271488323057</v>
      </c>
      <c r="J6" s="28"/>
      <c r="K6" s="28"/>
      <c r="L6" s="28"/>
    </row>
    <row r="7" spans="1:12" x14ac:dyDescent="0.3">
      <c r="A7" s="16">
        <v>1867</v>
      </c>
      <c r="B7" s="14">
        <v>15147</v>
      </c>
      <c r="C7" s="14">
        <v>16288</v>
      </c>
      <c r="D7" s="28">
        <f t="shared" si="1"/>
        <v>53.781635750348883</v>
      </c>
      <c r="E7" s="11">
        <f t="shared" si="2"/>
        <v>16564.759199999997</v>
      </c>
      <c r="F7" s="11">
        <f t="shared" si="0"/>
        <v>16288</v>
      </c>
      <c r="G7" s="78">
        <f t="shared" si="4"/>
        <v>1.6707710426602347</v>
      </c>
      <c r="H7" s="28">
        <f t="shared" si="3"/>
        <v>14893.928310168252</v>
      </c>
      <c r="I7" s="28">
        <f>((B7*48)+(H7*10))/C7</f>
        <v>53.781635750348883</v>
      </c>
      <c r="J7" s="28"/>
      <c r="K7" s="28"/>
      <c r="L7" s="28"/>
    </row>
    <row r="8" spans="1:12" x14ac:dyDescent="0.3">
      <c r="A8" s="16" t="s">
        <v>197</v>
      </c>
      <c r="B8" s="14">
        <v>17020</v>
      </c>
      <c r="C8" s="14">
        <v>18129</v>
      </c>
      <c r="D8" s="28">
        <f t="shared" si="1"/>
        <v>54.20782127016804</v>
      </c>
      <c r="E8" s="11">
        <f t="shared" si="2"/>
        <v>18613.072</v>
      </c>
      <c r="F8" s="11">
        <f t="shared" si="0"/>
        <v>18129</v>
      </c>
      <c r="G8" s="78">
        <f t="shared" si="4"/>
        <v>2.6007098667001287</v>
      </c>
      <c r="H8" s="28">
        <f t="shared" si="3"/>
        <v>16577.359180687639</v>
      </c>
      <c r="I8" s="28">
        <f t="shared" ref="I8:I38" si="5">((B8*48)+(H8*10))/C8</f>
        <v>54.20782127016804</v>
      </c>
      <c r="J8" s="28"/>
      <c r="K8" s="28"/>
      <c r="L8" s="28"/>
    </row>
    <row r="9" spans="1:12" x14ac:dyDescent="0.3">
      <c r="A9" s="16">
        <v>1878</v>
      </c>
      <c r="B9" s="14">
        <v>25021</v>
      </c>
      <c r="C9" s="14">
        <v>26629</v>
      </c>
      <c r="D9" s="28">
        <f t="shared" si="1"/>
        <v>54.245617069443433</v>
      </c>
      <c r="E9" s="11">
        <f t="shared" si="2"/>
        <v>27362.965599999996</v>
      </c>
      <c r="F9" s="11">
        <f t="shared" si="0"/>
        <v>26629</v>
      </c>
      <c r="G9" s="78">
        <f t="shared" si="4"/>
        <v>2.6823320641823756</v>
      </c>
      <c r="H9" s="28">
        <f t="shared" si="3"/>
        <v>24349.853694220925</v>
      </c>
      <c r="I9" s="28">
        <f t="shared" si="5"/>
        <v>54.245617069443433</v>
      </c>
      <c r="J9" s="28"/>
      <c r="K9" s="28"/>
      <c r="L9" s="28"/>
    </row>
    <row r="10" spans="1:12" x14ac:dyDescent="0.3">
      <c r="A10" s="16">
        <v>1897</v>
      </c>
      <c r="B10" s="14">
        <v>11127</v>
      </c>
      <c r="C10" s="14">
        <v>11819</v>
      </c>
      <c r="D10" s="28">
        <f t="shared" si="1"/>
        <v>54.333721142472477</v>
      </c>
      <c r="E10" s="11">
        <f t="shared" si="2"/>
        <v>12168.4872</v>
      </c>
      <c r="F10" s="11">
        <f t="shared" si="0"/>
        <v>11819</v>
      </c>
      <c r="G10" s="78">
        <f t="shared" si="4"/>
        <v>2.8720677784827728</v>
      </c>
      <c r="H10" s="28">
        <f t="shared" si="3"/>
        <v>10807.425018288222</v>
      </c>
      <c r="I10" s="28">
        <f t="shared" si="5"/>
        <v>54.333721142472477</v>
      </c>
      <c r="J10" s="28"/>
      <c r="K10" s="28"/>
      <c r="L10" s="28"/>
    </row>
    <row r="11" spans="1:12" x14ac:dyDescent="0.3">
      <c r="A11" s="16">
        <v>1920</v>
      </c>
      <c r="B11" s="14">
        <v>12000</v>
      </c>
      <c r="C11" s="14">
        <v>12931</v>
      </c>
      <c r="D11" s="28"/>
      <c r="E11" s="11">
        <f t="shared" si="2"/>
        <v>13123.199999999999</v>
      </c>
      <c r="F11" s="11">
        <f t="shared" si="0"/>
        <v>12931</v>
      </c>
      <c r="G11" s="78">
        <f t="shared" si="4"/>
        <v>1.4645818093147938</v>
      </c>
      <c r="H11" s="28">
        <f t="shared" si="3"/>
        <v>11824.250182882224</v>
      </c>
      <c r="I11" s="28">
        <f t="shared" si="5"/>
        <v>53.688229976708861</v>
      </c>
      <c r="J11" s="28"/>
      <c r="K11" s="28"/>
      <c r="L11" s="28"/>
    </row>
    <row r="12" spans="1:12" x14ac:dyDescent="0.3">
      <c r="A12" s="16">
        <v>1898</v>
      </c>
      <c r="B12" s="14">
        <v>8003</v>
      </c>
      <c r="C12" s="14">
        <v>8533</v>
      </c>
      <c r="D12" s="28">
        <f t="shared" si="1"/>
        <v>54.162744732764772</v>
      </c>
      <c r="E12" s="11">
        <f t="shared" si="2"/>
        <v>8752.0807999999997</v>
      </c>
      <c r="F12" s="11">
        <f t="shared" si="0"/>
        <v>8533</v>
      </c>
      <c r="G12" s="78">
        <f t="shared" si="4"/>
        <v>2.5031852996603874</v>
      </c>
      <c r="H12" s="28">
        <f t="shared" si="3"/>
        <v>7802.6700804681795</v>
      </c>
      <c r="I12" s="28">
        <f t="shared" si="5"/>
        <v>54.162744732764772</v>
      </c>
    </row>
    <row r="13" spans="1:12" x14ac:dyDescent="0.3">
      <c r="A13" s="16">
        <v>1875</v>
      </c>
      <c r="B13" s="14">
        <v>8051</v>
      </c>
      <c r="C13" s="14">
        <v>8739</v>
      </c>
      <c r="D13" s="28">
        <f t="shared" si="1"/>
        <v>53.365189118928321</v>
      </c>
      <c r="E13" s="11">
        <f t="shared" si="2"/>
        <v>8804.5735999999997</v>
      </c>
      <c r="F13" s="11">
        <f t="shared" si="0"/>
        <v>8739</v>
      </c>
      <c r="G13" s="78">
        <f t="shared" si="4"/>
        <v>0.74476746948880646</v>
      </c>
      <c r="H13" s="28">
        <f t="shared" si="3"/>
        <v>7991.0387710314562</v>
      </c>
      <c r="I13" s="28">
        <f t="shared" si="5"/>
        <v>53.365189118928321</v>
      </c>
    </row>
    <row r="14" spans="1:12" x14ac:dyDescent="0.3">
      <c r="A14" s="16">
        <v>1918</v>
      </c>
      <c r="B14" s="14">
        <v>24516</v>
      </c>
      <c r="C14" s="14">
        <v>26272</v>
      </c>
      <c r="D14" s="28">
        <f t="shared" si="1"/>
        <v>53.935828610175292</v>
      </c>
      <c r="E14" s="11">
        <f t="shared" si="2"/>
        <v>26810.697599999996</v>
      </c>
      <c r="F14" s="11">
        <f t="shared" si="0"/>
        <v>26272</v>
      </c>
      <c r="G14" s="78">
        <f t="shared" si="4"/>
        <v>2.0092636455680974</v>
      </c>
      <c r="H14" s="28">
        <f t="shared" si="3"/>
        <v>24023.408924652525</v>
      </c>
      <c r="I14" s="28">
        <f t="shared" si="5"/>
        <v>53.935828610175292</v>
      </c>
    </row>
    <row r="15" spans="1:12" x14ac:dyDescent="0.3">
      <c r="A15" s="16">
        <v>1906</v>
      </c>
      <c r="B15" s="14">
        <v>36489</v>
      </c>
      <c r="C15" s="14">
        <v>39116</v>
      </c>
      <c r="D15" s="28">
        <f t="shared" si="1"/>
        <v>53.920468693159052</v>
      </c>
      <c r="E15" s="11">
        <f>B15 * 1.0936</f>
        <v>39904.3704</v>
      </c>
      <c r="F15" s="11">
        <f t="shared" si="0"/>
        <v>39116</v>
      </c>
      <c r="G15" s="78">
        <f t="shared" si="4"/>
        <v>1.9756492637207401</v>
      </c>
      <c r="H15" s="28">
        <f t="shared" si="3"/>
        <v>35768.105340160939</v>
      </c>
      <c r="I15" s="28">
        <f>((B15*48)+(H15*10))/C15</f>
        <v>53.920468693159052</v>
      </c>
    </row>
    <row r="16" spans="1:12" x14ac:dyDescent="0.3">
      <c r="A16" s="16">
        <v>1883</v>
      </c>
      <c r="B16" s="14">
        <v>8030</v>
      </c>
      <c r="C16" s="14">
        <v>8555</v>
      </c>
      <c r="D16" s="28">
        <f t="shared" si="1"/>
        <v>54.198465371234882</v>
      </c>
      <c r="E16" s="11">
        <f t="shared" si="2"/>
        <v>8781.6079999999984</v>
      </c>
      <c r="F16" s="11">
        <f t="shared" si="0"/>
        <v>8555</v>
      </c>
      <c r="G16" s="78">
        <f t="shared" si="4"/>
        <v>2.5804841209035771</v>
      </c>
      <c r="H16" s="28">
        <f t="shared" si="3"/>
        <v>7822.7871250914413</v>
      </c>
      <c r="I16" s="28">
        <f>((B16*48)+(H16*10))/C16</f>
        <v>54.198465371234882</v>
      </c>
    </row>
    <row r="17" spans="1:9" x14ac:dyDescent="0.3">
      <c r="A17" s="16">
        <v>1917</v>
      </c>
      <c r="B17" s="14">
        <v>10009</v>
      </c>
      <c r="C17" s="14">
        <v>10964</v>
      </c>
      <c r="D17" s="28">
        <f t="shared" si="1"/>
        <v>52.963155336864922</v>
      </c>
      <c r="E17" s="11">
        <f t="shared" si="2"/>
        <v>10945.8424</v>
      </c>
      <c r="F17" s="11">
        <f t="shared" si="0"/>
        <v>10964</v>
      </c>
      <c r="G17" s="78">
        <f t="shared" si="4"/>
        <v>-0.16588581615243925</v>
      </c>
      <c r="H17" s="28">
        <f t="shared" si="3"/>
        <v>10025.603511338699</v>
      </c>
      <c r="I17" s="28">
        <f>((B17*48)+(H17*10))/C17</f>
        <v>52.963155336864922</v>
      </c>
    </row>
    <row r="18" spans="1:9" x14ac:dyDescent="0.3">
      <c r="A18" s="16">
        <v>1900</v>
      </c>
      <c r="B18" s="14">
        <v>15833</v>
      </c>
      <c r="C18" s="14">
        <v>16832</v>
      </c>
      <c r="D18" s="28">
        <f t="shared" si="1"/>
        <v>54.295251876802745</v>
      </c>
      <c r="E18" s="11">
        <f t="shared" si="2"/>
        <v>17314.968799999999</v>
      </c>
      <c r="F18" s="11">
        <f t="shared" si="0"/>
        <v>16832</v>
      </c>
      <c r="G18" s="78">
        <f t="shared" si="4"/>
        <v>2.7893137179663796</v>
      </c>
      <c r="H18" s="28">
        <f t="shared" si="3"/>
        <v>15391.367959034384</v>
      </c>
      <c r="I18" s="28">
        <f>((B18*48)+(H18*10))/C18</f>
        <v>54.295251876802745</v>
      </c>
    </row>
    <row r="19" spans="1:9" x14ac:dyDescent="0.3">
      <c r="A19" s="16">
        <v>1930</v>
      </c>
      <c r="B19" s="14">
        <v>19698</v>
      </c>
      <c r="C19" s="14">
        <v>21453</v>
      </c>
      <c r="D19" s="28">
        <f t="shared" si="1"/>
        <v>53.217387657222197</v>
      </c>
      <c r="E19" s="11">
        <f t="shared" si="2"/>
        <v>21541.732799999998</v>
      </c>
      <c r="F19" s="11">
        <f t="shared" si="0"/>
        <v>21453</v>
      </c>
      <c r="G19" s="78">
        <f t="shared" ref="G19:G38" si="6">100- (F19/E19 *100)</f>
        <v>0.41191115321976213</v>
      </c>
      <c r="H19" s="28">
        <f t="shared" si="3"/>
        <v>19616.861741038774</v>
      </c>
      <c r="I19" s="28">
        <f t="shared" si="5"/>
        <v>53.217387657222197</v>
      </c>
    </row>
    <row r="20" spans="1:9" x14ac:dyDescent="0.3">
      <c r="A20" s="16">
        <v>1911</v>
      </c>
      <c r="B20" s="14">
        <v>25728</v>
      </c>
      <c r="C20" s="14">
        <v>26729</v>
      </c>
      <c r="D20" s="28">
        <f t="shared" si="1"/>
        <v>55.346513077984532</v>
      </c>
      <c r="E20" s="11">
        <f>B20 * 1.0936</f>
        <v>28136.140799999997</v>
      </c>
      <c r="F20" s="11">
        <f t="shared" si="0"/>
        <v>26729</v>
      </c>
      <c r="G20" s="78">
        <f t="shared" si="6"/>
        <v>5.0011862323350158</v>
      </c>
      <c r="H20" s="28">
        <f t="shared" si="3"/>
        <v>24441.294806144844</v>
      </c>
      <c r="I20" s="28">
        <f t="shared" si="5"/>
        <v>55.346513077984532</v>
      </c>
    </row>
    <row r="21" spans="1:9" x14ac:dyDescent="0.3">
      <c r="A21" s="16">
        <v>1887</v>
      </c>
      <c r="B21" s="14">
        <v>53910</v>
      </c>
      <c r="C21" s="14">
        <v>57605</v>
      </c>
      <c r="D21" s="28">
        <f t="shared" si="1"/>
        <v>54.065211791298445</v>
      </c>
      <c r="E21" s="11">
        <f t="shared" si="2"/>
        <v>58955.975999999995</v>
      </c>
      <c r="F21" s="11">
        <f t="shared" si="0"/>
        <v>57605</v>
      </c>
      <c r="G21" s="78">
        <f t="shared" si="6"/>
        <v>2.2914996776577681</v>
      </c>
      <c r="H21" s="28">
        <f t="shared" si="3"/>
        <v>52674.65252377469</v>
      </c>
      <c r="I21" s="28">
        <f t="shared" si="5"/>
        <v>54.065211791298445</v>
      </c>
    </row>
    <row r="22" spans="1:9" x14ac:dyDescent="0.3">
      <c r="A22" s="16" t="s">
        <v>243</v>
      </c>
      <c r="B22" s="14">
        <v>24227</v>
      </c>
      <c r="C22" s="14">
        <v>25825</v>
      </c>
      <c r="D22" s="28">
        <f t="shared" si="1"/>
        <v>54.173965984260448</v>
      </c>
      <c r="E22" s="11">
        <f t="shared" si="2"/>
        <v>26494.647199999999</v>
      </c>
      <c r="F22" s="11">
        <f t="shared" si="0"/>
        <v>25825</v>
      </c>
      <c r="G22" s="78">
        <f t="shared" si="6"/>
        <v>2.5274810981442357</v>
      </c>
      <c r="H22" s="28">
        <f t="shared" si="3"/>
        <v>23614.667154352599</v>
      </c>
      <c r="I22" s="28">
        <f t="shared" si="5"/>
        <v>54.173965984260448</v>
      </c>
    </row>
    <row r="23" spans="1:9" x14ac:dyDescent="0.3">
      <c r="A23" s="16">
        <v>1882</v>
      </c>
      <c r="B23" s="14">
        <v>26019</v>
      </c>
      <c r="C23" s="14">
        <v>27599</v>
      </c>
      <c r="D23" s="28">
        <f t="shared" si="1"/>
        <v>54.39618554291205</v>
      </c>
      <c r="E23" s="11">
        <f t="shared" si="2"/>
        <v>28454.378399999998</v>
      </c>
      <c r="F23" s="11">
        <f t="shared" si="0"/>
        <v>27599</v>
      </c>
      <c r="G23" s="78">
        <f t="shared" si="6"/>
        <v>3.0061398213499473</v>
      </c>
      <c r="H23" s="28">
        <f t="shared" si="3"/>
        <v>25236.832479882956</v>
      </c>
      <c r="I23" s="28">
        <f t="shared" si="5"/>
        <v>54.39618554291205</v>
      </c>
    </row>
    <row r="24" spans="1:9" x14ac:dyDescent="0.3">
      <c r="A24" s="16">
        <v>1890</v>
      </c>
      <c r="B24" s="14">
        <v>24030</v>
      </c>
      <c r="C24" s="14">
        <v>25542</v>
      </c>
      <c r="D24" s="28">
        <f t="shared" si="1"/>
        <v>54.302673560256792</v>
      </c>
      <c r="E24" s="11">
        <f t="shared" si="2"/>
        <v>26279.207999999999</v>
      </c>
      <c r="F24" s="11">
        <f t="shared" si="0"/>
        <v>25542</v>
      </c>
      <c r="G24" s="78">
        <f t="shared" si="6"/>
        <v>2.8052900224390385</v>
      </c>
      <c r="H24" s="28">
        <f t="shared" si="3"/>
        <v>23355.888807607902</v>
      </c>
      <c r="I24" s="28">
        <f t="shared" si="5"/>
        <v>54.302673560256792</v>
      </c>
    </row>
    <row r="25" spans="1:9" x14ac:dyDescent="0.3">
      <c r="A25" s="16">
        <v>1877</v>
      </c>
      <c r="B25" s="14">
        <v>25519</v>
      </c>
      <c r="C25" s="14">
        <v>27328</v>
      </c>
      <c r="D25" s="28">
        <f t="shared" si="1"/>
        <v>53.966710724008024</v>
      </c>
      <c r="E25" s="11">
        <f t="shared" si="2"/>
        <v>27907.578399999999</v>
      </c>
      <c r="F25" s="11">
        <f t="shared" si="0"/>
        <v>27328</v>
      </c>
      <c r="G25" s="78">
        <f t="shared" si="6"/>
        <v>2.0767778260545811</v>
      </c>
      <c r="H25" s="28">
        <f t="shared" si="3"/>
        <v>24989.027066569131</v>
      </c>
      <c r="I25" s="28">
        <f t="shared" si="5"/>
        <v>53.966710724008024</v>
      </c>
    </row>
    <row r="26" spans="1:9" x14ac:dyDescent="0.3">
      <c r="A26" s="16">
        <v>1853</v>
      </c>
      <c r="B26" s="14">
        <v>40243</v>
      </c>
      <c r="C26" s="14">
        <v>43055</v>
      </c>
      <c r="D26" s="28">
        <f t="shared" si="1"/>
        <v>54.009144289593358</v>
      </c>
      <c r="E26" s="11">
        <f t="shared" si="2"/>
        <v>44009.744799999993</v>
      </c>
      <c r="F26" s="11">
        <f t="shared" si="0"/>
        <v>43055</v>
      </c>
      <c r="G26" s="78">
        <f t="shared" si="6"/>
        <v>2.1693940838302552</v>
      </c>
      <c r="H26" s="28">
        <f t="shared" si="3"/>
        <v>39369.970738844189</v>
      </c>
      <c r="I26" s="28">
        <f t="shared" si="5"/>
        <v>54.009144289593358</v>
      </c>
    </row>
    <row r="27" spans="1:9" x14ac:dyDescent="0.3">
      <c r="A27" s="16">
        <v>1889</v>
      </c>
      <c r="B27" s="14">
        <v>35271</v>
      </c>
      <c r="C27" s="14">
        <v>37496</v>
      </c>
      <c r="D27" s="28">
        <f t="shared" si="1"/>
        <v>54.295807373318063</v>
      </c>
      <c r="E27" s="11">
        <f t="shared" si="2"/>
        <v>38572.365599999997</v>
      </c>
      <c r="F27" s="11">
        <f t="shared" si="0"/>
        <v>37496</v>
      </c>
      <c r="G27" s="78">
        <f t="shared" si="6"/>
        <v>2.7905096906993947</v>
      </c>
      <c r="H27" s="28">
        <f t="shared" si="3"/>
        <v>34286.759326993422</v>
      </c>
      <c r="I27" s="28">
        <f t="shared" si="5"/>
        <v>54.295807373318063</v>
      </c>
    </row>
    <row r="28" spans="1:9" x14ac:dyDescent="0.3">
      <c r="A28" s="16" t="s">
        <v>254</v>
      </c>
      <c r="B28" s="14">
        <v>69241</v>
      </c>
      <c r="C28" s="14">
        <v>15441</v>
      </c>
      <c r="D28" s="28">
        <f t="shared" si="1"/>
        <v>224.3871653987259</v>
      </c>
      <c r="E28" s="11">
        <f t="shared" si="2"/>
        <v>75721.957599999994</v>
      </c>
      <c r="F28" s="11">
        <f t="shared" si="0"/>
        <v>15441</v>
      </c>
      <c r="G28" s="78">
        <f t="shared" si="6"/>
        <v>79.608292641393618</v>
      </c>
      <c r="H28" s="28">
        <f t="shared" si="3"/>
        <v>14119.422092172643</v>
      </c>
      <c r="I28" s="28">
        <f t="shared" si="5"/>
        <v>224.3871653987259</v>
      </c>
    </row>
    <row r="29" spans="1:9" x14ac:dyDescent="0.3">
      <c r="A29" s="16">
        <v>1884</v>
      </c>
      <c r="B29" s="14">
        <v>34783</v>
      </c>
      <c r="C29" s="14">
        <v>37340</v>
      </c>
      <c r="D29" s="28">
        <f t="shared" si="1"/>
        <v>53.857126725332641</v>
      </c>
      <c r="E29" s="11">
        <f t="shared" si="2"/>
        <v>38038.688799999996</v>
      </c>
      <c r="F29" s="11">
        <f t="shared" si="0"/>
        <v>37340</v>
      </c>
      <c r="G29" s="78">
        <f t="shared" si="6"/>
        <v>1.8367846580453033</v>
      </c>
      <c r="H29" s="28">
        <f t="shared" si="3"/>
        <v>34144.111192392105</v>
      </c>
      <c r="I29" s="28">
        <f t="shared" si="5"/>
        <v>53.857126725332641</v>
      </c>
    </row>
    <row r="30" spans="1:9" x14ac:dyDescent="0.3">
      <c r="A30" s="16">
        <v>1926</v>
      </c>
      <c r="B30" s="14">
        <v>79388</v>
      </c>
      <c r="C30" s="14">
        <v>84345</v>
      </c>
      <c r="D30" s="28">
        <f t="shared" si="1"/>
        <v>54.323125953195948</v>
      </c>
      <c r="E30" s="11">
        <f t="shared" si="2"/>
        <v>86818.716799999995</v>
      </c>
      <c r="F30" s="11">
        <f t="shared" si="0"/>
        <v>84345</v>
      </c>
      <c r="G30" s="78">
        <f t="shared" si="6"/>
        <v>2.8492897513085467</v>
      </c>
      <c r="H30" s="28">
        <f t="shared" si="3"/>
        <v>77126.005852231174</v>
      </c>
      <c r="I30" s="28">
        <f t="shared" si="5"/>
        <v>54.323125953195948</v>
      </c>
    </row>
    <row r="31" spans="1:9" x14ac:dyDescent="0.3">
      <c r="A31" s="16">
        <v>1905</v>
      </c>
      <c r="B31" s="14">
        <v>62248</v>
      </c>
      <c r="C31" s="14">
        <v>66561</v>
      </c>
      <c r="D31" s="28">
        <f t="shared" si="1"/>
        <v>54.033821383044284</v>
      </c>
      <c r="E31" s="11">
        <f t="shared" si="2"/>
        <v>68074.412799999991</v>
      </c>
      <c r="F31" s="11">
        <f t="shared" si="0"/>
        <v>66561</v>
      </c>
      <c r="G31" s="78">
        <f t="shared" si="6"/>
        <v>2.2231742261903094</v>
      </c>
      <c r="H31" s="28">
        <f t="shared" si="3"/>
        <v>60864.118507681058</v>
      </c>
      <c r="I31" s="28">
        <f t="shared" si="5"/>
        <v>54.033821383044284</v>
      </c>
    </row>
    <row r="32" spans="1:9" x14ac:dyDescent="0.3">
      <c r="A32" s="16">
        <v>1934</v>
      </c>
      <c r="B32" s="14">
        <v>38741</v>
      </c>
      <c r="C32" s="14">
        <v>37301</v>
      </c>
      <c r="D32" s="28">
        <f t="shared" si="1"/>
        <v>58.99714462313122</v>
      </c>
      <c r="E32" s="11">
        <f t="shared" si="2"/>
        <v>42367.157599999999</v>
      </c>
      <c r="F32" s="11">
        <f t="shared" si="0"/>
        <v>37301</v>
      </c>
      <c r="G32" s="78">
        <f t="shared" si="6"/>
        <v>11.957747196144211</v>
      </c>
      <c r="H32" s="28">
        <f t="shared" si="3"/>
        <v>34108.449158741772</v>
      </c>
      <c r="I32" s="28">
        <f t="shared" si="5"/>
        <v>58.99714462313122</v>
      </c>
    </row>
    <row r="33" spans="1:9" x14ac:dyDescent="0.3">
      <c r="A33" s="16">
        <v>1843</v>
      </c>
      <c r="B33" s="14">
        <v>21089</v>
      </c>
      <c r="C33" s="14">
        <v>22527</v>
      </c>
      <c r="D33" s="28">
        <f t="shared" ref="D33:D37" si="7">I33</f>
        <v>54.080054726817451</v>
      </c>
      <c r="E33" s="11">
        <f t="shared" ref="E33:E37" si="8">B33 * 1.0936</f>
        <v>23062.930399999997</v>
      </c>
      <c r="F33" s="11">
        <f t="shared" ref="F33:F37" si="9">C33</f>
        <v>22527</v>
      </c>
      <c r="G33" s="78">
        <f t="shared" ref="G33:G37" si="10">100- (F33/E33 *100)</f>
        <v>2.3237740855342395</v>
      </c>
      <c r="H33" s="28">
        <f t="shared" ref="H33:H37" si="11">F33/1.0936</f>
        <v>20598.939283101685</v>
      </c>
      <c r="I33" s="28">
        <f t="shared" ref="I33:I37" si="12">((B33*48)+(H33*10))/C33</f>
        <v>54.080054726817451</v>
      </c>
    </row>
    <row r="34" spans="1:9" x14ac:dyDescent="0.3">
      <c r="A34" s="16">
        <v>1935</v>
      </c>
      <c r="B34" s="14">
        <v>9377</v>
      </c>
      <c r="C34" s="14">
        <v>10015</v>
      </c>
      <c r="D34" s="28">
        <f t="shared" si="7"/>
        <v>54.086297912312219</v>
      </c>
      <c r="E34" s="11">
        <f t="shared" si="8"/>
        <v>10254.687199999998</v>
      </c>
      <c r="F34" s="11">
        <f t="shared" si="9"/>
        <v>10015</v>
      </c>
      <c r="G34" s="78">
        <f t="shared" si="10"/>
        <v>2.3373428689272799</v>
      </c>
      <c r="H34" s="28">
        <f t="shared" si="11"/>
        <v>9157.8273591806883</v>
      </c>
      <c r="I34" s="28">
        <f t="shared" si="12"/>
        <v>54.086297912312219</v>
      </c>
    </row>
    <row r="35" spans="1:9" x14ac:dyDescent="0.3">
      <c r="A35" s="16">
        <v>1888</v>
      </c>
      <c r="B35" s="14">
        <v>28436</v>
      </c>
      <c r="C35" s="14">
        <v>29737</v>
      </c>
      <c r="D35" s="28">
        <f t="shared" si="7"/>
        <v>55.044101103950091</v>
      </c>
      <c r="E35" s="11">
        <f t="shared" si="8"/>
        <v>31097.609599999996</v>
      </c>
      <c r="F35" s="11">
        <f t="shared" si="9"/>
        <v>29737</v>
      </c>
      <c r="G35" s="78">
        <f t="shared" si="10"/>
        <v>4.3752867744535422</v>
      </c>
      <c r="H35" s="28">
        <f t="shared" si="11"/>
        <v>27191.843452816389</v>
      </c>
      <c r="I35" s="28">
        <f t="shared" si="12"/>
        <v>55.044101103950091</v>
      </c>
    </row>
    <row r="36" spans="1:9" x14ac:dyDescent="0.3">
      <c r="A36" s="16">
        <v>1925</v>
      </c>
      <c r="B36" s="14">
        <v>10000</v>
      </c>
      <c r="C36" s="14">
        <v>10647</v>
      </c>
      <c r="D36" s="28">
        <f t="shared" si="7"/>
        <v>54.22723319859103</v>
      </c>
      <c r="E36" s="11">
        <f t="shared" si="8"/>
        <v>10935.999999999998</v>
      </c>
      <c r="F36" s="11">
        <f t="shared" si="9"/>
        <v>10647</v>
      </c>
      <c r="G36" s="78">
        <f t="shared" si="10"/>
        <v>2.642648134601302</v>
      </c>
      <c r="H36" s="28">
        <f t="shared" si="11"/>
        <v>9735.7351865398687</v>
      </c>
      <c r="I36" s="28">
        <f t="shared" si="12"/>
        <v>54.22723319859103</v>
      </c>
    </row>
    <row r="37" spans="1:9" x14ac:dyDescent="0.3">
      <c r="A37" s="16">
        <v>1893</v>
      </c>
      <c r="B37" s="14">
        <v>10212</v>
      </c>
      <c r="C37" s="14">
        <v>10280</v>
      </c>
      <c r="D37" s="28">
        <f t="shared" si="7"/>
        <v>56.826601464765638</v>
      </c>
      <c r="E37" s="11">
        <f t="shared" si="8"/>
        <v>11167.843199999999</v>
      </c>
      <c r="F37" s="11">
        <f t="shared" si="9"/>
        <v>10280</v>
      </c>
      <c r="G37" s="78">
        <f t="shared" si="10"/>
        <v>7.9499970056886156</v>
      </c>
      <c r="H37" s="28">
        <f t="shared" si="11"/>
        <v>9400.1463057790788</v>
      </c>
      <c r="I37" s="28">
        <f t="shared" si="12"/>
        <v>56.826601464765638</v>
      </c>
    </row>
    <row r="38" spans="1:9" x14ac:dyDescent="0.3">
      <c r="A38" s="16">
        <v>1894</v>
      </c>
      <c r="B38" s="14">
        <v>8049</v>
      </c>
      <c r="C38" s="14">
        <v>8455</v>
      </c>
      <c r="D38" s="28">
        <f t="shared" si="1"/>
        <v>54.839202854130718</v>
      </c>
      <c r="E38" s="11">
        <f t="shared" si="2"/>
        <v>8802.3863999999994</v>
      </c>
      <c r="F38" s="11">
        <f t="shared" si="0"/>
        <v>8455</v>
      </c>
      <c r="G38" s="78">
        <f t="shared" si="6"/>
        <v>3.9465025075472653</v>
      </c>
      <c r="H38" s="28">
        <f t="shared" si="3"/>
        <v>7731.3460131675211</v>
      </c>
      <c r="I38" s="28">
        <f t="shared" si="5"/>
        <v>54.839202854130718</v>
      </c>
    </row>
    <row r="39" spans="1:9" x14ac:dyDescent="0.3">
      <c r="A39" s="16">
        <v>1936</v>
      </c>
      <c r="B39" s="14">
        <v>35101</v>
      </c>
      <c r="C39" s="14">
        <v>37458</v>
      </c>
      <c r="D39" s="28">
        <f t="shared" ref="D39:D44" si="13">I39</f>
        <v>54.123768408474113</v>
      </c>
      <c r="E39" s="11">
        <f t="shared" ref="E39:E44" si="14">B39 * 1.0936</f>
        <v>38386.453599999993</v>
      </c>
      <c r="F39" s="11">
        <f t="shared" ref="F39:F44" si="15">C39</f>
        <v>37458</v>
      </c>
      <c r="G39" s="78">
        <f t="shared" ref="G39:G44" si="16">100- (F39/E39 *100)</f>
        <v>2.418701163891825</v>
      </c>
      <c r="H39" s="28">
        <f t="shared" ref="H39:H44" si="17">F39/1.0936</f>
        <v>34252.011704462326</v>
      </c>
      <c r="I39" s="28">
        <f t="shared" ref="I39:I44" si="18">((B39*48)+(H39*10))/C39</f>
        <v>54.123768408474113</v>
      </c>
    </row>
    <row r="40" spans="1:9" x14ac:dyDescent="0.3">
      <c r="A40" s="16">
        <v>1937</v>
      </c>
      <c r="B40" s="14">
        <v>11699</v>
      </c>
      <c r="C40" s="14">
        <v>12441</v>
      </c>
      <c r="D40" s="28">
        <f t="shared" si="13"/>
        <v>54.281318812358343</v>
      </c>
      <c r="E40" s="11">
        <f t="shared" si="14"/>
        <v>12794.026399999999</v>
      </c>
      <c r="F40" s="11">
        <f t="shared" si="15"/>
        <v>12441</v>
      </c>
      <c r="G40" s="78">
        <f t="shared" si="16"/>
        <v>2.7593064838446679</v>
      </c>
      <c r="H40" s="28">
        <f t="shared" si="17"/>
        <v>11376.188734455012</v>
      </c>
      <c r="I40" s="28">
        <f t="shared" si="18"/>
        <v>54.281318812358343</v>
      </c>
    </row>
    <row r="41" spans="1:9" x14ac:dyDescent="0.3">
      <c r="A41" s="16">
        <v>1939</v>
      </c>
      <c r="B41" s="14">
        <v>26689</v>
      </c>
      <c r="C41" s="14">
        <v>28047</v>
      </c>
      <c r="D41" s="28">
        <f t="shared" si="13"/>
        <v>54.820012358292196</v>
      </c>
      <c r="E41" s="11">
        <f t="shared" si="14"/>
        <v>29187.090399999997</v>
      </c>
      <c r="F41" s="11">
        <f t="shared" si="15"/>
        <v>28047</v>
      </c>
      <c r="G41" s="78">
        <f t="shared" si="16"/>
        <v>3.9061461227392442</v>
      </c>
      <c r="H41" s="28">
        <f t="shared" si="17"/>
        <v>25646.488661302123</v>
      </c>
      <c r="I41" s="28">
        <f t="shared" si="18"/>
        <v>54.820012358292196</v>
      </c>
    </row>
    <row r="42" spans="1:9" x14ac:dyDescent="0.3">
      <c r="A42" s="16">
        <v>1913</v>
      </c>
      <c r="B42" s="14">
        <v>10441</v>
      </c>
      <c r="C42" s="14">
        <v>10780</v>
      </c>
      <c r="D42" s="28">
        <f t="shared" si="13"/>
        <v>55.634649225787278</v>
      </c>
      <c r="E42" s="11">
        <f t="shared" si="14"/>
        <v>11418.277599999999</v>
      </c>
      <c r="F42" s="11">
        <f t="shared" si="15"/>
        <v>10780</v>
      </c>
      <c r="G42" s="78">
        <f t="shared" si="16"/>
        <v>5.5899639364171634</v>
      </c>
      <c r="H42" s="28">
        <f t="shared" si="17"/>
        <v>9857.3518653986848</v>
      </c>
      <c r="I42" s="28">
        <f t="shared" si="18"/>
        <v>55.634649225787278</v>
      </c>
    </row>
    <row r="43" spans="1:9" x14ac:dyDescent="0.3">
      <c r="A43" s="16">
        <v>1912</v>
      </c>
      <c r="B43" s="14">
        <v>16530</v>
      </c>
      <c r="C43" s="14">
        <v>17770</v>
      </c>
      <c r="D43" s="28">
        <f t="shared" si="13"/>
        <v>53.794645801283494</v>
      </c>
      <c r="E43" s="11">
        <f t="shared" si="14"/>
        <v>18077.207999999999</v>
      </c>
      <c r="F43" s="11">
        <f t="shared" si="15"/>
        <v>17770</v>
      </c>
      <c r="G43" s="78">
        <f t="shared" si="16"/>
        <v>1.6994217248592776</v>
      </c>
      <c r="H43" s="28">
        <f t="shared" si="17"/>
        <v>16249.085588880762</v>
      </c>
      <c r="I43" s="28">
        <f t="shared" si="18"/>
        <v>53.794645801283494</v>
      </c>
    </row>
    <row r="44" spans="1:9" x14ac:dyDescent="0.3">
      <c r="A44" s="16">
        <v>1915</v>
      </c>
      <c r="B44" s="14">
        <v>20458</v>
      </c>
      <c r="C44" s="14">
        <v>21488</v>
      </c>
      <c r="D44" s="28">
        <f t="shared" si="13"/>
        <v>54.843292130590157</v>
      </c>
      <c r="E44" s="11">
        <f t="shared" si="14"/>
        <v>22372.868799999997</v>
      </c>
      <c r="F44" s="11">
        <f t="shared" si="15"/>
        <v>21488</v>
      </c>
      <c r="G44" s="78">
        <f t="shared" si="16"/>
        <v>3.9550976135880944</v>
      </c>
      <c r="H44" s="28">
        <f t="shared" si="17"/>
        <v>19648.866130212144</v>
      </c>
      <c r="I44" s="28">
        <f t="shared" si="18"/>
        <v>54.843292130590157</v>
      </c>
    </row>
    <row r="45" spans="1:9" x14ac:dyDescent="0.3">
      <c r="A45" s="16">
        <v>1899</v>
      </c>
      <c r="B45" s="14">
        <v>12051</v>
      </c>
      <c r="C45" s="14">
        <v>12865</v>
      </c>
      <c r="D45" s="28">
        <f t="shared" ref="D45:D58" si="19">I45</f>
        <v>54.107033850767536</v>
      </c>
      <c r="E45" s="11">
        <f t="shared" ref="E45:E58" si="20">B45 * 1.0936</f>
        <v>13178.973599999999</v>
      </c>
      <c r="F45" s="11">
        <f t="shared" ref="F45:F58" si="21">C45</f>
        <v>12865</v>
      </c>
      <c r="G45" s="78">
        <f t="shared" ref="G45:G58" si="22">100- (F45/E45 *100)</f>
        <v>2.3823827980048407</v>
      </c>
      <c r="H45" s="28">
        <f t="shared" ref="H45:H58" si="23">F45/1.0936</f>
        <v>11763.899049012438</v>
      </c>
      <c r="I45" s="28">
        <f t="shared" ref="I45:I58" si="24">((B45*48)+(H45*10))/C45</f>
        <v>54.107033850767536</v>
      </c>
    </row>
    <row r="46" spans="1:9" x14ac:dyDescent="0.3">
      <c r="A46" s="16">
        <v>1919</v>
      </c>
      <c r="B46" s="14">
        <v>20185</v>
      </c>
      <c r="C46" s="14">
        <v>21517</v>
      </c>
      <c r="D46" s="28">
        <f t="shared" si="19"/>
        <v>54.172693243793312</v>
      </c>
      <c r="E46" s="11">
        <f t="shared" si="20"/>
        <v>22074.315999999999</v>
      </c>
      <c r="F46" s="11">
        <f t="shared" si="21"/>
        <v>21517</v>
      </c>
      <c r="G46" s="78">
        <f t="shared" si="22"/>
        <v>2.5247260209557538</v>
      </c>
      <c r="H46" s="28">
        <f t="shared" si="23"/>
        <v>19675.384052670081</v>
      </c>
      <c r="I46" s="28">
        <f t="shared" si="24"/>
        <v>54.172693243793312</v>
      </c>
    </row>
    <row r="47" spans="1:9" x14ac:dyDescent="0.3">
      <c r="A47" s="16">
        <v>1886</v>
      </c>
      <c r="B47" s="14">
        <v>16886</v>
      </c>
      <c r="C47" s="14">
        <v>18025</v>
      </c>
      <c r="D47" s="28">
        <f t="shared" si="19"/>
        <v>54.11099052665007</v>
      </c>
      <c r="E47" s="11">
        <f t="shared" si="20"/>
        <v>18466.529599999998</v>
      </c>
      <c r="F47" s="11">
        <f t="shared" si="21"/>
        <v>18025</v>
      </c>
      <c r="G47" s="78">
        <f t="shared" si="22"/>
        <v>2.3909722593464409</v>
      </c>
      <c r="H47" s="28">
        <f t="shared" si="23"/>
        <v>16482.26042428676</v>
      </c>
      <c r="I47" s="28">
        <f t="shared" si="24"/>
        <v>54.11099052665007</v>
      </c>
    </row>
    <row r="48" spans="1:9" x14ac:dyDescent="0.3">
      <c r="A48" s="16">
        <v>1907</v>
      </c>
      <c r="B48" s="14">
        <v>3042</v>
      </c>
      <c r="C48" s="14">
        <v>3074</v>
      </c>
      <c r="D48" s="28">
        <f t="shared" si="19"/>
        <v>56.644436501435692</v>
      </c>
      <c r="E48" s="11">
        <f t="shared" si="20"/>
        <v>3326.7311999999997</v>
      </c>
      <c r="F48" s="11">
        <f t="shared" si="21"/>
        <v>3074</v>
      </c>
      <c r="G48" s="78">
        <f t="shared" si="22"/>
        <v>7.5969828881876538</v>
      </c>
      <c r="H48" s="28">
        <f t="shared" si="23"/>
        <v>2810.8997805413314</v>
      </c>
      <c r="I48" s="28">
        <f t="shared" si="24"/>
        <v>56.644436501435692</v>
      </c>
    </row>
    <row r="49" spans="1:9" x14ac:dyDescent="0.3">
      <c r="A49" s="16">
        <v>1938</v>
      </c>
      <c r="B49" s="14">
        <v>12099</v>
      </c>
      <c r="C49" s="14">
        <v>12826</v>
      </c>
      <c r="D49" s="28">
        <f t="shared" si="19"/>
        <v>54.423387662063078</v>
      </c>
      <c r="E49" s="11">
        <f t="shared" si="20"/>
        <v>13231.466399999999</v>
      </c>
      <c r="F49" s="11">
        <f t="shared" si="21"/>
        <v>12826</v>
      </c>
      <c r="G49" s="78">
        <f t="shared" si="22"/>
        <v>3.0644101548714104</v>
      </c>
      <c r="H49" s="28">
        <f t="shared" si="23"/>
        <v>11728.237015362109</v>
      </c>
      <c r="I49" s="28">
        <f t="shared" si="24"/>
        <v>54.423387662063078</v>
      </c>
    </row>
    <row r="50" spans="1:9" x14ac:dyDescent="0.3">
      <c r="A50" s="16">
        <v>1870</v>
      </c>
      <c r="B50" s="14">
        <v>12087</v>
      </c>
      <c r="C50" s="14">
        <v>13126</v>
      </c>
      <c r="D50" s="28">
        <f t="shared" si="19"/>
        <v>53.344629248159279</v>
      </c>
      <c r="E50" s="11">
        <f t="shared" si="20"/>
        <v>13218.343199999999</v>
      </c>
      <c r="F50" s="11">
        <f t="shared" si="21"/>
        <v>13126</v>
      </c>
      <c r="G50" s="78">
        <f t="shared" si="22"/>
        <v>0.69859889853668733</v>
      </c>
      <c r="H50" s="28">
        <f t="shared" si="23"/>
        <v>12002.56035113387</v>
      </c>
      <c r="I50" s="28">
        <f t="shared" si="24"/>
        <v>53.344629248159279</v>
      </c>
    </row>
    <row r="51" spans="1:9" x14ac:dyDescent="0.3">
      <c r="A51" s="16">
        <v>1921</v>
      </c>
      <c r="B51" s="14">
        <v>12000</v>
      </c>
      <c r="C51" s="14">
        <v>12963</v>
      </c>
      <c r="D51" s="28">
        <f t="shared" si="19"/>
        <v>53.578269951938495</v>
      </c>
      <c r="E51" s="11">
        <f t="shared" si="20"/>
        <v>13123.199999999999</v>
      </c>
      <c r="F51" s="11">
        <f t="shared" si="21"/>
        <v>12963</v>
      </c>
      <c r="G51" s="78">
        <f t="shared" si="22"/>
        <v>1.2207388441843392</v>
      </c>
      <c r="H51" s="28">
        <f t="shared" si="23"/>
        <v>11853.511338697879</v>
      </c>
      <c r="I51" s="28">
        <f t="shared" si="24"/>
        <v>53.578269951938495</v>
      </c>
    </row>
    <row r="52" spans="1:9" x14ac:dyDescent="0.3">
      <c r="A52" s="16">
        <v>1922</v>
      </c>
      <c r="B52" s="14">
        <v>4048</v>
      </c>
      <c r="C52" s="14">
        <v>4300</v>
      </c>
      <c r="D52" s="28">
        <f t="shared" si="19"/>
        <v>54.331087936578143</v>
      </c>
      <c r="E52" s="11">
        <f t="shared" si="20"/>
        <v>4426.8927999999996</v>
      </c>
      <c r="F52" s="11">
        <f t="shared" si="21"/>
        <v>4300</v>
      </c>
      <c r="G52" s="78">
        <f t="shared" si="22"/>
        <v>2.8664077883250201</v>
      </c>
      <c r="H52" s="28">
        <f t="shared" si="23"/>
        <v>3931.9678127286029</v>
      </c>
      <c r="I52" s="28">
        <f t="shared" si="24"/>
        <v>54.331087936578143</v>
      </c>
    </row>
    <row r="53" spans="1:9" x14ac:dyDescent="0.3">
      <c r="A53" s="16">
        <v>1933</v>
      </c>
      <c r="B53" s="14">
        <v>34339</v>
      </c>
      <c r="C53" s="14">
        <v>36389</v>
      </c>
      <c r="D53" s="28">
        <f t="shared" si="19"/>
        <v>54.439997311823795</v>
      </c>
      <c r="E53" s="11">
        <f t="shared" si="20"/>
        <v>37553.130399999995</v>
      </c>
      <c r="F53" s="11">
        <f t="shared" si="21"/>
        <v>36389</v>
      </c>
      <c r="G53" s="78">
        <f t="shared" si="22"/>
        <v>3.0999556830553843</v>
      </c>
      <c r="H53" s="28">
        <f t="shared" si="23"/>
        <v>33274.506217995615</v>
      </c>
      <c r="I53" s="28">
        <f t="shared" si="24"/>
        <v>54.439997311823795</v>
      </c>
    </row>
    <row r="54" spans="1:9" x14ac:dyDescent="0.3">
      <c r="A54" s="16">
        <v>1842</v>
      </c>
      <c r="B54" s="14">
        <v>6327</v>
      </c>
      <c r="C54" s="14">
        <v>6705</v>
      </c>
      <c r="D54" s="28">
        <f t="shared" si="19"/>
        <v>54.438070923935726</v>
      </c>
      <c r="E54" s="11">
        <f t="shared" si="20"/>
        <v>6919.2071999999998</v>
      </c>
      <c r="F54" s="11">
        <f t="shared" si="21"/>
        <v>6705</v>
      </c>
      <c r="G54" s="78">
        <f t="shared" si="22"/>
        <v>3.0958344476228348</v>
      </c>
      <c r="H54" s="28">
        <f t="shared" si="23"/>
        <v>6131.1265544989028</v>
      </c>
      <c r="I54" s="28">
        <f t="shared" si="24"/>
        <v>54.438070923935726</v>
      </c>
    </row>
    <row r="55" spans="1:9" x14ac:dyDescent="0.3">
      <c r="A55" s="16">
        <v>1958</v>
      </c>
      <c r="B55" s="14">
        <v>54197</v>
      </c>
      <c r="C55" s="14">
        <v>59050</v>
      </c>
      <c r="D55" s="28">
        <f t="shared" si="19"/>
        <v>53.199250904500481</v>
      </c>
      <c r="E55" s="11">
        <f t="shared" si="20"/>
        <v>59269.839199999995</v>
      </c>
      <c r="F55" s="11">
        <f t="shared" si="21"/>
        <v>59050</v>
      </c>
      <c r="G55" s="78">
        <f t="shared" si="22"/>
        <v>0.37091242859318641</v>
      </c>
      <c r="H55" s="28">
        <f t="shared" si="23"/>
        <v>53995.976591075349</v>
      </c>
      <c r="I55" s="28">
        <f t="shared" si="24"/>
        <v>53.199250904500481</v>
      </c>
    </row>
    <row r="56" spans="1:9" x14ac:dyDescent="0.3">
      <c r="A56" s="16">
        <v>1910</v>
      </c>
      <c r="B56" s="14">
        <v>28367</v>
      </c>
      <c r="C56" s="14">
        <v>30097</v>
      </c>
      <c r="D56" s="28">
        <f t="shared" si="19"/>
        <v>54.385032214420875</v>
      </c>
      <c r="E56" s="11">
        <f t="shared" si="20"/>
        <v>31022.151199999997</v>
      </c>
      <c r="F56" s="11">
        <f t="shared" si="21"/>
        <v>30097</v>
      </c>
      <c r="G56" s="78">
        <f t="shared" si="22"/>
        <v>2.9822277444124978</v>
      </c>
      <c r="H56" s="28">
        <f t="shared" si="23"/>
        <v>27521.031455742504</v>
      </c>
      <c r="I56" s="28">
        <f t="shared" si="24"/>
        <v>54.385032214420875</v>
      </c>
    </row>
    <row r="57" spans="1:9" x14ac:dyDescent="0.3">
      <c r="A57" s="16">
        <v>1923</v>
      </c>
      <c r="B57" s="14">
        <v>15040</v>
      </c>
      <c r="C57" s="14">
        <v>15976</v>
      </c>
      <c r="D57" s="28">
        <f t="shared" si="19"/>
        <v>54.331892864900865</v>
      </c>
      <c r="E57" s="11">
        <f t="shared" si="20"/>
        <v>16447.743999999999</v>
      </c>
      <c r="F57" s="11">
        <f t="shared" si="21"/>
        <v>15976</v>
      </c>
      <c r="G57" s="78">
        <f t="shared" si="22"/>
        <v>2.8681380254945452</v>
      </c>
      <c r="H57" s="28">
        <f t="shared" si="23"/>
        <v>14608.63204096562</v>
      </c>
      <c r="I57" s="28">
        <f t="shared" si="24"/>
        <v>54.331892864900865</v>
      </c>
    </row>
    <row r="58" spans="1:9" x14ac:dyDescent="0.3">
      <c r="A58" s="16">
        <v>1914</v>
      </c>
      <c r="B58" s="14">
        <v>26497</v>
      </c>
      <c r="C58" s="14">
        <v>28180</v>
      </c>
      <c r="D58" s="28">
        <f t="shared" si="19"/>
        <v>54.277397210844903</v>
      </c>
      <c r="E58" s="11">
        <f t="shared" si="20"/>
        <v>28977.119199999997</v>
      </c>
      <c r="F58" s="11">
        <f t="shared" si="21"/>
        <v>28180</v>
      </c>
      <c r="G58" s="78">
        <f t="shared" si="22"/>
        <v>2.7508573039931434</v>
      </c>
      <c r="H58" s="28">
        <f t="shared" si="23"/>
        <v>25768.105340160939</v>
      </c>
      <c r="I58" s="28">
        <f t="shared" si="24"/>
        <v>54.277397210844903</v>
      </c>
    </row>
    <row r="59" spans="1:9" x14ac:dyDescent="0.3">
      <c r="A59" s="16">
        <v>1904</v>
      </c>
      <c r="B59" s="14">
        <v>44990</v>
      </c>
      <c r="C59" s="14">
        <v>47797</v>
      </c>
      <c r="D59" s="28">
        <f t="shared" ref="D59:D73" si="25">I59</f>
        <v>54.325189502746298</v>
      </c>
      <c r="E59" s="11">
        <f t="shared" ref="E59:E73" si="26">B59 * 1.0936</f>
        <v>49201.063999999998</v>
      </c>
      <c r="F59" s="11">
        <f t="shared" ref="F59:F73" si="27">C59</f>
        <v>47797</v>
      </c>
      <c r="G59" s="78">
        <f t="shared" ref="G59:G73" si="28">100- (F59/E59 *100)</f>
        <v>2.8537269031417623</v>
      </c>
      <c r="H59" s="28">
        <f t="shared" ref="H59:H73" si="29">F59/1.0936</f>
        <v>43706.108266276518</v>
      </c>
      <c r="I59" s="28">
        <f t="shared" ref="I59:I73" si="30">((B59*48)+(H59*10))/C59</f>
        <v>54.325189502746298</v>
      </c>
    </row>
    <row r="60" spans="1:9" x14ac:dyDescent="0.3">
      <c r="A60" s="16">
        <v>1909</v>
      </c>
      <c r="B60" s="14">
        <v>33679</v>
      </c>
      <c r="C60" s="14">
        <v>35869</v>
      </c>
      <c r="D60" s="28">
        <f t="shared" si="25"/>
        <v>54.213446830408216</v>
      </c>
      <c r="E60" s="11">
        <f t="shared" si="26"/>
        <v>36831.354399999997</v>
      </c>
      <c r="F60" s="11">
        <f t="shared" si="27"/>
        <v>35869</v>
      </c>
      <c r="G60" s="78">
        <f t="shared" si="28"/>
        <v>2.6128672585551129</v>
      </c>
      <c r="H60" s="28">
        <f t="shared" si="29"/>
        <v>32799.012435991222</v>
      </c>
      <c r="I60" s="28">
        <f t="shared" si="30"/>
        <v>54.213446830408216</v>
      </c>
    </row>
    <row r="61" spans="1:9" x14ac:dyDescent="0.3">
      <c r="A61" s="16">
        <v>1940</v>
      </c>
      <c r="B61" s="14">
        <v>12985</v>
      </c>
      <c r="C61" s="14">
        <v>13622</v>
      </c>
      <c r="D61" s="28">
        <f t="shared" si="25"/>
        <v>54.899506875845333</v>
      </c>
      <c r="E61" s="11">
        <f t="shared" si="26"/>
        <v>14200.395999999999</v>
      </c>
      <c r="F61" s="11">
        <f t="shared" si="27"/>
        <v>13622</v>
      </c>
      <c r="G61" s="78">
        <f t="shared" si="28"/>
        <v>4.073097679811184</v>
      </c>
      <c r="H61" s="28">
        <f t="shared" si="29"/>
        <v>12456.108266276518</v>
      </c>
      <c r="I61" s="28">
        <f t="shared" si="30"/>
        <v>54.899506875845333</v>
      </c>
    </row>
    <row r="62" spans="1:9" x14ac:dyDescent="0.3">
      <c r="A62" s="16">
        <v>1943</v>
      </c>
      <c r="B62" s="14">
        <v>24195</v>
      </c>
      <c r="C62" s="14">
        <v>25693</v>
      </c>
      <c r="D62" s="28">
        <f t="shared" si="25"/>
        <v>54.345527920683857</v>
      </c>
      <c r="E62" s="11">
        <f t="shared" si="26"/>
        <v>26459.651999999998</v>
      </c>
      <c r="F62" s="11">
        <f t="shared" si="27"/>
        <v>25693</v>
      </c>
      <c r="G62" s="78">
        <f t="shared" si="28"/>
        <v>2.8974379557221539</v>
      </c>
      <c r="H62" s="28">
        <f t="shared" si="29"/>
        <v>23493.964886613023</v>
      </c>
      <c r="I62" s="28">
        <f t="shared" si="30"/>
        <v>54.345527920683857</v>
      </c>
    </row>
    <row r="63" spans="1:9" x14ac:dyDescent="0.3">
      <c r="A63" s="16">
        <v>1961</v>
      </c>
      <c r="B63" s="14">
        <v>13869</v>
      </c>
      <c r="C63" s="14">
        <v>5493</v>
      </c>
      <c r="D63" s="28">
        <f t="shared" si="25"/>
        <v>130.33690201707807</v>
      </c>
      <c r="E63" s="11">
        <f t="shared" si="26"/>
        <v>15167.138399999998</v>
      </c>
      <c r="F63" s="11">
        <f t="shared" si="27"/>
        <v>5493</v>
      </c>
      <c r="G63" s="78">
        <f t="shared" si="28"/>
        <v>63.783544033593046</v>
      </c>
      <c r="H63" s="28">
        <f t="shared" si="29"/>
        <v>5022.8602779809808</v>
      </c>
      <c r="I63" s="28">
        <f t="shared" si="30"/>
        <v>130.33690201707807</v>
      </c>
    </row>
    <row r="64" spans="1:9" x14ac:dyDescent="0.3">
      <c r="A64" s="16">
        <v>1928</v>
      </c>
      <c r="B64" s="14">
        <v>20436</v>
      </c>
      <c r="C64" s="14">
        <v>21904</v>
      </c>
      <c r="D64" s="28">
        <f t="shared" si="25"/>
        <v>53.927164515985964</v>
      </c>
      <c r="E64" s="11">
        <f t="shared" si="26"/>
        <v>22348.809599999997</v>
      </c>
      <c r="F64" s="11">
        <f t="shared" si="27"/>
        <v>21904</v>
      </c>
      <c r="G64" s="78">
        <f t="shared" si="28"/>
        <v>1.9903055597198147</v>
      </c>
      <c r="H64" s="28">
        <f t="shared" si="29"/>
        <v>20029.261155815657</v>
      </c>
      <c r="I64" s="28">
        <f t="shared" si="30"/>
        <v>53.927164515985964</v>
      </c>
    </row>
    <row r="65" spans="1:9" x14ac:dyDescent="0.3">
      <c r="A65" s="16">
        <v>1927</v>
      </c>
      <c r="B65" s="14">
        <v>21117</v>
      </c>
      <c r="C65" s="14">
        <v>22281</v>
      </c>
      <c r="D65" s="28">
        <f t="shared" si="25"/>
        <v>54.636503813908192</v>
      </c>
      <c r="E65" s="11">
        <f t="shared" si="26"/>
        <v>23093.551199999998</v>
      </c>
      <c r="F65" s="11">
        <f t="shared" si="27"/>
        <v>22281</v>
      </c>
      <c r="G65" s="78">
        <f t="shared" si="28"/>
        <v>3.5185199234321232</v>
      </c>
      <c r="H65" s="28">
        <f t="shared" si="29"/>
        <v>20373.994147768837</v>
      </c>
      <c r="I65" s="28">
        <f t="shared" si="30"/>
        <v>54.636503813908192</v>
      </c>
    </row>
    <row r="66" spans="1:9" x14ac:dyDescent="0.3">
      <c r="A66" s="16">
        <v>1852</v>
      </c>
      <c r="B66" s="14">
        <v>21887</v>
      </c>
      <c r="C66" s="14">
        <v>23315</v>
      </c>
      <c r="D66" s="28">
        <f t="shared" si="25"/>
        <v>54.204201263161991</v>
      </c>
      <c r="E66" s="11">
        <f t="shared" si="26"/>
        <v>23935.623199999998</v>
      </c>
      <c r="F66" s="11">
        <f t="shared" si="27"/>
        <v>23315</v>
      </c>
      <c r="G66" s="78">
        <f t="shared" si="28"/>
        <v>2.5928850684781821</v>
      </c>
      <c r="H66" s="28">
        <f t="shared" si="29"/>
        <v>21319.495245062182</v>
      </c>
      <c r="I66" s="28">
        <f t="shared" si="30"/>
        <v>54.204201263161991</v>
      </c>
    </row>
    <row r="67" spans="1:9" x14ac:dyDescent="0.3">
      <c r="A67" s="16">
        <v>1931</v>
      </c>
      <c r="B67" s="14">
        <v>12032</v>
      </c>
      <c r="C67" s="14">
        <v>12896</v>
      </c>
      <c r="D67" s="28">
        <f t="shared" si="25"/>
        <v>53.928230299091858</v>
      </c>
      <c r="E67" s="11">
        <f t="shared" si="26"/>
        <v>13158.195199999998</v>
      </c>
      <c r="F67" s="11">
        <f t="shared" si="27"/>
        <v>12896</v>
      </c>
      <c r="G67" s="78">
        <f t="shared" si="28"/>
        <v>1.9926380177123235</v>
      </c>
      <c r="H67" s="28">
        <f t="shared" si="29"/>
        <v>11792.245793708853</v>
      </c>
      <c r="I67" s="28">
        <f t="shared" si="30"/>
        <v>53.928230299091858</v>
      </c>
    </row>
    <row r="68" spans="1:9" x14ac:dyDescent="0.3">
      <c r="A68" s="16">
        <v>1908</v>
      </c>
      <c r="B68" s="14">
        <v>13850</v>
      </c>
      <c r="C68" s="14">
        <v>14782</v>
      </c>
      <c r="D68" s="28">
        <f t="shared" si="25"/>
        <v>54.117727753074007</v>
      </c>
      <c r="E68" s="11">
        <f t="shared" si="26"/>
        <v>15146.359999999999</v>
      </c>
      <c r="F68" s="11">
        <f t="shared" si="27"/>
        <v>14782</v>
      </c>
      <c r="G68" s="78">
        <f t="shared" si="28"/>
        <v>2.4055944794656909</v>
      </c>
      <c r="H68" s="28">
        <f t="shared" si="29"/>
        <v>13516.825164594002</v>
      </c>
      <c r="I68" s="28">
        <f t="shared" si="30"/>
        <v>54.117727753074007</v>
      </c>
    </row>
    <row r="69" spans="1:9" x14ac:dyDescent="0.3">
      <c r="A69" s="16">
        <v>1929</v>
      </c>
      <c r="B69" s="14">
        <v>34122</v>
      </c>
      <c r="C69" s="14">
        <v>36884</v>
      </c>
      <c r="D69" s="28">
        <f t="shared" si="25"/>
        <v>53.549707114743256</v>
      </c>
      <c r="E69" s="11">
        <f t="shared" si="26"/>
        <v>37315.819199999998</v>
      </c>
      <c r="F69" s="11">
        <f t="shared" si="27"/>
        <v>36884</v>
      </c>
      <c r="G69" s="78">
        <f t="shared" si="28"/>
        <v>1.1572014476905821</v>
      </c>
      <c r="H69" s="28">
        <f t="shared" si="29"/>
        <v>33727.139722019019</v>
      </c>
      <c r="I69" s="28">
        <f t="shared" si="30"/>
        <v>53.549707114743256</v>
      </c>
    </row>
    <row r="70" spans="1:9" x14ac:dyDescent="0.3">
      <c r="A70" s="16">
        <v>1975</v>
      </c>
      <c r="B70" s="14">
        <v>10040</v>
      </c>
      <c r="C70" s="14">
        <v>10674</v>
      </c>
      <c r="D70" s="28">
        <f t="shared" si="25"/>
        <v>54.293071282330267</v>
      </c>
      <c r="E70" s="11">
        <f t="shared" si="26"/>
        <v>10979.743999999999</v>
      </c>
      <c r="F70" s="11">
        <f t="shared" si="27"/>
        <v>10674</v>
      </c>
      <c r="G70" s="78">
        <f t="shared" si="28"/>
        <v>2.78461865777561</v>
      </c>
      <c r="H70" s="28">
        <f t="shared" si="29"/>
        <v>9760.4242867593275</v>
      </c>
      <c r="I70" s="28">
        <f t="shared" si="30"/>
        <v>54.293071282330267</v>
      </c>
    </row>
    <row r="71" spans="1:9" x14ac:dyDescent="0.3">
      <c r="A71" s="16">
        <v>1903</v>
      </c>
      <c r="B71" s="14">
        <v>11492</v>
      </c>
      <c r="C71" s="14">
        <v>12289</v>
      </c>
      <c r="D71" s="28">
        <f t="shared" si="25"/>
        <v>54.031083281252052</v>
      </c>
      <c r="E71" s="11">
        <f t="shared" si="26"/>
        <v>12567.651199999998</v>
      </c>
      <c r="F71" s="11">
        <f t="shared" si="27"/>
        <v>12289</v>
      </c>
      <c r="G71" s="78">
        <f t="shared" si="28"/>
        <v>2.2172098474534323</v>
      </c>
      <c r="H71" s="28">
        <f t="shared" si="29"/>
        <v>11237.198244330652</v>
      </c>
      <c r="I71" s="28">
        <f t="shared" si="30"/>
        <v>54.031083281252052</v>
      </c>
    </row>
    <row r="72" spans="1:9" x14ac:dyDescent="0.3">
      <c r="A72" s="16">
        <v>1942</v>
      </c>
      <c r="B72" s="14">
        <v>46746</v>
      </c>
      <c r="C72" s="14">
        <v>49567</v>
      </c>
      <c r="D72" s="28">
        <f t="shared" si="25"/>
        <v>54.412293652496601</v>
      </c>
      <c r="E72" s="11">
        <f t="shared" si="26"/>
        <v>51121.425599999995</v>
      </c>
      <c r="F72" s="11">
        <f t="shared" si="27"/>
        <v>49567</v>
      </c>
      <c r="G72" s="78">
        <f t="shared" si="28"/>
        <v>3.0406538584479392</v>
      </c>
      <c r="H72" s="28">
        <f t="shared" si="29"/>
        <v>45324.615947329927</v>
      </c>
      <c r="I72" s="28">
        <f t="shared" si="30"/>
        <v>54.412293652496601</v>
      </c>
    </row>
    <row r="73" spans="1:9" x14ac:dyDescent="0.3">
      <c r="A73" s="16">
        <v>1946</v>
      </c>
      <c r="B73" s="14">
        <v>38879</v>
      </c>
      <c r="C73" s="14">
        <v>40771</v>
      </c>
      <c r="D73" s="28">
        <f t="shared" si="25"/>
        <v>54.916645591842695</v>
      </c>
      <c r="E73" s="11">
        <f t="shared" si="26"/>
        <v>42518.074399999998</v>
      </c>
      <c r="F73" s="11">
        <f t="shared" si="27"/>
        <v>40771</v>
      </c>
      <c r="G73" s="78">
        <f t="shared" si="28"/>
        <v>4.1090158118731779</v>
      </c>
      <c r="H73" s="28">
        <f t="shared" si="29"/>
        <v>37281.455742501836</v>
      </c>
      <c r="I73" s="28">
        <f t="shared" si="30"/>
        <v>54.916645591842695</v>
      </c>
    </row>
    <row r="74" spans="1:9" x14ac:dyDescent="0.3">
      <c r="A74" s="16">
        <v>1968</v>
      </c>
      <c r="B74" s="14">
        <v>17879</v>
      </c>
      <c r="C74" s="14">
        <v>18944</v>
      </c>
      <c r="D74" s="28">
        <f t="shared" ref="D74:D84" si="31">I74</f>
        <v>54.445631462662369</v>
      </c>
      <c r="E74" s="11">
        <f t="shared" ref="E74:E84" si="32">B74 * 1.0936</f>
        <v>19552.474399999999</v>
      </c>
      <c r="F74" s="11">
        <f t="shared" ref="F74:F84" si="33">C74</f>
        <v>18944</v>
      </c>
      <c r="G74" s="78">
        <f t="shared" ref="G74:G84" si="34">100- (F74/E74 *100)</f>
        <v>3.1120071431981984</v>
      </c>
      <c r="H74" s="28">
        <f t="shared" ref="H74:H84" si="35">F74/1.0936</f>
        <v>17322.604242867594</v>
      </c>
      <c r="I74" s="28">
        <f t="shared" ref="I74:I84" si="36">((B74*48)+(H74*10))/C74</f>
        <v>54.445631462662369</v>
      </c>
    </row>
    <row r="75" spans="1:9" x14ac:dyDescent="0.3">
      <c r="A75" s="16" t="s">
        <v>415</v>
      </c>
      <c r="B75" s="14">
        <v>12958</v>
      </c>
      <c r="C75" s="14">
        <v>13748</v>
      </c>
      <c r="D75" s="28">
        <f t="shared" si="31"/>
        <v>54.385891815028124</v>
      </c>
      <c r="E75" s="11">
        <f t="shared" si="32"/>
        <v>14170.868799999998</v>
      </c>
      <c r="F75" s="11">
        <f t="shared" si="33"/>
        <v>13748</v>
      </c>
      <c r="G75" s="78">
        <f t="shared" si="34"/>
        <v>2.9840710966147554</v>
      </c>
      <c r="H75" s="28">
        <f t="shared" si="35"/>
        <v>12571.32406730066</v>
      </c>
      <c r="I75" s="28">
        <f t="shared" si="36"/>
        <v>54.385891815028124</v>
      </c>
    </row>
    <row r="76" spans="1:9" x14ac:dyDescent="0.3">
      <c r="A76" s="16">
        <v>1945</v>
      </c>
      <c r="B76" s="14">
        <v>18112</v>
      </c>
      <c r="C76" s="14">
        <v>19394</v>
      </c>
      <c r="D76" s="28">
        <f t="shared" si="31"/>
        <v>53.971171107829868</v>
      </c>
      <c r="E76" s="11">
        <f t="shared" si="32"/>
        <v>19807.283199999998</v>
      </c>
      <c r="F76" s="11">
        <f t="shared" si="33"/>
        <v>19394</v>
      </c>
      <c r="G76" s="78">
        <f t="shared" si="34"/>
        <v>2.0865213862343239</v>
      </c>
      <c r="H76" s="28">
        <f t="shared" si="35"/>
        <v>17734.08924652524</v>
      </c>
      <c r="I76" s="28">
        <f t="shared" si="36"/>
        <v>53.971171107829868</v>
      </c>
    </row>
    <row r="77" spans="1:9" x14ac:dyDescent="0.3">
      <c r="A77" s="16">
        <v>1962</v>
      </c>
      <c r="B77" s="14">
        <v>36110</v>
      </c>
      <c r="C77" s="14">
        <v>7398</v>
      </c>
      <c r="D77" s="28">
        <f t="shared" si="31"/>
        <v>243.43445993529559</v>
      </c>
      <c r="E77" s="11">
        <f t="shared" si="32"/>
        <v>39489.895999999993</v>
      </c>
      <c r="F77" s="11">
        <f t="shared" si="33"/>
        <v>7398</v>
      </c>
      <c r="G77" s="78">
        <f t="shared" si="34"/>
        <v>81.266093990219673</v>
      </c>
      <c r="H77" s="28">
        <f t="shared" si="35"/>
        <v>6764.813460131676</v>
      </c>
      <c r="I77" s="28">
        <f t="shared" si="36"/>
        <v>243.43445993529559</v>
      </c>
    </row>
    <row r="78" spans="1:9" x14ac:dyDescent="0.3">
      <c r="A78" s="16">
        <v>1970</v>
      </c>
      <c r="B78" s="14">
        <v>42406</v>
      </c>
      <c r="C78" s="14">
        <v>45170</v>
      </c>
      <c r="D78" s="28">
        <f t="shared" si="31"/>
        <v>54.206940503882024</v>
      </c>
      <c r="E78" s="11">
        <f t="shared" si="32"/>
        <v>46375.201599999993</v>
      </c>
      <c r="F78" s="11">
        <f t="shared" si="33"/>
        <v>45170</v>
      </c>
      <c r="G78" s="78">
        <f t="shared" si="34"/>
        <v>2.598806168855532</v>
      </c>
      <c r="H78" s="28">
        <f t="shared" si="35"/>
        <v>41303.950256035117</v>
      </c>
      <c r="I78" s="28">
        <f t="shared" si="36"/>
        <v>54.206940503882024</v>
      </c>
    </row>
    <row r="79" spans="1:9" x14ac:dyDescent="0.3">
      <c r="A79" s="16">
        <v>1944</v>
      </c>
      <c r="B79" s="14">
        <v>14691</v>
      </c>
      <c r="C79" s="14">
        <v>15699</v>
      </c>
      <c r="D79" s="28">
        <f t="shared" si="31"/>
        <v>54.062131448459368</v>
      </c>
      <c r="E79" s="11">
        <f t="shared" si="32"/>
        <v>16066.077599999999</v>
      </c>
      <c r="F79" s="11">
        <f t="shared" si="33"/>
        <v>15699</v>
      </c>
      <c r="G79" s="78">
        <f t="shared" si="34"/>
        <v>2.2847991223445661</v>
      </c>
      <c r="H79" s="28">
        <f t="shared" si="35"/>
        <v>14355.340160936359</v>
      </c>
      <c r="I79" s="28">
        <f t="shared" si="36"/>
        <v>54.062131448459368</v>
      </c>
    </row>
    <row r="80" spans="1:9" x14ac:dyDescent="0.3">
      <c r="A80" s="16">
        <v>1955</v>
      </c>
      <c r="B80" s="14">
        <v>50443</v>
      </c>
      <c r="C80" s="14">
        <v>40136</v>
      </c>
      <c r="D80" s="28">
        <f t="shared" si="31"/>
        <v>69.470601126615747</v>
      </c>
      <c r="E80" s="11">
        <f t="shared" si="32"/>
        <v>55164.464799999994</v>
      </c>
      <c r="F80" s="11">
        <f t="shared" si="33"/>
        <v>40136</v>
      </c>
      <c r="G80" s="78">
        <f t="shared" si="34"/>
        <v>27.243017501368001</v>
      </c>
      <c r="H80" s="28">
        <f t="shared" si="35"/>
        <v>36700.804681784932</v>
      </c>
      <c r="I80" s="28">
        <f t="shared" si="36"/>
        <v>69.470601126615747</v>
      </c>
    </row>
    <row r="81" spans="1:9" x14ac:dyDescent="0.3">
      <c r="A81" s="16">
        <v>1902</v>
      </c>
      <c r="B81" s="14">
        <v>49995</v>
      </c>
      <c r="C81" s="14">
        <v>41224</v>
      </c>
      <c r="D81" s="28">
        <f t="shared" si="31"/>
        <v>67.35680282833232</v>
      </c>
      <c r="E81" s="11">
        <f t="shared" si="32"/>
        <v>54674.531999999992</v>
      </c>
      <c r="F81" s="11">
        <f t="shared" si="33"/>
        <v>41224</v>
      </c>
      <c r="G81" s="78">
        <f t="shared" si="34"/>
        <v>24.601092150180619</v>
      </c>
      <c r="H81" s="28">
        <f t="shared" si="35"/>
        <v>37695.683979517191</v>
      </c>
      <c r="I81" s="28">
        <f t="shared" si="36"/>
        <v>67.35680282833232</v>
      </c>
    </row>
    <row r="82" spans="1:9" x14ac:dyDescent="0.3">
      <c r="A82" s="16" t="s">
        <v>28</v>
      </c>
      <c r="B82" s="30">
        <v>79388</v>
      </c>
      <c r="C82" s="30">
        <v>1825770</v>
      </c>
      <c r="D82" s="28">
        <f t="shared" si="31"/>
        <v>11.231243744685106</v>
      </c>
      <c r="E82" s="11">
        <f t="shared" si="32"/>
        <v>86818.716799999995</v>
      </c>
      <c r="F82" s="11">
        <f t="shared" si="33"/>
        <v>1825770</v>
      </c>
      <c r="G82" s="78">
        <f t="shared" si="34"/>
        <v>-2002.9681931442692</v>
      </c>
      <c r="H82" s="28">
        <f t="shared" si="35"/>
        <v>1669504.3891733724</v>
      </c>
      <c r="I82" s="28">
        <f t="shared" si="36"/>
        <v>11.231243744685106</v>
      </c>
    </row>
    <row r="83" spans="1:9" x14ac:dyDescent="0.3">
      <c r="D83" s="28" t="e">
        <f t="shared" si="31"/>
        <v>#DIV/0!</v>
      </c>
      <c r="E83" s="11">
        <f t="shared" si="32"/>
        <v>0</v>
      </c>
      <c r="F83" s="11">
        <f t="shared" si="33"/>
        <v>0</v>
      </c>
      <c r="G83" s="78" t="e">
        <f t="shared" si="34"/>
        <v>#DIV/0!</v>
      </c>
      <c r="H83" s="28">
        <f t="shared" si="35"/>
        <v>0</v>
      </c>
      <c r="I83" s="28" t="e">
        <f t="shared" si="36"/>
        <v>#DIV/0!</v>
      </c>
    </row>
    <row r="84" spans="1:9" x14ac:dyDescent="0.3">
      <c r="D84" s="28" t="e">
        <f t="shared" si="31"/>
        <v>#DIV/0!</v>
      </c>
      <c r="E84" s="11">
        <f t="shared" si="32"/>
        <v>0</v>
      </c>
      <c r="F84" s="11">
        <f t="shared" si="33"/>
        <v>0</v>
      </c>
      <c r="G84" s="78" t="e">
        <f t="shared" si="34"/>
        <v>#DIV/0!</v>
      </c>
      <c r="H84" s="28">
        <f t="shared" si="35"/>
        <v>0</v>
      </c>
      <c r="I84" s="28" t="e">
        <f t="shared" si="36"/>
        <v>#DIV/0!</v>
      </c>
    </row>
    <row r="85" spans="1:9" x14ac:dyDescent="0.3">
      <c r="D85" s="28" t="e">
        <f t="shared" ref="D85:D119" si="37">I85</f>
        <v>#DIV/0!</v>
      </c>
      <c r="E85" s="11">
        <f t="shared" ref="E85:E119" si="38">B85 * 1.0936</f>
        <v>0</v>
      </c>
      <c r="F85" s="11">
        <f t="shared" ref="F85:F119" si="39">C85</f>
        <v>0</v>
      </c>
      <c r="G85" s="78" t="e">
        <f t="shared" ref="G85:G119" si="40">100- (F85/E85 *100)</f>
        <v>#DIV/0!</v>
      </c>
      <c r="H85" s="28">
        <f t="shared" ref="H85:H119" si="41">F85/1.0936</f>
        <v>0</v>
      </c>
      <c r="I85" s="28" t="e">
        <f t="shared" ref="I85:I119" si="42">((B85*48)+(H85*10))/C85</f>
        <v>#DIV/0!</v>
      </c>
    </row>
    <row r="86" spans="1:9" x14ac:dyDescent="0.3">
      <c r="D86" s="28" t="e">
        <f t="shared" si="37"/>
        <v>#DIV/0!</v>
      </c>
      <c r="E86" s="11">
        <f t="shared" si="38"/>
        <v>0</v>
      </c>
      <c r="F86" s="11">
        <f t="shared" si="39"/>
        <v>0</v>
      </c>
      <c r="G86" s="78" t="e">
        <f t="shared" si="40"/>
        <v>#DIV/0!</v>
      </c>
      <c r="H86" s="28">
        <f t="shared" si="41"/>
        <v>0</v>
      </c>
      <c r="I86" s="28" t="e">
        <f t="shared" si="42"/>
        <v>#DIV/0!</v>
      </c>
    </row>
    <row r="87" spans="1:9" x14ac:dyDescent="0.3">
      <c r="D87" s="28" t="e">
        <f t="shared" si="37"/>
        <v>#DIV/0!</v>
      </c>
      <c r="E87" s="11">
        <f t="shared" si="38"/>
        <v>0</v>
      </c>
      <c r="F87" s="11">
        <f t="shared" si="39"/>
        <v>0</v>
      </c>
      <c r="G87" s="78" t="e">
        <f t="shared" si="40"/>
        <v>#DIV/0!</v>
      </c>
      <c r="H87" s="28">
        <f t="shared" si="41"/>
        <v>0</v>
      </c>
      <c r="I87" s="28" t="e">
        <f t="shared" si="42"/>
        <v>#DIV/0!</v>
      </c>
    </row>
    <row r="88" spans="1:9" x14ac:dyDescent="0.3">
      <c r="D88" s="28" t="e">
        <f t="shared" si="37"/>
        <v>#DIV/0!</v>
      </c>
      <c r="E88" s="11">
        <f t="shared" si="38"/>
        <v>0</v>
      </c>
      <c r="F88" s="11">
        <f t="shared" si="39"/>
        <v>0</v>
      </c>
      <c r="G88" s="78" t="e">
        <f t="shared" si="40"/>
        <v>#DIV/0!</v>
      </c>
      <c r="H88" s="28">
        <f t="shared" si="41"/>
        <v>0</v>
      </c>
      <c r="I88" s="28" t="e">
        <f t="shared" si="42"/>
        <v>#DIV/0!</v>
      </c>
    </row>
    <row r="89" spans="1:9" x14ac:dyDescent="0.3">
      <c r="D89" s="28" t="e">
        <f t="shared" si="37"/>
        <v>#DIV/0!</v>
      </c>
      <c r="E89" s="11">
        <f t="shared" si="38"/>
        <v>0</v>
      </c>
      <c r="F89" s="11">
        <f t="shared" si="39"/>
        <v>0</v>
      </c>
      <c r="G89" s="78" t="e">
        <f t="shared" si="40"/>
        <v>#DIV/0!</v>
      </c>
      <c r="H89" s="28">
        <f t="shared" si="41"/>
        <v>0</v>
      </c>
      <c r="I89" s="28" t="e">
        <f t="shared" si="42"/>
        <v>#DIV/0!</v>
      </c>
    </row>
    <row r="90" spans="1:9" x14ac:dyDescent="0.3">
      <c r="D90" s="28" t="e">
        <f t="shared" si="37"/>
        <v>#DIV/0!</v>
      </c>
      <c r="E90" s="11">
        <f t="shared" si="38"/>
        <v>0</v>
      </c>
      <c r="F90" s="11">
        <f t="shared" si="39"/>
        <v>0</v>
      </c>
      <c r="G90" s="78" t="e">
        <f t="shared" si="40"/>
        <v>#DIV/0!</v>
      </c>
      <c r="H90" s="28">
        <f t="shared" si="41"/>
        <v>0</v>
      </c>
      <c r="I90" s="28" t="e">
        <f t="shared" si="42"/>
        <v>#DIV/0!</v>
      </c>
    </row>
    <row r="91" spans="1:9" x14ac:dyDescent="0.3">
      <c r="D91" s="28" t="e">
        <f t="shared" si="37"/>
        <v>#DIV/0!</v>
      </c>
      <c r="E91" s="11">
        <f t="shared" si="38"/>
        <v>0</v>
      </c>
      <c r="F91" s="11">
        <f t="shared" si="39"/>
        <v>0</v>
      </c>
      <c r="G91" s="78" t="e">
        <f t="shared" si="40"/>
        <v>#DIV/0!</v>
      </c>
      <c r="H91" s="28">
        <f t="shared" si="41"/>
        <v>0</v>
      </c>
      <c r="I91" s="28" t="e">
        <f t="shared" si="42"/>
        <v>#DIV/0!</v>
      </c>
    </row>
    <row r="92" spans="1:9" x14ac:dyDescent="0.3">
      <c r="D92" s="28" t="e">
        <f t="shared" si="37"/>
        <v>#DIV/0!</v>
      </c>
      <c r="E92" s="11">
        <f t="shared" si="38"/>
        <v>0</v>
      </c>
      <c r="F92" s="11">
        <f t="shared" si="39"/>
        <v>0</v>
      </c>
      <c r="G92" s="78" t="e">
        <f t="shared" si="40"/>
        <v>#DIV/0!</v>
      </c>
      <c r="H92" s="28">
        <f t="shared" si="41"/>
        <v>0</v>
      </c>
      <c r="I92" s="28" t="e">
        <f t="shared" si="42"/>
        <v>#DIV/0!</v>
      </c>
    </row>
    <row r="93" spans="1:9" x14ac:dyDescent="0.3">
      <c r="D93" s="28" t="e">
        <f t="shared" si="37"/>
        <v>#DIV/0!</v>
      </c>
      <c r="E93" s="11">
        <f t="shared" si="38"/>
        <v>0</v>
      </c>
      <c r="F93" s="11">
        <f t="shared" si="39"/>
        <v>0</v>
      </c>
      <c r="G93" s="78" t="e">
        <f t="shared" si="40"/>
        <v>#DIV/0!</v>
      </c>
      <c r="H93" s="28">
        <f t="shared" si="41"/>
        <v>0</v>
      </c>
      <c r="I93" s="28" t="e">
        <f t="shared" si="42"/>
        <v>#DIV/0!</v>
      </c>
    </row>
    <row r="94" spans="1:9" x14ac:dyDescent="0.3">
      <c r="D94" s="28" t="e">
        <f t="shared" si="37"/>
        <v>#DIV/0!</v>
      </c>
      <c r="E94" s="11">
        <f t="shared" si="38"/>
        <v>0</v>
      </c>
      <c r="F94" s="11">
        <f t="shared" si="39"/>
        <v>0</v>
      </c>
      <c r="G94" s="78" t="e">
        <f t="shared" si="40"/>
        <v>#DIV/0!</v>
      </c>
      <c r="H94" s="28">
        <f t="shared" si="41"/>
        <v>0</v>
      </c>
      <c r="I94" s="28" t="e">
        <f t="shared" si="42"/>
        <v>#DIV/0!</v>
      </c>
    </row>
    <row r="95" spans="1:9" x14ac:dyDescent="0.3">
      <c r="D95" s="28" t="e">
        <f t="shared" si="37"/>
        <v>#DIV/0!</v>
      </c>
      <c r="E95" s="11">
        <f t="shared" si="38"/>
        <v>0</v>
      </c>
      <c r="F95" s="11">
        <f t="shared" si="39"/>
        <v>0</v>
      </c>
      <c r="G95" s="78" t="e">
        <f t="shared" si="40"/>
        <v>#DIV/0!</v>
      </c>
      <c r="H95" s="28">
        <f t="shared" si="41"/>
        <v>0</v>
      </c>
      <c r="I95" s="28" t="e">
        <f t="shared" si="42"/>
        <v>#DIV/0!</v>
      </c>
    </row>
    <row r="96" spans="1:9" x14ac:dyDescent="0.3">
      <c r="D96" s="28" t="e">
        <f t="shared" si="37"/>
        <v>#DIV/0!</v>
      </c>
      <c r="E96" s="11">
        <f t="shared" si="38"/>
        <v>0</v>
      </c>
      <c r="F96" s="11">
        <f t="shared" si="39"/>
        <v>0</v>
      </c>
      <c r="G96" s="78" t="e">
        <f t="shared" si="40"/>
        <v>#DIV/0!</v>
      </c>
      <c r="H96" s="28">
        <f t="shared" si="41"/>
        <v>0</v>
      </c>
      <c r="I96" s="28" t="e">
        <f t="shared" si="42"/>
        <v>#DIV/0!</v>
      </c>
    </row>
    <row r="97" spans="4:9" x14ac:dyDescent="0.3">
      <c r="D97" s="28" t="e">
        <f t="shared" si="37"/>
        <v>#DIV/0!</v>
      </c>
      <c r="E97" s="11">
        <f t="shared" si="38"/>
        <v>0</v>
      </c>
      <c r="F97" s="11">
        <f t="shared" si="39"/>
        <v>0</v>
      </c>
      <c r="G97" s="78" t="e">
        <f t="shared" si="40"/>
        <v>#DIV/0!</v>
      </c>
      <c r="H97" s="28">
        <f t="shared" si="41"/>
        <v>0</v>
      </c>
      <c r="I97" s="28" t="e">
        <f t="shared" si="42"/>
        <v>#DIV/0!</v>
      </c>
    </row>
    <row r="98" spans="4:9" x14ac:dyDescent="0.3">
      <c r="D98" s="28" t="e">
        <f t="shared" si="37"/>
        <v>#DIV/0!</v>
      </c>
      <c r="E98" s="11">
        <f t="shared" si="38"/>
        <v>0</v>
      </c>
      <c r="F98" s="11">
        <f t="shared" si="39"/>
        <v>0</v>
      </c>
      <c r="G98" s="78" t="e">
        <f t="shared" si="40"/>
        <v>#DIV/0!</v>
      </c>
      <c r="H98" s="28">
        <f t="shared" si="41"/>
        <v>0</v>
      </c>
      <c r="I98" s="28" t="e">
        <f t="shared" si="42"/>
        <v>#DIV/0!</v>
      </c>
    </row>
    <row r="99" spans="4:9" x14ac:dyDescent="0.3">
      <c r="D99" s="28" t="e">
        <f t="shared" si="37"/>
        <v>#DIV/0!</v>
      </c>
      <c r="E99" s="11">
        <f t="shared" si="38"/>
        <v>0</v>
      </c>
      <c r="F99" s="11">
        <f t="shared" si="39"/>
        <v>0</v>
      </c>
      <c r="G99" s="78" t="e">
        <f t="shared" si="40"/>
        <v>#DIV/0!</v>
      </c>
      <c r="H99" s="28">
        <f t="shared" si="41"/>
        <v>0</v>
      </c>
      <c r="I99" s="28" t="e">
        <f t="shared" si="42"/>
        <v>#DIV/0!</v>
      </c>
    </row>
    <row r="100" spans="4:9" x14ac:dyDescent="0.3">
      <c r="D100" s="28" t="e">
        <f t="shared" si="37"/>
        <v>#DIV/0!</v>
      </c>
      <c r="E100" s="11">
        <f t="shared" si="38"/>
        <v>0</v>
      </c>
      <c r="F100" s="11">
        <f t="shared" si="39"/>
        <v>0</v>
      </c>
      <c r="G100" s="78" t="e">
        <f t="shared" si="40"/>
        <v>#DIV/0!</v>
      </c>
      <c r="H100" s="28">
        <f t="shared" si="41"/>
        <v>0</v>
      </c>
      <c r="I100" s="28" t="e">
        <f t="shared" si="42"/>
        <v>#DIV/0!</v>
      </c>
    </row>
    <row r="101" spans="4:9" x14ac:dyDescent="0.3">
      <c r="D101" s="28" t="e">
        <f t="shared" si="37"/>
        <v>#DIV/0!</v>
      </c>
      <c r="E101" s="11">
        <f t="shared" si="38"/>
        <v>0</v>
      </c>
      <c r="F101" s="11">
        <f t="shared" si="39"/>
        <v>0</v>
      </c>
      <c r="G101" s="78" t="e">
        <f t="shared" si="40"/>
        <v>#DIV/0!</v>
      </c>
      <c r="H101" s="28">
        <f t="shared" si="41"/>
        <v>0</v>
      </c>
      <c r="I101" s="28" t="e">
        <f t="shared" si="42"/>
        <v>#DIV/0!</v>
      </c>
    </row>
    <row r="102" spans="4:9" x14ac:dyDescent="0.3">
      <c r="D102" s="28" t="e">
        <f t="shared" si="37"/>
        <v>#DIV/0!</v>
      </c>
      <c r="E102" s="11">
        <f t="shared" si="38"/>
        <v>0</v>
      </c>
      <c r="F102" s="11">
        <f t="shared" si="39"/>
        <v>0</v>
      </c>
      <c r="G102" s="78" t="e">
        <f t="shared" si="40"/>
        <v>#DIV/0!</v>
      </c>
      <c r="H102" s="28">
        <f t="shared" si="41"/>
        <v>0</v>
      </c>
      <c r="I102" s="28" t="e">
        <f t="shared" si="42"/>
        <v>#DIV/0!</v>
      </c>
    </row>
    <row r="103" spans="4:9" x14ac:dyDescent="0.3">
      <c r="D103" s="28" t="e">
        <f t="shared" si="37"/>
        <v>#DIV/0!</v>
      </c>
      <c r="E103" s="11">
        <f t="shared" si="38"/>
        <v>0</v>
      </c>
      <c r="F103" s="11">
        <f t="shared" si="39"/>
        <v>0</v>
      </c>
      <c r="G103" s="78" t="e">
        <f t="shared" si="40"/>
        <v>#DIV/0!</v>
      </c>
      <c r="H103" s="28">
        <f t="shared" si="41"/>
        <v>0</v>
      </c>
      <c r="I103" s="28" t="e">
        <f t="shared" si="42"/>
        <v>#DIV/0!</v>
      </c>
    </row>
    <row r="104" spans="4:9" x14ac:dyDescent="0.3">
      <c r="D104" s="28" t="e">
        <f t="shared" si="37"/>
        <v>#DIV/0!</v>
      </c>
      <c r="E104" s="11">
        <f t="shared" si="38"/>
        <v>0</v>
      </c>
      <c r="F104" s="11">
        <f t="shared" si="39"/>
        <v>0</v>
      </c>
      <c r="G104" s="78" t="e">
        <f t="shared" si="40"/>
        <v>#DIV/0!</v>
      </c>
      <c r="H104" s="28">
        <f t="shared" si="41"/>
        <v>0</v>
      </c>
      <c r="I104" s="28" t="e">
        <f t="shared" si="42"/>
        <v>#DIV/0!</v>
      </c>
    </row>
    <row r="105" spans="4:9" x14ac:dyDescent="0.3">
      <c r="D105" s="28" t="e">
        <f t="shared" si="37"/>
        <v>#DIV/0!</v>
      </c>
      <c r="E105" s="11">
        <f t="shared" si="38"/>
        <v>0</v>
      </c>
      <c r="F105" s="11">
        <f t="shared" si="39"/>
        <v>0</v>
      </c>
      <c r="G105" s="78" t="e">
        <f t="shared" si="40"/>
        <v>#DIV/0!</v>
      </c>
      <c r="H105" s="28">
        <f t="shared" si="41"/>
        <v>0</v>
      </c>
      <c r="I105" s="28" t="e">
        <f t="shared" si="42"/>
        <v>#DIV/0!</v>
      </c>
    </row>
    <row r="106" spans="4:9" x14ac:dyDescent="0.3">
      <c r="D106" s="28" t="e">
        <f t="shared" si="37"/>
        <v>#DIV/0!</v>
      </c>
      <c r="E106" s="11">
        <f t="shared" si="38"/>
        <v>0</v>
      </c>
      <c r="F106" s="11">
        <f t="shared" si="39"/>
        <v>0</v>
      </c>
      <c r="G106" s="78" t="e">
        <f t="shared" si="40"/>
        <v>#DIV/0!</v>
      </c>
      <c r="H106" s="28">
        <f t="shared" si="41"/>
        <v>0</v>
      </c>
      <c r="I106" s="28" t="e">
        <f t="shared" si="42"/>
        <v>#DIV/0!</v>
      </c>
    </row>
    <row r="107" spans="4:9" x14ac:dyDescent="0.3">
      <c r="D107" s="28" t="e">
        <f t="shared" si="37"/>
        <v>#DIV/0!</v>
      </c>
      <c r="E107" s="11">
        <f t="shared" si="38"/>
        <v>0</v>
      </c>
      <c r="F107" s="11">
        <f t="shared" si="39"/>
        <v>0</v>
      </c>
      <c r="G107" s="78" t="e">
        <f t="shared" si="40"/>
        <v>#DIV/0!</v>
      </c>
      <c r="H107" s="28">
        <f t="shared" si="41"/>
        <v>0</v>
      </c>
      <c r="I107" s="28" t="e">
        <f t="shared" si="42"/>
        <v>#DIV/0!</v>
      </c>
    </row>
    <row r="108" spans="4:9" x14ac:dyDescent="0.3">
      <c r="D108" s="28" t="e">
        <f t="shared" si="37"/>
        <v>#DIV/0!</v>
      </c>
      <c r="E108" s="11">
        <f t="shared" si="38"/>
        <v>0</v>
      </c>
      <c r="F108" s="11">
        <f t="shared" si="39"/>
        <v>0</v>
      </c>
      <c r="G108" s="78" t="e">
        <f t="shared" si="40"/>
        <v>#DIV/0!</v>
      </c>
      <c r="H108" s="28">
        <f t="shared" si="41"/>
        <v>0</v>
      </c>
      <c r="I108" s="28" t="e">
        <f t="shared" si="42"/>
        <v>#DIV/0!</v>
      </c>
    </row>
    <row r="109" spans="4:9" x14ac:dyDescent="0.3">
      <c r="D109" s="28" t="e">
        <f t="shared" si="37"/>
        <v>#DIV/0!</v>
      </c>
      <c r="E109" s="11">
        <f t="shared" si="38"/>
        <v>0</v>
      </c>
      <c r="F109" s="11">
        <f t="shared" si="39"/>
        <v>0</v>
      </c>
      <c r="G109" s="78" t="e">
        <f t="shared" si="40"/>
        <v>#DIV/0!</v>
      </c>
      <c r="H109" s="28">
        <f t="shared" si="41"/>
        <v>0</v>
      </c>
      <c r="I109" s="28" t="e">
        <f t="shared" si="42"/>
        <v>#DIV/0!</v>
      </c>
    </row>
    <row r="110" spans="4:9" x14ac:dyDescent="0.3">
      <c r="D110" s="28" t="e">
        <f t="shared" si="37"/>
        <v>#DIV/0!</v>
      </c>
      <c r="E110" s="11">
        <f t="shared" si="38"/>
        <v>0</v>
      </c>
      <c r="F110" s="11">
        <f t="shared" si="39"/>
        <v>0</v>
      </c>
      <c r="G110" s="78" t="e">
        <f t="shared" si="40"/>
        <v>#DIV/0!</v>
      </c>
      <c r="H110" s="28">
        <f t="shared" si="41"/>
        <v>0</v>
      </c>
      <c r="I110" s="28" t="e">
        <f t="shared" si="42"/>
        <v>#DIV/0!</v>
      </c>
    </row>
    <row r="111" spans="4:9" x14ac:dyDescent="0.3">
      <c r="D111" s="28" t="e">
        <f t="shared" si="37"/>
        <v>#DIV/0!</v>
      </c>
      <c r="E111" s="11">
        <f t="shared" si="38"/>
        <v>0</v>
      </c>
      <c r="F111" s="11">
        <f t="shared" si="39"/>
        <v>0</v>
      </c>
      <c r="G111" s="78" t="e">
        <f t="shared" si="40"/>
        <v>#DIV/0!</v>
      </c>
      <c r="H111" s="28">
        <f t="shared" si="41"/>
        <v>0</v>
      </c>
      <c r="I111" s="28" t="e">
        <f t="shared" si="42"/>
        <v>#DIV/0!</v>
      </c>
    </row>
    <row r="112" spans="4:9" x14ac:dyDescent="0.3">
      <c r="D112" s="28" t="e">
        <f t="shared" si="37"/>
        <v>#DIV/0!</v>
      </c>
      <c r="E112" s="11">
        <f t="shared" si="38"/>
        <v>0</v>
      </c>
      <c r="F112" s="11">
        <f t="shared" si="39"/>
        <v>0</v>
      </c>
      <c r="G112" s="78" t="e">
        <f t="shared" si="40"/>
        <v>#DIV/0!</v>
      </c>
      <c r="H112" s="28">
        <f t="shared" si="41"/>
        <v>0</v>
      </c>
      <c r="I112" s="28" t="e">
        <f t="shared" si="42"/>
        <v>#DIV/0!</v>
      </c>
    </row>
    <row r="113" spans="4:9" x14ac:dyDescent="0.3">
      <c r="D113" s="28" t="e">
        <f t="shared" si="37"/>
        <v>#DIV/0!</v>
      </c>
      <c r="E113" s="11">
        <f t="shared" si="38"/>
        <v>0</v>
      </c>
      <c r="F113" s="11">
        <f t="shared" si="39"/>
        <v>0</v>
      </c>
      <c r="G113" s="78" t="e">
        <f t="shared" si="40"/>
        <v>#DIV/0!</v>
      </c>
      <c r="H113" s="28">
        <f t="shared" si="41"/>
        <v>0</v>
      </c>
      <c r="I113" s="28" t="e">
        <f t="shared" si="42"/>
        <v>#DIV/0!</v>
      </c>
    </row>
    <row r="114" spans="4:9" x14ac:dyDescent="0.3">
      <c r="D114" s="28" t="e">
        <f t="shared" si="37"/>
        <v>#DIV/0!</v>
      </c>
      <c r="E114" s="11">
        <f t="shared" si="38"/>
        <v>0</v>
      </c>
      <c r="F114" s="11">
        <f t="shared" si="39"/>
        <v>0</v>
      </c>
      <c r="G114" s="78" t="e">
        <f t="shared" si="40"/>
        <v>#DIV/0!</v>
      </c>
      <c r="H114" s="28">
        <f t="shared" si="41"/>
        <v>0</v>
      </c>
      <c r="I114" s="28" t="e">
        <f t="shared" si="42"/>
        <v>#DIV/0!</v>
      </c>
    </row>
    <row r="115" spans="4:9" x14ac:dyDescent="0.3">
      <c r="D115" s="28" t="e">
        <f t="shared" si="37"/>
        <v>#DIV/0!</v>
      </c>
      <c r="E115" s="11">
        <f t="shared" si="38"/>
        <v>0</v>
      </c>
      <c r="F115" s="11">
        <f t="shared" si="39"/>
        <v>0</v>
      </c>
      <c r="G115" s="78" t="e">
        <f t="shared" si="40"/>
        <v>#DIV/0!</v>
      </c>
      <c r="H115" s="28">
        <f t="shared" si="41"/>
        <v>0</v>
      </c>
      <c r="I115" s="28" t="e">
        <f t="shared" si="42"/>
        <v>#DIV/0!</v>
      </c>
    </row>
    <row r="116" spans="4:9" x14ac:dyDescent="0.3">
      <c r="D116" s="28" t="e">
        <f t="shared" si="37"/>
        <v>#DIV/0!</v>
      </c>
      <c r="E116" s="11">
        <f t="shared" si="38"/>
        <v>0</v>
      </c>
      <c r="F116" s="11">
        <f t="shared" si="39"/>
        <v>0</v>
      </c>
      <c r="G116" s="78" t="e">
        <f t="shared" si="40"/>
        <v>#DIV/0!</v>
      </c>
      <c r="H116" s="28">
        <f t="shared" si="41"/>
        <v>0</v>
      </c>
      <c r="I116" s="28" t="e">
        <f t="shared" si="42"/>
        <v>#DIV/0!</v>
      </c>
    </row>
    <row r="117" spans="4:9" x14ac:dyDescent="0.3">
      <c r="D117" s="28" t="e">
        <f t="shared" si="37"/>
        <v>#DIV/0!</v>
      </c>
      <c r="E117" s="11">
        <f t="shared" si="38"/>
        <v>0</v>
      </c>
      <c r="F117" s="11">
        <f t="shared" si="39"/>
        <v>0</v>
      </c>
      <c r="G117" s="78" t="e">
        <f t="shared" si="40"/>
        <v>#DIV/0!</v>
      </c>
      <c r="H117" s="28">
        <f t="shared" si="41"/>
        <v>0</v>
      </c>
      <c r="I117" s="28" t="e">
        <f t="shared" si="42"/>
        <v>#DIV/0!</v>
      </c>
    </row>
    <row r="118" spans="4:9" x14ac:dyDescent="0.3">
      <c r="D118" s="28" t="e">
        <f t="shared" si="37"/>
        <v>#DIV/0!</v>
      </c>
      <c r="E118" s="11">
        <f t="shared" si="38"/>
        <v>0</v>
      </c>
      <c r="F118" s="11">
        <f t="shared" si="39"/>
        <v>0</v>
      </c>
      <c r="G118" s="78" t="e">
        <f t="shared" si="40"/>
        <v>#DIV/0!</v>
      </c>
      <c r="H118" s="28">
        <f t="shared" si="41"/>
        <v>0</v>
      </c>
      <c r="I118" s="28" t="e">
        <f t="shared" si="42"/>
        <v>#DIV/0!</v>
      </c>
    </row>
    <row r="119" spans="4:9" x14ac:dyDescent="0.3">
      <c r="D119" s="28" t="e">
        <f t="shared" si="37"/>
        <v>#DIV/0!</v>
      </c>
      <c r="E119" s="11">
        <f t="shared" si="38"/>
        <v>0</v>
      </c>
      <c r="F119" s="11">
        <f t="shared" si="39"/>
        <v>0</v>
      </c>
      <c r="G119" s="78" t="e">
        <f t="shared" si="40"/>
        <v>#DIV/0!</v>
      </c>
      <c r="H119" s="28">
        <f t="shared" si="41"/>
        <v>0</v>
      </c>
      <c r="I119" s="28" t="e">
        <f t="shared" si="42"/>
        <v>#DIV/0!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4D408-891B-4465-8F80-7726ACC6CDF3}">
  <dimension ref="B2:J37"/>
  <sheetViews>
    <sheetView topLeftCell="A5" workbookViewId="0">
      <selection activeCell="M11" sqref="M11"/>
    </sheetView>
  </sheetViews>
  <sheetFormatPr defaultRowHeight="14.4" x14ac:dyDescent="0.3"/>
  <cols>
    <col min="2" max="2" width="10.33203125" bestFit="1" customWidth="1"/>
    <col min="4" max="4" width="9.33203125" customWidth="1"/>
    <col min="8" max="8" width="10.33203125" bestFit="1" customWidth="1"/>
    <col min="10" max="10" width="9.33203125" customWidth="1"/>
  </cols>
  <sheetData>
    <row r="2" spans="2:10" x14ac:dyDescent="0.3">
      <c r="B2" t="s">
        <v>75</v>
      </c>
      <c r="C2" t="s">
        <v>45</v>
      </c>
      <c r="D2" t="s">
        <v>46</v>
      </c>
      <c r="E2" t="s">
        <v>66</v>
      </c>
      <c r="H2" t="s">
        <v>75</v>
      </c>
      <c r="I2" t="s">
        <v>45</v>
      </c>
      <c r="J2" t="s">
        <v>46</v>
      </c>
    </row>
    <row r="3" spans="2:10" x14ac:dyDescent="0.3">
      <c r="B3" s="1">
        <v>45978</v>
      </c>
      <c r="C3" t="s">
        <v>114</v>
      </c>
      <c r="D3">
        <f>SUMIFS(Table14[Debit], Table14[Date], Table5[[#This Row],[Date]], Table14[Party], "Rashan")</f>
        <v>0</v>
      </c>
      <c r="H3" s="1">
        <v>45978</v>
      </c>
      <c r="J3">
        <f>SUMIFS(Table14[Debit], Table14[Date], Table15[[#This Row],[Date]], Table14[Party], "Parts")</f>
        <v>0</v>
      </c>
    </row>
    <row r="4" spans="2:10" x14ac:dyDescent="0.3">
      <c r="B4" s="1">
        <v>45979</v>
      </c>
      <c r="C4" t="s">
        <v>114</v>
      </c>
      <c r="D4">
        <f>SUMIFS(Table14[Debit], Table14[Date], Table5[[#This Row],[Date]], Table14[Party], "Rashan")</f>
        <v>0</v>
      </c>
      <c r="H4" s="1">
        <v>45979</v>
      </c>
      <c r="I4" t="s">
        <v>55</v>
      </c>
      <c r="J4">
        <f>SUMIFS(Table14[Debit], Table14[Date], Table15[[#This Row],[Date]], Table14[Party], "Parts")</f>
        <v>0</v>
      </c>
    </row>
    <row r="5" spans="2:10" x14ac:dyDescent="0.3">
      <c r="B5" s="1">
        <v>45980</v>
      </c>
      <c r="C5" t="s">
        <v>114</v>
      </c>
      <c r="D5">
        <f>SUMIFS(Table14[Debit], Table14[Date], Table5[[#This Row],[Date]], Table14[Party], "Rashan")</f>
        <v>2250</v>
      </c>
      <c r="H5" s="1">
        <v>45980</v>
      </c>
      <c r="I5" t="s">
        <v>55</v>
      </c>
      <c r="J5">
        <f>SUMIFS(Table14[Debit], Table14[Date], Table15[[#This Row],[Date]], Table14[Party], "Parts")</f>
        <v>31000</v>
      </c>
    </row>
    <row r="6" spans="2:10" x14ac:dyDescent="0.3">
      <c r="B6" s="1">
        <v>45981</v>
      </c>
      <c r="C6" t="s">
        <v>114</v>
      </c>
      <c r="D6">
        <f>SUMIFS(Table14[Debit], Table14[Date], Table5[[#This Row],[Date]], Table14[Party], "Rashan")</f>
        <v>12000</v>
      </c>
      <c r="H6" s="1">
        <v>45981</v>
      </c>
      <c r="I6" t="s">
        <v>55</v>
      </c>
      <c r="J6">
        <f>SUMIFS(Table14[Debit], Table14[Date], Table15[[#This Row],[Date]], Table14[Party], "Parts")</f>
        <v>4000</v>
      </c>
    </row>
    <row r="7" spans="2:10" x14ac:dyDescent="0.3">
      <c r="B7" s="1">
        <v>45982</v>
      </c>
      <c r="C7" t="s">
        <v>114</v>
      </c>
      <c r="D7">
        <f>SUMIFS(Table14[Debit], Table14[Date], Table5[[#This Row],[Date]], Table14[Party], "Rashan")</f>
        <v>2250</v>
      </c>
      <c r="H7" s="1">
        <v>45982</v>
      </c>
      <c r="I7" t="s">
        <v>55</v>
      </c>
      <c r="J7">
        <f>SUMIFS(Table14[Debit], Table14[Date], Table15[[#This Row],[Date]], Table14[Party], "Parts")</f>
        <v>12500</v>
      </c>
    </row>
    <row r="8" spans="2:10" x14ac:dyDescent="0.3">
      <c r="B8" s="1">
        <v>45983</v>
      </c>
      <c r="C8" t="s">
        <v>114</v>
      </c>
      <c r="D8">
        <f>SUMIFS(Table14[Debit], Table14[Date], Table5[[#This Row],[Date]], Table14[Party], "Rashan")</f>
        <v>1960</v>
      </c>
      <c r="H8" s="1">
        <v>45983</v>
      </c>
      <c r="J8">
        <f>SUMIFS(Table14[Debit], Table14[Date], Table15[[#This Row],[Date]], Table14[Party], "Parts")</f>
        <v>3150</v>
      </c>
    </row>
    <row r="9" spans="2:10" x14ac:dyDescent="0.3">
      <c r="B9" s="1">
        <v>45984</v>
      </c>
      <c r="C9" t="s">
        <v>114</v>
      </c>
      <c r="D9">
        <f>SUMIFS(Table14[Debit], Table14[Date], Table5[[#This Row],[Date]], Table14[Party], "Rashan")</f>
        <v>2635</v>
      </c>
      <c r="H9" s="1">
        <v>45984</v>
      </c>
      <c r="J9">
        <f>SUMIFS(Table14[Debit], Table14[Date], Table15[[#This Row],[Date]], Table14[Party], "Parts")</f>
        <v>30000</v>
      </c>
    </row>
    <row r="10" spans="2:10" x14ac:dyDescent="0.3">
      <c r="B10" s="1">
        <v>45985</v>
      </c>
      <c r="C10" t="s">
        <v>114</v>
      </c>
      <c r="D10">
        <f>SUMIFS(Table14[Debit], Table14[Date], Table5[[#This Row],[Date]], Table14[Party], "Rashan")</f>
        <v>22220</v>
      </c>
      <c r="H10" s="1">
        <v>45985</v>
      </c>
      <c r="J10">
        <f>SUMIFS(Table14[Debit], Table14[Date], Table15[[#This Row],[Date]], Table14[Party], "Parts")</f>
        <v>6000</v>
      </c>
    </row>
    <row r="11" spans="2:10" x14ac:dyDescent="0.3">
      <c r="B11" s="1">
        <v>45986</v>
      </c>
      <c r="C11" t="s">
        <v>114</v>
      </c>
      <c r="D11">
        <f>SUMIFS(Table14[Debit], Table14[Date], Table5[[#This Row],[Date]], Table14[Party], "Rashan")</f>
        <v>2365</v>
      </c>
      <c r="H11" s="1">
        <v>45986</v>
      </c>
      <c r="J11">
        <f>SUMIFS(Table14[Debit], Table14[Date], Table15[[#This Row],[Date]], Table14[Party], "Parts")</f>
        <v>21020</v>
      </c>
    </row>
    <row r="12" spans="2:10" x14ac:dyDescent="0.3">
      <c r="B12" s="1">
        <v>45987</v>
      </c>
      <c r="C12" t="s">
        <v>114</v>
      </c>
      <c r="D12">
        <f>SUMIFS(Table14[Debit], Table14[Date], Table5[[#This Row],[Date]], Table14[Party], "Rashan")</f>
        <v>0</v>
      </c>
      <c r="H12" s="1">
        <v>45987</v>
      </c>
      <c r="J12">
        <f>SUMIFS(Table14[Debit], Table14[Date], Table15[[#This Row],[Date]], Table14[Party], "Parts")</f>
        <v>2950</v>
      </c>
    </row>
    <row r="13" spans="2:10" x14ac:dyDescent="0.3">
      <c r="B13" s="1">
        <v>45988</v>
      </c>
      <c r="C13" t="s">
        <v>114</v>
      </c>
      <c r="D13">
        <f>SUMIFS(Table14[Debit], Table14[Date], Table5[[#This Row],[Date]], Table14[Party], "Rashan")</f>
        <v>0</v>
      </c>
      <c r="H13" s="1">
        <v>45988</v>
      </c>
      <c r="J13">
        <f>SUMIFS(Table14[Debit], Table14[Date], Table15[[#This Row],[Date]], Table14[Party], "Parts")</f>
        <v>15000</v>
      </c>
    </row>
    <row r="14" spans="2:10" x14ac:dyDescent="0.3">
      <c r="B14" s="1">
        <v>45989</v>
      </c>
      <c r="C14" t="s">
        <v>114</v>
      </c>
      <c r="D14">
        <f>SUMIFS(Table14[Debit], Table14[Date], Table5[[#This Row],[Date]], Table14[Party], "Rashan")</f>
        <v>0</v>
      </c>
      <c r="H14" s="1">
        <v>45989</v>
      </c>
      <c r="J14">
        <f>SUMIFS(Table14[Debit], Table14[Date], Table15[[#This Row],[Date]], Table14[Party], "Parts")</f>
        <v>25000</v>
      </c>
    </row>
    <row r="15" spans="2:10" x14ac:dyDescent="0.3">
      <c r="B15" s="1">
        <v>45990</v>
      </c>
      <c r="C15" t="s">
        <v>114</v>
      </c>
      <c r="D15">
        <f>SUMIFS(Table14[Debit], Table14[Date], Table5[[#This Row],[Date]], Table14[Party], "Rashan")</f>
        <v>10310</v>
      </c>
      <c r="H15" s="1">
        <v>45990</v>
      </c>
      <c r="J15">
        <f>SUMIFS(Table14[Debit], Table14[Date], Table15[[#This Row],[Date]], Table14[Party], "Parts")</f>
        <v>11150</v>
      </c>
    </row>
    <row r="16" spans="2:10" x14ac:dyDescent="0.3">
      <c r="B16" s="1">
        <v>45991</v>
      </c>
      <c r="C16" t="s">
        <v>114</v>
      </c>
      <c r="D16">
        <f>SUMIFS(Table14[Debit], Table14[Date], Table5[[#This Row],[Date]], Table14[Party], "Rashan")</f>
        <v>0</v>
      </c>
      <c r="H16" s="1">
        <v>45991</v>
      </c>
      <c r="J16">
        <f>SUMIFS(Table14[Debit], Table14[Date], Table15[[#This Row],[Date]], Table14[Party], "Parts")</f>
        <v>0</v>
      </c>
    </row>
    <row r="17" spans="2:10" x14ac:dyDescent="0.3">
      <c r="B17" s="1">
        <v>45992</v>
      </c>
      <c r="C17" t="s">
        <v>114</v>
      </c>
      <c r="D17">
        <f>SUMIFS(Table14[Debit], Table14[Date], Table5[[#This Row],[Date]], Table14[Party], "Rashan")</f>
        <v>20000</v>
      </c>
      <c r="H17" s="1">
        <v>45992</v>
      </c>
      <c r="J17">
        <f>SUMIFS(Table14[Debit], Table14[Date], Table15[[#This Row],[Date]], Table14[Party], "Parts")</f>
        <v>9650</v>
      </c>
    </row>
    <row r="18" spans="2:10" x14ac:dyDescent="0.3">
      <c r="B18" s="1">
        <v>45993</v>
      </c>
      <c r="C18" t="s">
        <v>114</v>
      </c>
      <c r="D18">
        <f>SUMIFS(Table14[Debit], Table14[Date], Table5[[#This Row],[Date]], Table14[Party], "Rashan")</f>
        <v>0</v>
      </c>
      <c r="H18" s="1">
        <v>45993</v>
      </c>
      <c r="J18">
        <f>SUMIFS(Table14[Debit], Table14[Date], Table15[[#This Row],[Date]], Table14[Party], "Parts")</f>
        <v>0</v>
      </c>
    </row>
    <row r="19" spans="2:10" x14ac:dyDescent="0.3">
      <c r="B19" s="1">
        <v>45994</v>
      </c>
      <c r="C19" t="s">
        <v>114</v>
      </c>
      <c r="D19">
        <f>SUMIFS(Table14[Debit], Table14[Date], Table5[[#This Row],[Date]], Table14[Party], "Rashan")</f>
        <v>0</v>
      </c>
      <c r="H19" s="1">
        <v>45994</v>
      </c>
      <c r="J19">
        <f>SUMIFS(Table14[Debit], Table14[Date], Table15[[#This Row],[Date]], Table14[Party], "Parts")</f>
        <v>5000</v>
      </c>
    </row>
    <row r="20" spans="2:10" x14ac:dyDescent="0.3">
      <c r="B20" s="1">
        <v>45995</v>
      </c>
      <c r="C20" t="s">
        <v>114</v>
      </c>
      <c r="D20">
        <f>SUMIFS(Table14[Debit], Table14[Date], Table5[[#This Row],[Date]], Table14[Party], "Rashan")</f>
        <v>0</v>
      </c>
      <c r="H20" s="1">
        <v>45995</v>
      </c>
      <c r="J20">
        <f>SUMIFS(Table14[Debit], Table14[Date], Table15[[#This Row],[Date]], Table14[Party], "Parts")</f>
        <v>82500</v>
      </c>
    </row>
    <row r="21" spans="2:10" x14ac:dyDescent="0.3">
      <c r="B21" s="1">
        <v>45996</v>
      </c>
      <c r="C21" t="s">
        <v>114</v>
      </c>
      <c r="D21">
        <f>SUMIFS(Table14[Debit], Table14[Date], Table5[[#This Row],[Date]], Table14[Party], "Rashan")</f>
        <v>9670</v>
      </c>
      <c r="H21" s="1">
        <v>45996</v>
      </c>
      <c r="J21">
        <f>SUMIFS(Table14[Debit], Table14[Date], Table15[[#This Row],[Date]], Table14[Party], "Parts")</f>
        <v>7900</v>
      </c>
    </row>
    <row r="22" spans="2:10" x14ac:dyDescent="0.3">
      <c r="B22" s="1">
        <v>45997</v>
      </c>
      <c r="C22" t="s">
        <v>114</v>
      </c>
      <c r="D22">
        <f>SUMIFS(Table14[Debit], Table14[Date], Table5[[#This Row],[Date]], Table14[Party], "Rashan")</f>
        <v>2000</v>
      </c>
      <c r="H22" s="1">
        <v>45997</v>
      </c>
      <c r="J22">
        <f>SUMIFS(Table14[Debit], Table14[Date], Table15[[#This Row],[Date]], Table14[Party], "Parts")</f>
        <v>34400</v>
      </c>
    </row>
    <row r="23" spans="2:10" x14ac:dyDescent="0.3">
      <c r="B23" s="1">
        <v>45998</v>
      </c>
      <c r="C23" t="s">
        <v>114</v>
      </c>
      <c r="D23">
        <f>SUMIFS(Table14[Debit], Table14[Date], Table5[[#This Row],[Date]], Table14[Party], "Rashan")</f>
        <v>17110</v>
      </c>
      <c r="H23" s="1">
        <v>45998</v>
      </c>
      <c r="J23">
        <f>SUMIFS(Table14[Debit], Table14[Date], Table15[[#This Row],[Date]], Table14[Party], "Parts")</f>
        <v>0</v>
      </c>
    </row>
    <row r="24" spans="2:10" x14ac:dyDescent="0.3">
      <c r="B24" s="1">
        <v>45999</v>
      </c>
      <c r="C24" t="s">
        <v>114</v>
      </c>
      <c r="D24">
        <f>SUMIFS(Table14[Debit], Table14[Date], Table5[[#This Row],[Date]], Table14[Party], "Rashan")</f>
        <v>400</v>
      </c>
      <c r="H24" s="1">
        <v>45999</v>
      </c>
      <c r="J24">
        <f>SUMIFS(Table14[Debit], Table14[Date], Table15[[#This Row],[Date]], Table14[Party], "Parts")</f>
        <v>0</v>
      </c>
    </row>
    <row r="25" spans="2:10" x14ac:dyDescent="0.3">
      <c r="B25" s="1">
        <v>46000</v>
      </c>
      <c r="C25" t="s">
        <v>114</v>
      </c>
      <c r="D25">
        <f>SUMIFS(Table14[Debit], Table14[Date], Table5[[#This Row],[Date]], Table14[Party], "Rashan")</f>
        <v>20000</v>
      </c>
      <c r="H25" s="1">
        <v>46000</v>
      </c>
      <c r="J25">
        <f>SUMIFS(Table14[Debit], Table14[Date], Table15[[#This Row],[Date]], Table14[Party], "Parts")</f>
        <v>1900</v>
      </c>
    </row>
    <row r="26" spans="2:10" x14ac:dyDescent="0.3">
      <c r="B26" s="1">
        <v>46001</v>
      </c>
      <c r="C26" t="s">
        <v>114</v>
      </c>
      <c r="D26">
        <f>SUMIFS(Table14[Debit], Table14[Date], Table5[[#This Row],[Date]], Table14[Party], "Rashan")</f>
        <v>0</v>
      </c>
      <c r="H26" s="1">
        <v>46001</v>
      </c>
      <c r="J26">
        <f>SUMIFS(Table14[Debit], Table14[Date], Table15[[#This Row],[Date]], Table14[Party], "Parts")</f>
        <v>0</v>
      </c>
    </row>
    <row r="27" spans="2:10" x14ac:dyDescent="0.3">
      <c r="B27" s="1">
        <v>46002</v>
      </c>
      <c r="C27" t="s">
        <v>114</v>
      </c>
      <c r="D27">
        <f>SUMIFS(Table14[Debit], Table14[Date], Table5[[#This Row],[Date]], Table14[Party], "Rashan")</f>
        <v>0</v>
      </c>
      <c r="H27" s="1">
        <v>46002</v>
      </c>
      <c r="J27">
        <f>SUMIFS(Table14[Debit], Table14[Date], Table15[[#This Row],[Date]], Table14[Party], "Parts")</f>
        <v>22944</v>
      </c>
    </row>
    <row r="28" spans="2:10" x14ac:dyDescent="0.3">
      <c r="B28" s="1">
        <v>46003</v>
      </c>
      <c r="C28" t="s">
        <v>114</v>
      </c>
      <c r="D28">
        <f>SUMIFS(Table14[Debit], Table14[Date], Table5[[#This Row],[Date]], Table14[Party], "Rashan")</f>
        <v>0</v>
      </c>
      <c r="H28" s="1">
        <v>46003</v>
      </c>
      <c r="J28">
        <f>SUMIFS(Table14[Debit], Table14[Date], Table15[[#This Row],[Date]], Table14[Party], "Parts")</f>
        <v>0</v>
      </c>
    </row>
    <row r="29" spans="2:10" x14ac:dyDescent="0.3">
      <c r="B29" s="1">
        <v>46004</v>
      </c>
      <c r="C29" t="s">
        <v>114</v>
      </c>
      <c r="D29">
        <f>SUMIFS(Table14[Debit], Table14[Date], Table5[[#This Row],[Date]], Table14[Party], "Rashan")</f>
        <v>0</v>
      </c>
      <c r="H29" s="1">
        <v>46004</v>
      </c>
      <c r="J29">
        <f>SUMIFS(Table14[Debit], Table14[Date], Table15[[#This Row],[Date]], Table14[Party], "Parts")</f>
        <v>0</v>
      </c>
    </row>
    <row r="30" spans="2:10" x14ac:dyDescent="0.3">
      <c r="B30" s="1">
        <v>46005</v>
      </c>
      <c r="C30" t="s">
        <v>114</v>
      </c>
      <c r="D30">
        <f>SUMIFS(Table14[Debit], Table14[Date], Table5[[#This Row],[Date]], Table14[Party], "Rashan")</f>
        <v>0</v>
      </c>
      <c r="H30" s="1">
        <v>46005</v>
      </c>
      <c r="J30">
        <f>SUMIFS(Table14[Debit], Table14[Date], Table15[[#This Row],[Date]], Table14[Party], "Parts")</f>
        <v>0</v>
      </c>
    </row>
    <row r="31" spans="2:10" x14ac:dyDescent="0.3">
      <c r="B31" s="1">
        <v>46006</v>
      </c>
      <c r="C31" t="s">
        <v>114</v>
      </c>
      <c r="D31">
        <f>SUMIFS(Table14[Debit], Table14[Date], Table5[[#This Row],[Date]], Table14[Party], "Rashan")</f>
        <v>0</v>
      </c>
      <c r="H31" s="1">
        <v>46006</v>
      </c>
      <c r="J31">
        <f>SUMIFS(Table14[Debit], Table14[Date], Table15[[#This Row],[Date]], Table14[Party], "Parts")</f>
        <v>0</v>
      </c>
    </row>
    <row r="32" spans="2:10" x14ac:dyDescent="0.3">
      <c r="B32" s="1">
        <v>46007</v>
      </c>
      <c r="C32" t="s">
        <v>114</v>
      </c>
      <c r="D32">
        <f>SUMIFS(Table14[Debit], Table14[Date], Table5[[#This Row],[Date]], Table14[Party], "Rashan")</f>
        <v>0</v>
      </c>
      <c r="H32" s="1">
        <v>46007</v>
      </c>
      <c r="J32">
        <f>SUMIFS(Table14[Debit], Table14[Date], Table15[[#This Row],[Date]], Table14[Party], "Parts")</f>
        <v>0</v>
      </c>
    </row>
    <row r="33" spans="2:10" x14ac:dyDescent="0.3">
      <c r="B33" s="1">
        <v>46008</v>
      </c>
      <c r="C33" t="s">
        <v>114</v>
      </c>
      <c r="D33">
        <f>SUMIFS(Table14[Debit], Table14[Date], Table5[[#This Row],[Date]], Table14[Party], "Rashan")</f>
        <v>0</v>
      </c>
      <c r="H33" s="1">
        <v>46008</v>
      </c>
      <c r="J33">
        <f>SUMIFS(Table14[Debit], Table14[Date], Table15[[#This Row],[Date]], Table14[Party], "Parts")</f>
        <v>0</v>
      </c>
    </row>
    <row r="34" spans="2:10" x14ac:dyDescent="0.3">
      <c r="B34" s="1">
        <v>46009</v>
      </c>
      <c r="C34" t="s">
        <v>114</v>
      </c>
      <c r="D34">
        <f>SUMIFS(Table14[Debit], Table14[Date], Table5[[#This Row],[Date]], Table14[Party], "Rashan")</f>
        <v>0</v>
      </c>
      <c r="H34" s="1">
        <v>46009</v>
      </c>
      <c r="J34">
        <f>SUMIFS(Table14[Debit], Table14[Date], Table15[[#This Row],[Date]], Table14[Party], "Parts")</f>
        <v>0</v>
      </c>
    </row>
    <row r="35" spans="2:10" x14ac:dyDescent="0.3">
      <c r="B35" s="1">
        <v>46010</v>
      </c>
      <c r="D35">
        <f>SUMIFS(Table14[Debit], Table14[Date], Table5[[#This Row],[Date]], Table14[Party], "Rashan")</f>
        <v>0</v>
      </c>
      <c r="H35" s="1">
        <v>46010</v>
      </c>
      <c r="J35">
        <f>SUMIFS(Table14[Debit], Table14[Date], Table15[[#This Row],[Date]], Table14[Party], "Parts")</f>
        <v>0</v>
      </c>
    </row>
    <row r="36" spans="2:10" x14ac:dyDescent="0.3">
      <c r="B36" s="1">
        <v>46011</v>
      </c>
      <c r="D36">
        <f>SUMIFS(Table14[Debit], Table14[Date], Table5[[#This Row],[Date]], Table14[Party], "Rashan")</f>
        <v>0</v>
      </c>
      <c r="H36" s="1">
        <v>46011</v>
      </c>
      <c r="J36">
        <f>SUMIFS(Table14[Debit], Table14[Date], Table15[[#This Row],[Date]], Table14[Party], "Parts")</f>
        <v>0</v>
      </c>
    </row>
    <row r="37" spans="2:10" x14ac:dyDescent="0.3">
      <c r="B37" s="1"/>
      <c r="D37">
        <f>SUM(Table5[Amount])</f>
        <v>125170</v>
      </c>
      <c r="H37" s="1"/>
      <c r="J37">
        <f>SUM(Table15[Amount])</f>
        <v>326064</v>
      </c>
    </row>
  </sheetData>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E5FCD-38DA-4943-8A91-71F737A33574}">
  <sheetPr>
    <pageSetUpPr fitToPage="1"/>
  </sheetPr>
  <dimension ref="A1:C28"/>
  <sheetViews>
    <sheetView zoomScale="67" workbookViewId="0">
      <selection activeCell="O18" sqref="O18"/>
    </sheetView>
  </sheetViews>
  <sheetFormatPr defaultRowHeight="14.4" x14ac:dyDescent="0.3"/>
  <cols>
    <col min="1" max="1" width="19.33203125" customWidth="1"/>
    <col min="2" max="2" width="20.33203125" customWidth="1"/>
    <col min="3" max="3" width="17" customWidth="1"/>
  </cols>
  <sheetData>
    <row r="1" spans="1:3" x14ac:dyDescent="0.3">
      <c r="A1" t="s">
        <v>2</v>
      </c>
      <c r="B1" t="s">
        <v>17</v>
      </c>
      <c r="C1" s="102" t="s">
        <v>18</v>
      </c>
    </row>
    <row r="2" spans="1:3" ht="21" x14ac:dyDescent="0.4">
      <c r="A2" s="104" t="str">
        <f>Billing!Q5</f>
        <v>BSC</v>
      </c>
      <c r="B2" s="107">
        <f>Billing!AC5</f>
        <v>19750734</v>
      </c>
      <c r="C2" s="105">
        <f>Billing!AD5</f>
        <v>3315462.9641550891</v>
      </c>
    </row>
    <row r="3" spans="1:3" ht="21" x14ac:dyDescent="0.4">
      <c r="A3" s="104" t="str">
        <f>Billing!Q6</f>
        <v>Ejaz Sahab</v>
      </c>
      <c r="B3" s="107">
        <f>Billing!AC6</f>
        <v>3663904</v>
      </c>
      <c r="C3" s="105">
        <f>Billing!AD6</f>
        <v>508925.1880029263</v>
      </c>
    </row>
    <row r="4" spans="1:3" ht="21" x14ac:dyDescent="0.4">
      <c r="A4" s="104" t="str">
        <f>Billing!Q7</f>
        <v>Arshad</v>
      </c>
      <c r="B4" s="107">
        <f>Billing!AC7</f>
        <v>5802935</v>
      </c>
      <c r="C4" s="106">
        <f>Billing!AD7</f>
        <v>425643.09070958383</v>
      </c>
    </row>
    <row r="5" spans="1:3" ht="21" x14ac:dyDescent="0.4">
      <c r="A5" s="104" t="str">
        <f>Billing!Q8</f>
        <v>Shehzad Kamoki</v>
      </c>
      <c r="B5" s="107">
        <f>Billing!AC8</f>
        <v>1268740</v>
      </c>
      <c r="C5" s="106">
        <f>Billing!AD8</f>
        <v>530.34403803967871</v>
      </c>
    </row>
    <row r="6" spans="1:3" ht="21" x14ac:dyDescent="0.4">
      <c r="A6" s="104" t="str">
        <f>Billing!Q9</f>
        <v>Sufi Nawaz Sahab</v>
      </c>
      <c r="B6" s="107">
        <f>Billing!AC9</f>
        <v>10629100</v>
      </c>
      <c r="C6" s="105">
        <f>Billing!AD9</f>
        <v>609704.47256766632</v>
      </c>
    </row>
    <row r="7" spans="1:3" ht="21" x14ac:dyDescent="0.4">
      <c r="A7" s="104" t="str">
        <f>Billing!Q10</f>
        <v>Sajad Khan</v>
      </c>
      <c r="B7" s="107">
        <f>Billing!AC10</f>
        <v>6897871</v>
      </c>
      <c r="C7" s="105">
        <f>Billing!AD10</f>
        <v>367929.10972933471</v>
      </c>
    </row>
    <row r="8" spans="1:3" ht="21" x14ac:dyDescent="0.4">
      <c r="A8" s="104" t="str">
        <f>Billing!Q11</f>
        <v>Raaz Fabrics</v>
      </c>
      <c r="B8" s="107">
        <f>Billing!AC11</f>
        <v>1000000</v>
      </c>
      <c r="C8" s="106">
        <f>Billing!AD11</f>
        <v>393873.44550109748</v>
      </c>
    </row>
    <row r="9" spans="1:3" ht="21" x14ac:dyDescent="0.4">
      <c r="A9" s="104" t="str">
        <f>Billing!Q12</f>
        <v>Azam</v>
      </c>
      <c r="B9" s="107">
        <f>Billing!AC12</f>
        <v>3322620</v>
      </c>
      <c r="C9" s="105">
        <f>Billing!AD12</f>
        <v>19742.838332114741</v>
      </c>
    </row>
    <row r="10" spans="1:3" ht="21" x14ac:dyDescent="0.4">
      <c r="A10" s="104" t="str">
        <f>Billing!Q13</f>
        <v>Ubaidullah</v>
      </c>
      <c r="B10" s="107">
        <f>Billing!AC13</f>
        <v>640190</v>
      </c>
      <c r="C10" s="105">
        <f>Billing!AD13</f>
        <v>1084.6891002196353</v>
      </c>
    </row>
    <row r="11" spans="1:3" ht="21" x14ac:dyDescent="0.4">
      <c r="A11" s="104" t="str">
        <f>Billing!Q14</f>
        <v>Ashraf Zia</v>
      </c>
      <c r="B11" s="107">
        <f>Billing!AC14</f>
        <v>130000</v>
      </c>
      <c r="C11" s="105">
        <f>Billing!AD14</f>
        <v>125724.21360643749</v>
      </c>
    </row>
    <row r="12" spans="1:3" ht="21" x14ac:dyDescent="0.4">
      <c r="A12" s="104" t="str">
        <f>Billing!Q15</f>
        <v>Hafiz Qureshi</v>
      </c>
      <c r="B12" s="107">
        <f>Billing!AC15</f>
        <v>1805980</v>
      </c>
      <c r="C12" s="105">
        <f>Billing!AD15</f>
        <v>48582.911485003773</v>
      </c>
    </row>
    <row r="13" spans="1:3" ht="21" x14ac:dyDescent="0.4">
      <c r="A13" s="104" t="str">
        <f>Billing!Q16</f>
        <v>Badshah Fabrics</v>
      </c>
      <c r="B13" s="107">
        <f>Billing!AC16</f>
        <v>4925761</v>
      </c>
      <c r="C13" s="105">
        <f>Billing!AD16</f>
        <v>93961.933430870995</v>
      </c>
    </row>
    <row r="14" spans="1:3" ht="21" x14ac:dyDescent="0.4">
      <c r="A14" s="104" t="str">
        <f>Billing!Q17</f>
        <v>Reject</v>
      </c>
      <c r="B14" s="107">
        <f>Billing!AC17</f>
        <v>0</v>
      </c>
      <c r="C14" s="105">
        <f>Billing!AD17</f>
        <v>0</v>
      </c>
    </row>
    <row r="15" spans="1:3" ht="21" x14ac:dyDescent="0.4">
      <c r="A15" s="104" t="str">
        <f>Billing!Q18</f>
        <v>Amjad 7up</v>
      </c>
      <c r="B15" s="107">
        <f>Billing!AC18</f>
        <v>480000</v>
      </c>
      <c r="C15" s="106">
        <f>Billing!AD18</f>
        <v>3851.4996342355735</v>
      </c>
    </row>
    <row r="16" spans="1:3" ht="21" x14ac:dyDescent="0.4">
      <c r="A16" s="104" t="str">
        <f>Billing!Q19</f>
        <v>Hazrat Khan</v>
      </c>
      <c r="B16" s="107">
        <f>Billing!AC19</f>
        <v>95000</v>
      </c>
      <c r="C16" s="106">
        <f>Billing!AD19</f>
        <v>-5844.9158741770225</v>
      </c>
    </row>
    <row r="17" spans="1:3" ht="21" x14ac:dyDescent="0.4">
      <c r="A17" s="104" t="str">
        <f>Billing!Q20</f>
        <v>Haseeb Shamsi</v>
      </c>
      <c r="B17" s="107">
        <f>Billing!AC20</f>
        <v>594405</v>
      </c>
      <c r="C17" s="105">
        <f>Billing!AD20</f>
        <v>-0.28163862461224198</v>
      </c>
    </row>
    <row r="18" spans="1:3" ht="21" x14ac:dyDescent="0.4">
      <c r="A18" s="104" t="str">
        <f>Billing!Q21</f>
        <v>Faizan</v>
      </c>
      <c r="B18" s="107">
        <f>Billing!AC21</f>
        <v>4915571</v>
      </c>
      <c r="C18" s="106">
        <f>Billing!AD21</f>
        <v>308616.08851499762</v>
      </c>
    </row>
    <row r="19" spans="1:3" ht="21" x14ac:dyDescent="0.4">
      <c r="A19" s="104" t="str">
        <f>Billing!Q22</f>
        <v>Shafique Ansari</v>
      </c>
      <c r="B19" s="107">
        <f>Billing!AC22</f>
        <v>835660</v>
      </c>
      <c r="C19" s="106">
        <f>Billing!AD22</f>
        <v>356.82516459410544</v>
      </c>
    </row>
    <row r="20" spans="1:3" ht="21" x14ac:dyDescent="0.4">
      <c r="A20" s="104" t="str">
        <f>Billing!Q23</f>
        <v>Amjad sohail</v>
      </c>
      <c r="B20" s="107">
        <f>Billing!AC23</f>
        <v>2300000</v>
      </c>
      <c r="C20" s="105">
        <f>Billing!AD23</f>
        <v>409309.61960497499</v>
      </c>
    </row>
    <row r="21" spans="1:3" ht="21" x14ac:dyDescent="0.4">
      <c r="A21" s="104" t="str">
        <f>Billing!Q24</f>
        <v>Salman Zaffar</v>
      </c>
      <c r="B21" s="14">
        <f>Billing!AC24</f>
        <v>0</v>
      </c>
      <c r="C21" s="105">
        <f>Billing!AD24</f>
        <v>612146.12289685453</v>
      </c>
    </row>
    <row r="22" spans="1:3" ht="21" x14ac:dyDescent="0.4">
      <c r="A22" s="104" t="str">
        <f>Billing!Q25</f>
        <v>Shahid Qasayi</v>
      </c>
      <c r="B22" s="128">
        <f>Billing!AC25</f>
        <v>1103325</v>
      </c>
      <c r="C22" s="105">
        <f>Billing!AD25</f>
        <v>446285.46086320397</v>
      </c>
    </row>
    <row r="23" spans="1:3" ht="21" x14ac:dyDescent="0.4">
      <c r="A23" s="104" t="str">
        <f>Billing!Q26</f>
        <v>Hameed corporation</v>
      </c>
      <c r="B23" s="128">
        <f>Billing!AC26</f>
        <v>424323</v>
      </c>
      <c r="C23" s="105">
        <f>Billing!AD26</f>
        <v>0.33577176299877465</v>
      </c>
    </row>
    <row r="24" spans="1:3" ht="21" x14ac:dyDescent="0.4">
      <c r="A24" s="104" t="str">
        <f>Billing!Q27</f>
        <v>ibraheem behraam</v>
      </c>
      <c r="B24" s="128">
        <f>Billing!AC27</f>
        <v>437000</v>
      </c>
      <c r="C24" s="105">
        <f>Billing!AD27</f>
        <v>-9673.7381126554101</v>
      </c>
    </row>
    <row r="25" spans="1:3" ht="21" x14ac:dyDescent="0.4">
      <c r="A25" s="104" t="str">
        <f>Billing!Q28</f>
        <v>Zia-ullah karachi</v>
      </c>
      <c r="B25" s="128">
        <f>Billing!AC28</f>
        <v>137260</v>
      </c>
      <c r="C25" s="105">
        <f>Billing!AD28</f>
        <v>-12698.917337234816</v>
      </c>
    </row>
    <row r="26" spans="1:3" ht="21" x14ac:dyDescent="0.4">
      <c r="A26" s="104">
        <f>Billing!Q29</f>
        <v>0</v>
      </c>
      <c r="B26" s="128">
        <f>Billing!AC29</f>
        <v>0</v>
      </c>
      <c r="C26" s="105">
        <f>Billing!AD29</f>
        <v>0</v>
      </c>
    </row>
    <row r="27" spans="1:3" ht="21" x14ac:dyDescent="0.4">
      <c r="A27" s="104">
        <f>Billing!Q30</f>
        <v>0</v>
      </c>
      <c r="B27" s="128">
        <f>Billing!AC30</f>
        <v>0</v>
      </c>
      <c r="C27" s="105">
        <f>Billing!AD30</f>
        <v>0</v>
      </c>
    </row>
    <row r="28" spans="1:3" ht="21" x14ac:dyDescent="0.4">
      <c r="A28" s="104">
        <f>Billing!Q31</f>
        <v>0</v>
      </c>
      <c r="B28" s="128">
        <f>Billing!AC31</f>
        <v>0</v>
      </c>
      <c r="C28" s="105">
        <f>Billing!AD31</f>
        <v>0</v>
      </c>
    </row>
  </sheetData>
  <conditionalFormatting sqref="C2:C28">
    <cfRule type="cellIs" dxfId="5" priority="1" operator="lessThan">
      <formula>10</formula>
    </cfRule>
  </conditionalFormatting>
  <conditionalFormatting sqref="C2:C29">
    <cfRule type="cellIs" dxfId="4" priority="2" operator="greaterThan">
      <formula>10</formula>
    </cfRule>
  </conditionalFormatting>
  <pageMargins left="0.7" right="0.7" top="0.75" bottom="0.75" header="0.3" footer="0.3"/>
  <pageSetup fitToHeight="0"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20722-41A7-384B-B0BC-7BDDB36C959F}">
  <dimension ref="A1"/>
  <sheetViews>
    <sheetView zoomScaleNormal="60" zoomScaleSheetLayoutView="100" workbookViewId="0"/>
  </sheetViews>
  <sheetFormatPr defaultRowHeight="14.4" x14ac:dyDescent="0.3"/>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ADEE5-30F1-4E4F-B630-8B4E4FCA344C}">
  <dimension ref="A1:B22"/>
  <sheetViews>
    <sheetView topLeftCell="A16" zoomScale="146" workbookViewId="0">
      <selection activeCell="B3" sqref="B3"/>
    </sheetView>
  </sheetViews>
  <sheetFormatPr defaultRowHeight="14.4" x14ac:dyDescent="0.3"/>
  <cols>
    <col min="1" max="1" width="13.44140625" customWidth="1"/>
    <col min="2" max="2" width="15.5546875" customWidth="1"/>
  </cols>
  <sheetData>
    <row r="1" spans="1:2" x14ac:dyDescent="0.3">
      <c r="A1" t="s">
        <v>168</v>
      </c>
      <c r="B1" t="s">
        <v>69</v>
      </c>
    </row>
    <row r="2" spans="1:2" x14ac:dyDescent="0.3">
      <c r="A2" t="str">
        <f>Billing!Q5</f>
        <v>BSC</v>
      </c>
      <c r="B2" s="10">
        <f>_xlfn.XLOOKUP($A2,[1]Billing!$Q$5:$Q$29,[1]Billing!$AA$5:$AA$29)</f>
        <v>18411676</v>
      </c>
    </row>
    <row r="3" spans="1:2" x14ac:dyDescent="0.3">
      <c r="A3" t="str">
        <f>Billing!Q6</f>
        <v>Ejaz Sahab</v>
      </c>
      <c r="B3" s="10">
        <f>_xlfn.XLOOKUP($A3,[1]Billing!$Q$5:$Q$29,[1]Billing!$AA$5:$AA$29)</f>
        <v>3163904</v>
      </c>
    </row>
    <row r="4" spans="1:2" x14ac:dyDescent="0.3">
      <c r="A4" t="str">
        <f>Billing!Q7</f>
        <v>Arshad</v>
      </c>
      <c r="B4" s="10">
        <f>_xlfn.XLOOKUP($A4,[1]Billing!$Q$5:$Q$29,[1]Billing!$AA$5:$AA$29)</f>
        <v>4102935</v>
      </c>
    </row>
    <row r="5" spans="1:2" x14ac:dyDescent="0.3">
      <c r="A5" t="str">
        <f>Billing!Q8</f>
        <v>Shehzad Kamoki</v>
      </c>
      <c r="B5" s="10">
        <f>_xlfn.XLOOKUP($A5,[1]Billing!$Q$5:$Q$29,[1]Billing!$AA$5:$AA$29)</f>
        <v>1268740</v>
      </c>
    </row>
    <row r="6" spans="1:2" x14ac:dyDescent="0.3">
      <c r="A6" t="str">
        <f>Billing!Q9</f>
        <v>Sufi Nawaz Sahab</v>
      </c>
      <c r="B6" s="10">
        <f>_xlfn.XLOOKUP($A6,[1]Billing!$Q$5:$Q$29,[1]Billing!$AA$5:$AA$29)</f>
        <v>10629100</v>
      </c>
    </row>
    <row r="7" spans="1:2" x14ac:dyDescent="0.3">
      <c r="A7" t="str">
        <f>Billing!Q10</f>
        <v>Sajad Khan</v>
      </c>
      <c r="B7" s="10">
        <f>_xlfn.XLOOKUP($A7,[1]Billing!$Q$5:$Q$29,[1]Billing!$AA$5:$AA$29)</f>
        <v>5544810</v>
      </c>
    </row>
    <row r="8" spans="1:2" x14ac:dyDescent="0.3">
      <c r="A8" t="str">
        <f>Billing!Q11</f>
        <v>Raaz Fabrics</v>
      </c>
      <c r="B8" s="10">
        <f>_xlfn.XLOOKUP($A8,[1]Billing!$Q$5:$Q$29,[1]Billing!$AA$5:$AA$29)</f>
        <v>900000</v>
      </c>
    </row>
    <row r="9" spans="1:2" x14ac:dyDescent="0.3">
      <c r="A9" t="str">
        <f>Billing!Q12</f>
        <v>Azam</v>
      </c>
      <c r="B9" s="10">
        <f>_xlfn.XLOOKUP($A9,[1]Billing!$Q$5:$Q$29,[1]Billing!$AA$5:$AA$29)</f>
        <v>1617620</v>
      </c>
    </row>
    <row r="10" spans="1:2" x14ac:dyDescent="0.3">
      <c r="A10" t="str">
        <f>Billing!Q13</f>
        <v>Ubaidullah</v>
      </c>
      <c r="B10" s="10">
        <f>_xlfn.XLOOKUP($A10,[1]Billing!$Q$5:$Q$29,[1]Billing!$AA$5:$AA$29)</f>
        <v>630150</v>
      </c>
    </row>
    <row r="11" spans="1:2" x14ac:dyDescent="0.3">
      <c r="A11" t="str">
        <f>Billing!Q14</f>
        <v>Ashraf Zia</v>
      </c>
      <c r="B11" s="10">
        <f>_xlfn.XLOOKUP($A11,[1]Billing!$Q$5:$Q$29,[1]Billing!$AA$5:$AA$29)</f>
        <v>0</v>
      </c>
    </row>
    <row r="12" spans="1:2" x14ac:dyDescent="0.3">
      <c r="A12" t="str">
        <f>Billing!Q15</f>
        <v>Hafiz Qureshi</v>
      </c>
      <c r="B12" s="10">
        <f>_xlfn.XLOOKUP($A12,[1]Billing!$Q$5:$Q$29,[1]Billing!$AA$5:$AA$29)</f>
        <v>1200000</v>
      </c>
    </row>
    <row r="13" spans="1:2" x14ac:dyDescent="0.3">
      <c r="A13" t="str">
        <f>Billing!Q16</f>
        <v>Badshah Fabrics</v>
      </c>
      <c r="B13" s="10">
        <f>_xlfn.XLOOKUP($A13,[1]Billing!$Q$5:$Q$29,[1]Billing!$AA$5:$AA$29)</f>
        <v>4000544</v>
      </c>
    </row>
    <row r="14" spans="1:2" x14ac:dyDescent="0.3">
      <c r="A14" t="str">
        <f>Billing!Q17</f>
        <v>Reject</v>
      </c>
      <c r="B14" s="10">
        <f>_xlfn.XLOOKUP($A14,[1]Billing!$Q$5:$Q$29,[1]Billing!$AA$5:$AA$29)</f>
        <v>0</v>
      </c>
    </row>
    <row r="15" spans="1:2" x14ac:dyDescent="0.3">
      <c r="A15" t="str">
        <f>Billing!Q18</f>
        <v>Amjad 7up</v>
      </c>
      <c r="B15" s="10">
        <f>_xlfn.XLOOKUP($A15,[1]Billing!$Q$5:$Q$29,[1]Billing!$AA$5:$AA$29)</f>
        <v>480000</v>
      </c>
    </row>
    <row r="16" spans="1:2" x14ac:dyDescent="0.3">
      <c r="A16" t="str">
        <f>Billing!Q19</f>
        <v>Hazrat Khan</v>
      </c>
      <c r="B16" s="10">
        <f>_xlfn.XLOOKUP($A16,[1]Billing!$Q$5:$Q$29,[1]Billing!$AA$5:$AA$29)</f>
        <v>95000</v>
      </c>
    </row>
    <row r="17" spans="1:2" x14ac:dyDescent="0.3">
      <c r="A17" t="str">
        <f>Billing!Q20</f>
        <v>Haseeb Shamsi</v>
      </c>
      <c r="B17" s="10">
        <f>_xlfn.XLOOKUP($A17,[1]Billing!$Q$5:$Q$29,[1]Billing!$AA$5:$AA$29)</f>
        <v>474200</v>
      </c>
    </row>
    <row r="18" spans="1:2" x14ac:dyDescent="0.3">
      <c r="A18" t="str">
        <f>Billing!Q21</f>
        <v>Faizan</v>
      </c>
      <c r="B18" s="10">
        <f>_xlfn.XLOOKUP($A18,[1]Billing!$Q$5:$Q$29,[1]Billing!$AA$5:$AA$29)</f>
        <v>2915571</v>
      </c>
    </row>
    <row r="19" spans="1:2" x14ac:dyDescent="0.3">
      <c r="A19" t="str">
        <f>Billing!Q22</f>
        <v>Shafique Ansari</v>
      </c>
      <c r="B19" s="10">
        <f>_xlfn.XLOOKUP($A19,[1]Billing!$Q$5:$Q$29,[1]Billing!$AA$5:$AA$29)</f>
        <v>835660</v>
      </c>
    </row>
    <row r="20" spans="1:2" x14ac:dyDescent="0.3">
      <c r="A20" t="str">
        <f>Billing!Q23</f>
        <v>Amjad sohail</v>
      </c>
      <c r="B20" s="10">
        <f>_xlfn.XLOOKUP($A20,[1]Billing!$Q$5:$Q$29,[1]Billing!$AA$5:$AA$29)</f>
        <v>800000</v>
      </c>
    </row>
    <row r="21" spans="1:2" x14ac:dyDescent="0.3">
      <c r="A21" t="str">
        <f>Billing!Q24</f>
        <v>Salman Zaffar</v>
      </c>
      <c r="B21" s="10">
        <f>_xlfn.XLOOKUP($A21,[1]Billing!$Q$5:$Q$29,[1]Billing!$AA$5:$AA$29)</f>
        <v>0</v>
      </c>
    </row>
    <row r="22" spans="1:2" x14ac:dyDescent="0.3">
      <c r="A22" t="str">
        <f>Billing!Q25</f>
        <v>Shahid Qasayi</v>
      </c>
      <c r="B22" s="10" t="e">
        <f>_xlfn.XLOOKUP($A22,[1]Billing!$Q$5:$Q$29,[1]Billing!$AA$5:$AA$29)</f>
        <v>#N/A</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653170-0ABA-4B0E-A63E-D518C37296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Billing</vt:lpstr>
      <vt:lpstr>Bill Print</vt:lpstr>
      <vt:lpstr>Expenses</vt:lpstr>
      <vt:lpstr>Profit</vt:lpstr>
      <vt:lpstr>Transport</vt:lpstr>
      <vt:lpstr>ledger</vt:lpstr>
      <vt:lpstr>Wood</vt:lpstr>
      <vt:lpstr>Cashbook</vt:lpstr>
      <vt:lpstr>Dyes</vt:lpstr>
      <vt:lpstr>Finish</vt:lpstr>
      <vt:lpstr>Electricity</vt:lpstr>
      <vt:lpstr>Miscellaneous</vt:lpstr>
      <vt:lpstr>Salary Acc</vt:lpstr>
      <vt:lpstr>pivot </vt:lpstr>
      <vt:lpstr>Running Acc</vt:lpstr>
      <vt:lpstr>Balance</vt:lpstr>
      <vt:lpstr>Sheet1</vt:lpstr>
      <vt:lpstr>Cashflow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Omer</dc:creator>
  <cp:keywords/>
  <dc:description/>
  <cp:lastModifiedBy>Muhammad  Omer</cp:lastModifiedBy>
  <cp:revision/>
  <cp:lastPrinted>2025-11-04T22:14:49Z</cp:lastPrinted>
  <dcterms:created xsi:type="dcterms:W3CDTF">2025-06-24T04:42:48Z</dcterms:created>
  <dcterms:modified xsi:type="dcterms:W3CDTF">2025-12-13T15:58:28Z</dcterms:modified>
  <cp:category/>
  <cp:contentStatus/>
</cp:coreProperties>
</file>