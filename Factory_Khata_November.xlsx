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005" documentId="8_{475843C5-500E-4738-B9D9-47939CD7324F}" xr6:coauthVersionLast="47" xr6:coauthVersionMax="47" xr10:uidLastSave="{EDC0AB6F-EE9D-4D96-8999-EA20D1F0DA39}"/>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4" r:id="rId20"/>
    <pivotCache cacheId="48" r:id="rId21"/>
    <pivotCache cacheId="54" r:id="rId22"/>
    <pivotCache cacheId="59" r:id="rId23"/>
    <pivotCache cacheId="63" r:id="rId24"/>
    <pivotCache cacheId="6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6" i="1" l="1"/>
  <c r="J136" i="1" a="1"/>
  <c r="J136" i="1" s="1"/>
  <c r="I137" i="1"/>
  <c r="J137" i="1" a="1"/>
  <c r="J137" i="1"/>
  <c r="I138" i="1"/>
  <c r="J138" i="1" a="1"/>
  <c r="J138" i="1" s="1"/>
  <c r="I139" i="1"/>
  <c r="J139" i="1" a="1"/>
  <c r="J139" i="1" s="1"/>
  <c r="I140" i="1"/>
  <c r="J140" i="1" s="1" a="1"/>
  <c r="J140" i="1" s="1"/>
  <c r="I141" i="1"/>
  <c r="J141" i="1" a="1"/>
  <c r="J141" i="1"/>
  <c r="I142" i="1"/>
  <c r="J142" i="1" a="1"/>
  <c r="J142" i="1"/>
  <c r="I143" i="1"/>
  <c r="J143" i="1" s="1" a="1"/>
  <c r="J143" i="1" s="1"/>
  <c r="I144" i="1"/>
  <c r="J144" i="1" a="1"/>
  <c r="J144" i="1" s="1"/>
  <c r="I145" i="1"/>
  <c r="J145" i="1" s="1" a="1"/>
  <c r="J145" i="1" s="1"/>
  <c r="I146" i="1"/>
  <c r="J146" i="1" a="1"/>
  <c r="J146" i="1"/>
  <c r="I147" i="1"/>
  <c r="J147" i="1" s="1" a="1"/>
  <c r="J147" i="1" s="1"/>
  <c r="I148" i="1"/>
  <c r="J148" i="1" a="1"/>
  <c r="J148" i="1"/>
  <c r="H148" i="1"/>
  <c r="H25" i="6"/>
  <c r="H26" i="6"/>
  <c r="I26" i="6" s="1"/>
  <c r="H27" i="6"/>
  <c r="I27" i="6" s="1"/>
  <c r="G26" i="6"/>
  <c r="G27" i="6"/>
  <c r="G73" i="9" l="1" a="1"/>
  <c r="G73" i="9" s="1"/>
  <c r="G74" i="9" a="1"/>
  <c r="G74" i="9" s="1"/>
  <c r="G75" i="9" a="1"/>
  <c r="G75" i="9" s="1"/>
  <c r="G76" i="9" a="1"/>
  <c r="G76" i="9" s="1"/>
  <c r="G77" i="9" a="1"/>
  <c r="G77" i="9" s="1"/>
  <c r="G78" i="9" a="1"/>
  <c r="G78" i="9" s="1"/>
  <c r="H73" i="9" a="1"/>
  <c r="H73" i="9" s="1"/>
  <c r="H74" i="9" a="1"/>
  <c r="H74" i="9" s="1"/>
  <c r="H75" i="9" a="1"/>
  <c r="H75" i="9" s="1"/>
  <c r="H76" i="9" a="1"/>
  <c r="H76" i="9" s="1"/>
  <c r="H77" i="9" a="1"/>
  <c r="H77" i="9" s="1"/>
  <c r="H78" i="9" a="1"/>
  <c r="H78" i="9" s="1"/>
  <c r="I73" i="9" a="1"/>
  <c r="I73" i="9" s="1"/>
  <c r="I74" i="9" a="1"/>
  <c r="I74" i="9" s="1"/>
  <c r="I75" i="9" a="1"/>
  <c r="I75" i="9" s="1"/>
  <c r="I76" i="9" a="1"/>
  <c r="I76" i="9" s="1"/>
  <c r="I77" i="9" a="1"/>
  <c r="I77" i="9" s="1"/>
  <c r="I78" i="9" a="1"/>
  <c r="I78" i="9" s="1"/>
  <c r="J73" i="9" a="1"/>
  <c r="J73" i="9" s="1"/>
  <c r="J74" i="9" a="1"/>
  <c r="J74" i="9" s="1"/>
  <c r="J75" i="9" a="1"/>
  <c r="J75" i="9" s="1"/>
  <c r="J76" i="9" a="1"/>
  <c r="J76" i="9" s="1"/>
  <c r="J77" i="9" a="1"/>
  <c r="J77" i="9" s="1"/>
  <c r="J78" i="9" a="1"/>
  <c r="J78" i="9" s="1"/>
  <c r="B49" i="9" a="1"/>
  <c r="L73" i="9"/>
  <c r="L74" i="9"/>
  <c r="L75" i="9"/>
  <c r="L76" i="9"/>
  <c r="L77" i="9"/>
  <c r="L78" i="9"/>
  <c r="I131" i="1"/>
  <c r="J131" i="1" a="1"/>
  <c r="J131" i="1" s="1"/>
  <c r="H24" i="6"/>
  <c r="I24" i="6" s="1"/>
  <c r="G24" i="6"/>
  <c r="G25" i="6"/>
  <c r="I25" i="6"/>
  <c r="C9" i="8"/>
  <c r="D3" i="17"/>
  <c r="N6" i="17" s="1"/>
  <c r="G11" i="7"/>
  <c r="H11" i="7" s="1"/>
  <c r="G12" i="7"/>
  <c r="H12" i="7" s="1"/>
  <c r="G13" i="7"/>
  <c r="H13" i="7" s="1"/>
  <c r="H22" i="6"/>
  <c r="I22" i="6" s="1"/>
  <c r="H23" i="6"/>
  <c r="I23" i="6" s="1"/>
  <c r="G22" i="6"/>
  <c r="G23" i="6"/>
  <c r="I128" i="1"/>
  <c r="J128" i="1" a="1"/>
  <c r="J128" i="1" s="1"/>
  <c r="I129" i="1"/>
  <c r="J129" i="1" s="1" a="1"/>
  <c r="J129" i="1" s="1"/>
  <c r="I130" i="1"/>
  <c r="J130" i="1" a="1"/>
  <c r="J130"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F13" i="15"/>
  <c r="G12" i="15"/>
  <c r="H12" i="15" s="1"/>
  <c r="G13" i="15"/>
  <c r="H13" i="15" s="1"/>
  <c r="F8" i="15"/>
  <c r="G8" i="15"/>
  <c r="I120" i="1"/>
  <c r="J120" i="1" a="1"/>
  <c r="J120" i="1" s="1"/>
  <c r="I121" i="1"/>
  <c r="J121" i="1" s="1" a="1"/>
  <c r="J121" i="1" s="1"/>
  <c r="I122" i="1"/>
  <c r="J122" i="1" s="1" a="1"/>
  <c r="J122" i="1" s="1"/>
  <c r="I123" i="1"/>
  <c r="J123" i="1" s="1" a="1"/>
  <c r="J123" i="1" s="1"/>
  <c r="I124" i="1"/>
  <c r="J124" i="1" s="1" a="1"/>
  <c r="J124" i="1" s="1"/>
  <c r="I125" i="1"/>
  <c r="J125" i="1" a="1"/>
  <c r="J125" i="1" s="1"/>
  <c r="I126" i="1"/>
  <c r="J126" i="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a="1"/>
  <c r="J113" i="1" s="1"/>
  <c r="I114" i="1"/>
  <c r="J114" i="1" s="1" a="1"/>
  <c r="J114" i="1" s="1"/>
  <c r="I115" i="1"/>
  <c r="J115" i="1" s="1" a="1"/>
  <c r="J115" i="1" s="1"/>
  <c r="I116" i="1"/>
  <c r="J116" i="1" s="1" a="1"/>
  <c r="J116" i="1" s="1"/>
  <c r="I117" i="1"/>
  <c r="J117" i="1" a="1"/>
  <c r="J117" i="1" s="1"/>
  <c r="I118" i="1"/>
  <c r="J118" i="1" s="1" a="1"/>
  <c r="J118" i="1" s="1"/>
  <c r="I119" i="1"/>
  <c r="J119" i="1" s="1" a="1"/>
  <c r="J119" i="1" s="1"/>
  <c r="I99" i="1"/>
  <c r="J99" i="1" s="1" a="1"/>
  <c r="J99" i="1" s="1"/>
  <c r="I100" i="1"/>
  <c r="J100" i="1" s="1" a="1"/>
  <c r="J100" i="1" s="1"/>
  <c r="I101" i="1"/>
  <c r="J101" i="1" s="1" a="1"/>
  <c r="J101" i="1" s="1"/>
  <c r="I102" i="1"/>
  <c r="J102" i="1" s="1" a="1"/>
  <c r="J102" i="1" s="1"/>
  <c r="I103" i="1"/>
  <c r="J103" i="1" s="1" a="1"/>
  <c r="J103" i="1" s="1"/>
  <c r="I104" i="1"/>
  <c r="J104" i="1" a="1"/>
  <c r="J104" i="1" s="1"/>
  <c r="I105" i="1"/>
  <c r="J105" i="1" s="1" a="1"/>
  <c r="J105" i="1" s="1"/>
  <c r="I106" i="1"/>
  <c r="J106" i="1" s="1" a="1"/>
  <c r="J106" i="1" s="1"/>
  <c r="I107" i="1"/>
  <c r="J107" i="1" a="1"/>
  <c r="J107" i="1" s="1"/>
  <c r="I108" i="1"/>
  <c r="J108" i="1" a="1"/>
  <c r="J108" i="1" s="1"/>
  <c r="I109" i="1"/>
  <c r="J109" i="1" s="1" a="1"/>
  <c r="J109" i="1" s="1"/>
  <c r="I110" i="1"/>
  <c r="J110" i="1" s="1" a="1"/>
  <c r="J110" i="1" s="1"/>
  <c r="I111" i="1"/>
  <c r="J111" i="1" s="1" a="1"/>
  <c r="J111" i="1" s="1"/>
  <c r="F11" i="15"/>
  <c r="F10" i="15"/>
  <c r="H12" i="6"/>
  <c r="I12" i="6" s="1"/>
  <c r="I36" i="12"/>
  <c r="H11" i="6"/>
  <c r="I11" i="6" s="1"/>
  <c r="G11" i="6"/>
  <c r="G12" i="6"/>
  <c r="I90" i="1"/>
  <c r="J90" i="1" a="1"/>
  <c r="J90" i="1" s="1"/>
  <c r="I91" i="1"/>
  <c r="J91" i="1" s="1" a="1"/>
  <c r="J91" i="1" s="1"/>
  <c r="I92" i="1"/>
  <c r="J92" i="1" s="1" a="1"/>
  <c r="J92" i="1" s="1"/>
  <c r="I93" i="1"/>
  <c r="J93" i="1" a="1"/>
  <c r="J93" i="1" s="1"/>
  <c r="I94" i="1"/>
  <c r="J94" i="1" a="1"/>
  <c r="J94" i="1" s="1"/>
  <c r="I95" i="1"/>
  <c r="J95" i="1" s="1" a="1"/>
  <c r="J95" i="1" s="1"/>
  <c r="I96" i="1"/>
  <c r="J96" i="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a="1"/>
  <c r="J84" i="1" s="1"/>
  <c r="I83" i="1"/>
  <c r="J83" i="1" s="1" a="1"/>
  <c r="J83" i="1" s="1"/>
  <c r="I82" i="1"/>
  <c r="J82" i="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24"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s="1"/>
  <c r="I27" i="2" s="1"/>
  <c r="D27" i="2" s="1"/>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G45" i="2"/>
  <c r="H147" i="1" s="1"/>
  <c r="E46" i="2"/>
  <c r="F46" i="2"/>
  <c r="H46" i="2" s="1"/>
  <c r="I46" i="2" s="1"/>
  <c r="D46" i="2" s="1"/>
  <c r="E47" i="2"/>
  <c r="F47" i="2"/>
  <c r="E48" i="2"/>
  <c r="F48" i="2"/>
  <c r="H48" i="2"/>
  <c r="I48" i="2"/>
  <c r="D48" i="2"/>
  <c r="F20" i="2"/>
  <c r="E20" i="2"/>
  <c r="E49" i="2"/>
  <c r="F49" i="2"/>
  <c r="H49" i="2"/>
  <c r="I49" i="2"/>
  <c r="D49" i="2"/>
  <c r="F21" i="2"/>
  <c r="H21" i="2"/>
  <c r="I21" i="2"/>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G24" i="2" s="1"/>
  <c r="H110" i="1" s="1"/>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c r="H125" i="1" s="1"/>
  <c r="F33" i="2"/>
  <c r="F6" i="2"/>
  <c r="H6" i="2" s="1"/>
  <c r="I6" i="2" s="1"/>
  <c r="D6" i="2" s="1"/>
  <c r="E6" i="2"/>
  <c r="G6" i="2" s="1"/>
  <c r="H82" i="1" s="1"/>
  <c r="F5" i="2"/>
  <c r="H5" i="2"/>
  <c r="I5" i="2" s="1"/>
  <c r="D5" i="2" s="1"/>
  <c r="E5" i="2"/>
  <c r="G5" i="2" s="1"/>
  <c r="H98" i="1" s="1"/>
  <c r="E34" i="2"/>
  <c r="F34" i="2"/>
  <c r="H34" i="2" s="1"/>
  <c r="I34" i="2" s="1"/>
  <c r="D34" i="2" s="1"/>
  <c r="F18" i="2"/>
  <c r="H18" i="2" s="1"/>
  <c r="I18" i="2" s="1"/>
  <c r="D18" i="2" s="1"/>
  <c r="E18" i="2"/>
  <c r="E35" i="2"/>
  <c r="F35" i="2"/>
  <c r="H35" i="2" s="1"/>
  <c r="I35" i="2" s="1"/>
  <c r="D35" i="2" s="1"/>
  <c r="E36" i="2"/>
  <c r="F36" i="2"/>
  <c r="G36" i="2" s="1"/>
  <c r="H135" i="1" s="1"/>
  <c r="F22" i="2"/>
  <c r="H22" i="2" s="1"/>
  <c r="I22" i="2" s="1"/>
  <c r="D22" i="2" s="1"/>
  <c r="E22" i="2"/>
  <c r="G22" i="2"/>
  <c r="H106" i="1" s="1"/>
  <c r="F7" i="2"/>
  <c r="H7" i="2" s="1"/>
  <c r="I7" i="2" s="1"/>
  <c r="D7" i="2" s="1"/>
  <c r="E7" i="2"/>
  <c r="E37" i="2"/>
  <c r="G37" i="2" s="1"/>
  <c r="H136" i="1" s="1"/>
  <c r="F37" i="2"/>
  <c r="H37" i="2" s="1"/>
  <c r="I37" i="2" s="1"/>
  <c r="D37" i="2" s="1"/>
  <c r="E39" i="2"/>
  <c r="F39" i="2"/>
  <c r="G39" i="2" s="1"/>
  <c r="E40" i="2"/>
  <c r="F40" i="2"/>
  <c r="G40" i="2" s="1"/>
  <c r="H142" i="1" s="1"/>
  <c r="E41" i="2"/>
  <c r="G41" i="2" s="1"/>
  <c r="H143" i="1" s="1"/>
  <c r="F41" i="2"/>
  <c r="H41" i="2"/>
  <c r="I41" i="2" s="1"/>
  <c r="D41" i="2" s="1"/>
  <c r="E42" i="2"/>
  <c r="F42" i="2"/>
  <c r="H42" i="2" s="1"/>
  <c r="I42" i="2" s="1"/>
  <c r="D42" i="2" s="1"/>
  <c r="G42" i="2"/>
  <c r="H144" i="1" s="1"/>
  <c r="E43" i="2"/>
  <c r="F43" i="2"/>
  <c r="G43" i="2"/>
  <c r="H145" i="1" s="1"/>
  <c r="E44" i="2"/>
  <c r="F44" i="2"/>
  <c r="H44" i="2" s="1"/>
  <c r="I44" i="2" s="1"/>
  <c r="D44" i="2" s="1"/>
  <c r="G44" i="2"/>
  <c r="H146" i="1" s="1"/>
  <c r="F19" i="2"/>
  <c r="E19" i="2"/>
  <c r="G19" i="2" s="1"/>
  <c r="H103" i="1" s="1"/>
  <c r="F38" i="2"/>
  <c r="H38" i="2" s="1"/>
  <c r="I38" i="2" s="1"/>
  <c r="D38" i="2" s="1"/>
  <c r="E38" i="2"/>
  <c r="G38" i="2" s="1"/>
  <c r="H137"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c r="D13" i="2" s="1"/>
  <c r="E13" i="2"/>
  <c r="G13" i="2" s="1"/>
  <c r="H95" i="1" s="1"/>
  <c r="F23" i="2"/>
  <c r="H23" i="2"/>
  <c r="I23" i="2" s="1"/>
  <c r="D23" i="2" s="1"/>
  <c r="E23" i="2"/>
  <c r="F15" i="2"/>
  <c r="G15" i="2" s="1"/>
  <c r="E15" i="2"/>
  <c r="F16" i="2"/>
  <c r="E16" i="2"/>
  <c r="F26" i="2"/>
  <c r="G26" i="2"/>
  <c r="H115" i="1" s="1"/>
  <c r="H26" i="2"/>
  <c r="I26" i="2" s="1"/>
  <c r="D26" i="2" s="1"/>
  <c r="E26" i="2"/>
  <c r="F29" i="2"/>
  <c r="H29" i="2" s="1"/>
  <c r="I29" i="2" s="1"/>
  <c r="D29" i="2" s="1"/>
  <c r="E29" i="2"/>
  <c r="F30" i="2"/>
  <c r="G30" i="2" s="1"/>
  <c r="F31" i="2"/>
  <c r="G31" i="2" s="1"/>
  <c r="E31" i="2"/>
  <c r="F32" i="2"/>
  <c r="G32" i="2" s="1"/>
  <c r="F14" i="2"/>
  <c r="G14" i="2" s="1"/>
  <c r="E14" i="2"/>
  <c r="E30" i="2"/>
  <c r="E32" i="2"/>
  <c r="N4" i="17"/>
  <c r="F12" i="2"/>
  <c r="H12" i="2" s="1"/>
  <c r="I12" i="2" s="1"/>
  <c r="D12" i="2" s="1"/>
  <c r="E12" i="2"/>
  <c r="G12" i="2" s="1"/>
  <c r="F11" i="2"/>
  <c r="E11" i="2"/>
  <c r="G11" i="2"/>
  <c r="H91" i="1" s="1"/>
  <c r="E17" i="2"/>
  <c r="G17" i="2"/>
  <c r="H101" i="1" s="1"/>
  <c r="F17" i="2"/>
  <c r="H17" i="2"/>
  <c r="I17" i="2" s="1"/>
  <c r="D17" i="2" s="1"/>
  <c r="F9" i="2"/>
  <c r="H9" i="2" s="1"/>
  <c r="I9" i="2" s="1"/>
  <c r="D9" i="2" s="1"/>
  <c r="E9" i="2"/>
  <c r="E8" i="2"/>
  <c r="F8" i="2"/>
  <c r="G8" i="2" s="1"/>
  <c r="E10" i="2"/>
  <c r="E4" i="2"/>
  <c r="C8" i="8"/>
  <c r="F10" i="2"/>
  <c r="G10" i="2" s="1"/>
  <c r="H90" i="1" s="1"/>
  <c r="F4" i="2"/>
  <c r="H4" i="2"/>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94" i="17"/>
  <c r="K4" i="17" s="1"/>
  <c r="C16" i="10"/>
  <c r="J30" i="15"/>
  <c r="G67" i="2"/>
  <c r="G71" i="2"/>
  <c r="G66" i="2"/>
  <c r="G65" i="2"/>
  <c r="G60" i="2"/>
  <c r="G49" i="2"/>
  <c r="G69" i="2"/>
  <c r="G68" i="2"/>
  <c r="G63" i="2"/>
  <c r="G70" i="2"/>
  <c r="G59" i="2"/>
  <c r="G52" i="2"/>
  <c r="G47" i="2"/>
  <c r="G57" i="2"/>
  <c r="G48" i="2"/>
  <c r="G58" i="2"/>
  <c r="H47" i="2"/>
  <c r="I47" i="2"/>
  <c r="D47" i="2"/>
  <c r="G54" i="2"/>
  <c r="H43" i="2"/>
  <c r="I43" i="2"/>
  <c r="D43" i="2"/>
  <c r="G53" i="2"/>
  <c r="G56" i="2"/>
  <c r="G55" i="2"/>
  <c r="G62" i="2"/>
  <c r="H54" i="2"/>
  <c r="I54" i="2"/>
  <c r="D54" i="2"/>
  <c r="G50" i="2"/>
  <c r="H60" i="2"/>
  <c r="I60" i="2"/>
  <c r="D60" i="2"/>
  <c r="G46" i="2"/>
  <c r="H58" i="2"/>
  <c r="I58" i="2"/>
  <c r="D58" i="2"/>
  <c r="H53" i="2"/>
  <c r="I53" i="2"/>
  <c r="D53" i="2"/>
  <c r="H55" i="2"/>
  <c r="I55" i="2"/>
  <c r="D55" i="2"/>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6" i="8"/>
  <c r="H14" i="2"/>
  <c r="I14" i="2"/>
  <c r="D14" i="2" s="1"/>
  <c r="H11" i="2"/>
  <c r="I11" i="2"/>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H33" i="2"/>
  <c r="I33" i="2"/>
  <c r="D33" i="2"/>
  <c r="I67" i="9" a="1"/>
  <c r="I67" i="9" s="1"/>
  <c r="I50" i="9" a="1"/>
  <c r="I50" i="9" s="1"/>
  <c r="C92" i="9"/>
  <c r="R13" i="9" s="1" a="1"/>
  <c r="R13" i="9" s="1"/>
  <c r="G29" i="2"/>
  <c r="H119" i="1"/>
  <c r="H36" i="2"/>
  <c r="I36" i="2"/>
  <c r="D36" i="2" s="1"/>
  <c r="G25" i="2"/>
  <c r="H111" i="1" s="1"/>
  <c r="G20" i="2"/>
  <c r="H104" i="1"/>
  <c r="G7" i="2"/>
  <c r="H83" i="1" s="1"/>
  <c r="H16" i="2"/>
  <c r="I16" i="2" s="1"/>
  <c r="D16" i="2" s="1"/>
  <c r="H19" i="2"/>
  <c r="I19" i="2" s="1"/>
  <c r="D19" i="2" s="1"/>
  <c r="H20" i="2"/>
  <c r="I20" i="2"/>
  <c r="D20" i="2"/>
  <c r="H103" i="9"/>
  <c r="H93" i="9"/>
  <c r="W14" i="9" s="1" a="1"/>
  <c r="W14" i="9" s="1"/>
  <c r="I59" i="9" a="1"/>
  <c r="I59" i="9" s="1"/>
  <c r="E92" i="9"/>
  <c r="T13" i="9" s="1" a="1"/>
  <c r="T13" i="9" s="1"/>
  <c r="D2" i="17"/>
  <c r="C12" i="10" s="1"/>
  <c r="C2" i="2"/>
  <c r="Y26" i="9" l="1" a="1"/>
  <c r="Y26" i="9" s="1"/>
  <c r="T28" i="9" a="1"/>
  <c r="T28" i="9" s="1"/>
  <c r="W28" i="9" a="1"/>
  <c r="W28" i="9" s="1"/>
  <c r="H92" i="1"/>
  <c r="H93" i="1"/>
  <c r="H129" i="1"/>
  <c r="H132" i="1"/>
  <c r="H123" i="1"/>
  <c r="H96" i="1"/>
  <c r="H100" i="1"/>
  <c r="H31" i="2"/>
  <c r="I31" i="2" s="1"/>
  <c r="D31" i="2" s="1"/>
  <c r="H40" i="2"/>
  <c r="I40" i="2" s="1"/>
  <c r="D40" i="2" s="1"/>
  <c r="G16" i="2"/>
  <c r="H139" i="1" s="1"/>
  <c r="G21" i="2"/>
  <c r="H108" i="1" s="1"/>
  <c r="H30" i="2"/>
  <c r="I30" i="2" s="1"/>
  <c r="D30" i="2" s="1"/>
  <c r="G28" i="2"/>
  <c r="G18" i="2"/>
  <c r="H102" i="1" s="1"/>
  <c r="G27" i="2"/>
  <c r="H121" i="1" s="1"/>
  <c r="H114" i="1"/>
  <c r="H15" i="2"/>
  <c r="I15" i="2" s="1"/>
  <c r="D15" i="2" s="1"/>
  <c r="H39" i="2"/>
  <c r="I39" i="2" s="1"/>
  <c r="D39" i="2" s="1"/>
  <c r="G4" i="2"/>
  <c r="G23" i="2"/>
  <c r="B13" i="9"/>
  <c r="C13" i="9" s="1"/>
  <c r="G90" i="9"/>
  <c r="J72" i="9" a="1"/>
  <c r="J72" i="9" s="1"/>
  <c r="X26" i="9" a="1"/>
  <c r="X26" i="9" s="1"/>
  <c r="G61" i="9" a="1"/>
  <c r="G61" i="9" s="1"/>
  <c r="H72" i="9" a="1"/>
  <c r="H72" i="9" s="1"/>
  <c r="F85" i="9"/>
  <c r="U6" i="9" s="1" a="1"/>
  <c r="U6" i="9" s="1"/>
  <c r="F91" i="9"/>
  <c r="U12" i="9" s="1" a="1"/>
  <c r="U12" i="9" s="1"/>
  <c r="R28" i="9" a="1"/>
  <c r="R28" i="9" s="1"/>
  <c r="V28" i="9" a="1"/>
  <c r="V28" i="9" s="1"/>
  <c r="Z28" i="9" s="1"/>
  <c r="L97" i="9"/>
  <c r="AA18" i="9" s="1"/>
  <c r="B15" i="20" s="1"/>
  <c r="Y28" i="9" a="1"/>
  <c r="Y28" i="9" s="1"/>
  <c r="C93" i="9"/>
  <c r="R14" i="9" s="1" a="1"/>
  <c r="R14" i="9" s="1"/>
  <c r="I72" i="9" a="1"/>
  <c r="I72" i="9" s="1"/>
  <c r="L51" i="9"/>
  <c r="B3" i="9"/>
  <c r="C3" i="9" s="1"/>
  <c r="U28" i="9" a="1"/>
  <c r="U28" i="9" s="1"/>
  <c r="H64" i="9" a="1"/>
  <c r="H64" i="9" s="1"/>
  <c r="S28" i="9" a="1"/>
  <c r="S28" i="9" s="1"/>
  <c r="S26" i="9" a="1"/>
  <c r="S26" i="9" s="1"/>
  <c r="B7" i="9"/>
  <c r="C7" i="9" s="1"/>
  <c r="G72" i="9" a="1"/>
  <c r="G72" i="9" s="1"/>
  <c r="I85" i="9"/>
  <c r="X6" i="9" s="1" a="1"/>
  <c r="X6" i="9" s="1"/>
  <c r="H55" i="9" a="1"/>
  <c r="H55" i="9" s="1"/>
  <c r="D95" i="9"/>
  <c r="S16" i="9" s="1" a="1"/>
  <c r="S16" i="9" s="1"/>
  <c r="E87" i="9"/>
  <c r="T8" i="9" s="1" a="1"/>
  <c r="T8" i="9" s="1"/>
  <c r="I93" i="9"/>
  <c r="X14" i="9" s="1" a="1"/>
  <c r="X14" i="9" s="1"/>
  <c r="X28" i="9" a="1"/>
  <c r="X28" i="9" s="1"/>
  <c r="I61" i="9" a="1"/>
  <c r="I61" i="9" s="1"/>
  <c r="J85" i="9"/>
  <c r="Y6" i="9" s="1" a="1"/>
  <c r="Y6" i="9" s="1"/>
  <c r="H57" i="9" a="1"/>
  <c r="H57" i="9" s="1"/>
  <c r="L63" i="9"/>
  <c r="L72" i="9"/>
  <c r="AA28" i="9"/>
  <c r="B25" i="20" s="1"/>
  <c r="A25" i="20"/>
  <c r="H140" i="1"/>
  <c r="H141" i="1"/>
  <c r="H107" i="1"/>
  <c r="H113" i="1"/>
  <c r="H126" i="1"/>
  <c r="H124" i="1"/>
  <c r="H85" i="1"/>
  <c r="H88" i="1"/>
  <c r="H87" i="1"/>
  <c r="H86" i="1"/>
  <c r="H99" i="1"/>
  <c r="H117" i="1"/>
  <c r="H105" i="1"/>
  <c r="H118" i="1"/>
  <c r="H122" i="1"/>
  <c r="H127" i="1"/>
  <c r="H130" i="1"/>
  <c r="H128" i="1"/>
  <c r="H120" i="1"/>
  <c r="H138" i="1"/>
  <c r="H97" i="1"/>
  <c r="G35" i="2"/>
  <c r="H8" i="2"/>
  <c r="I8" i="2" s="1"/>
  <c r="D8" i="2" s="1"/>
  <c r="G34" i="2"/>
  <c r="H131" i="1" s="1"/>
  <c r="H10" i="2"/>
  <c r="I10" i="2" s="1"/>
  <c r="D10" i="2" s="1"/>
  <c r="G9" i="2"/>
  <c r="H89" i="1" s="1"/>
  <c r="H94" i="1"/>
  <c r="H28" i="2"/>
  <c r="I28" i="2" s="1"/>
  <c r="D28" i="2" s="1"/>
  <c r="H109" i="1"/>
  <c r="H32" i="2"/>
  <c r="I32" i="2" s="1"/>
  <c r="D32" i="2" s="1"/>
  <c r="H84" i="1"/>
  <c r="G93" i="9"/>
  <c r="V14" i="9" s="1" a="1"/>
  <c r="V14" i="9" s="1"/>
  <c r="C102" i="9"/>
  <c r="R23" i="9" s="1" a="1"/>
  <c r="R23" i="9" s="1"/>
  <c r="J61" i="9" a="1"/>
  <c r="J61" i="9" s="1"/>
  <c r="B18" i="9"/>
  <c r="C18" i="9" s="1"/>
  <c r="H91" i="9"/>
  <c r="W12" i="9" s="1" a="1"/>
  <c r="W12" i="9" s="1"/>
  <c r="G103" i="9"/>
  <c r="V24" i="9" s="1" a="1"/>
  <c r="V24" i="9" s="1"/>
  <c r="H92" i="9"/>
  <c r="W13" i="9" s="1" a="1"/>
  <c r="W13" i="9" s="1"/>
  <c r="R27" i="9" a="1"/>
  <c r="R27" i="9" s="1"/>
  <c r="G52" i="9" a="1"/>
  <c r="G52" i="9" s="1"/>
  <c r="D98" i="9"/>
  <c r="S19" i="9" s="1" a="1"/>
  <c r="S19" i="9" s="1"/>
  <c r="E103" i="9"/>
  <c r="T24" i="9" s="1" a="1"/>
  <c r="T24" i="9" s="1"/>
  <c r="L102" i="9"/>
  <c r="AA23" i="9" s="1"/>
  <c r="B20" i="20" s="1"/>
  <c r="H97" i="9"/>
  <c r="W18" i="9" s="1" a="1"/>
  <c r="W18" i="9" s="1"/>
  <c r="I53" i="9" a="1"/>
  <c r="I53" i="9" s="1"/>
  <c r="E85" i="9"/>
  <c r="T6" i="9" s="1" a="1"/>
  <c r="T6" i="9" s="1"/>
  <c r="I87" i="9"/>
  <c r="X8" i="9" s="1" a="1"/>
  <c r="X8" i="9" s="1"/>
  <c r="G102" i="9"/>
  <c r="V23" i="9" s="1" a="1"/>
  <c r="V23" i="9" s="1"/>
  <c r="L90" i="9"/>
  <c r="H86" i="9"/>
  <c r="W7" i="9" s="1" a="1"/>
  <c r="W7" i="9" s="1"/>
  <c r="L56" i="9"/>
  <c r="J69" i="9" a="1"/>
  <c r="J69" i="9" s="1"/>
  <c r="G101" i="9"/>
  <c r="V22" i="9" s="1" a="1"/>
  <c r="V22" i="9" s="1"/>
  <c r="H63" i="9" a="1"/>
  <c r="H63" i="9" s="1"/>
  <c r="I66" i="9" a="1"/>
  <c r="I66" i="9" s="1"/>
  <c r="C98" i="9"/>
  <c r="R19" i="9" s="1" a="1"/>
  <c r="R19" i="9" s="1"/>
  <c r="G92" i="9"/>
  <c r="F101" i="9"/>
  <c r="U22" i="9" s="1" a="1"/>
  <c r="U22" i="9" s="1"/>
  <c r="X27" i="9" a="1"/>
  <c r="X27" i="9" s="1"/>
  <c r="H61" i="9" a="1"/>
  <c r="H61" i="9" s="1"/>
  <c r="F96" i="9"/>
  <c r="U17" i="9" s="1" a="1"/>
  <c r="U17" i="9" s="1"/>
  <c r="L58" i="9"/>
  <c r="G100" i="9"/>
  <c r="V21" i="9" s="1" a="1"/>
  <c r="V21" i="9" s="1"/>
  <c r="H56" i="9" a="1"/>
  <c r="H56" i="9" s="1"/>
  <c r="F92" i="9"/>
  <c r="U13" i="9" s="1" a="1"/>
  <c r="U13" i="9" s="1"/>
  <c r="D90" i="9"/>
  <c r="S11" i="9" s="1" a="1"/>
  <c r="S11" i="9" s="1"/>
  <c r="C86" i="9"/>
  <c r="R7" i="9" s="1" a="1"/>
  <c r="R7" i="9" s="1"/>
  <c r="B6" i="9"/>
  <c r="C6" i="9" s="1"/>
  <c r="T25" i="9" a="1"/>
  <c r="T25" i="9" s="1"/>
  <c r="B49" i="9"/>
  <c r="C84" i="9" s="1"/>
  <c r="R5" i="9" s="1" a="1"/>
  <c r="R5" i="9" s="1"/>
  <c r="L50" i="9"/>
  <c r="Y25" i="9" a="1"/>
  <c r="Y25" i="9" s="1"/>
  <c r="B8" i="9"/>
  <c r="E8" i="9" s="1"/>
  <c r="E99" i="9"/>
  <c r="T20" i="9" s="1" a="1"/>
  <c r="T20" i="9" s="1"/>
  <c r="A22" i="21"/>
  <c r="B22" i="21" s="1"/>
  <c r="A5" i="20"/>
  <c r="A13" i="21"/>
  <c r="B13" i="21" s="1"/>
  <c r="A16" i="21"/>
  <c r="B16" i="21" s="1"/>
  <c r="Q5" i="9"/>
  <c r="A2" i="21" s="1"/>
  <c r="B2" i="21" s="1"/>
  <c r="A18" i="21"/>
  <c r="B18" i="21" s="1"/>
  <c r="A22" i="20"/>
  <c r="A17" i="20"/>
  <c r="A20" i="20"/>
  <c r="A12" i="20"/>
  <c r="Z32" i="9"/>
  <c r="AB32" i="9" s="1"/>
  <c r="Z33" i="9"/>
  <c r="AB33" i="9" s="1"/>
  <c r="Z31" i="9"/>
  <c r="AB31" i="9" s="1"/>
  <c r="C28" i="20" s="1"/>
  <c r="K77" i="9"/>
  <c r="M77" i="9" s="1"/>
  <c r="G71" i="9" a="1"/>
  <c r="G71" i="9" s="1"/>
  <c r="H99" i="9"/>
  <c r="W20" i="9" s="1" a="1"/>
  <c r="W20" i="9" s="1"/>
  <c r="H96" i="9"/>
  <c r="D91" i="9"/>
  <c r="S12" i="9" s="1" a="1"/>
  <c r="S12" i="9" s="1"/>
  <c r="C89" i="9"/>
  <c r="R10" i="9" s="1" a="1"/>
  <c r="R10" i="9" s="1"/>
  <c r="C101" i="9"/>
  <c r="R22" i="9" s="1" a="1"/>
  <c r="R22" i="9" s="1"/>
  <c r="G99" i="9"/>
  <c r="V20" i="9" s="1" a="1"/>
  <c r="V20" i="9" s="1"/>
  <c r="W26" i="9" a="1"/>
  <c r="W26" i="9" s="1"/>
  <c r="H62" i="9" a="1"/>
  <c r="H62" i="9" s="1"/>
  <c r="I62" i="9" a="1"/>
  <c r="I62" i="9" s="1"/>
  <c r="J57" i="9" a="1"/>
  <c r="J57" i="9" s="1"/>
  <c r="H59" i="9" a="1"/>
  <c r="H59" i="9" s="1"/>
  <c r="I69" i="9" a="1"/>
  <c r="I69" i="9" s="1"/>
  <c r="J95" i="9"/>
  <c r="Y16" i="9" s="1" a="1"/>
  <c r="Y16" i="9" s="1"/>
  <c r="S27" i="9" a="1"/>
  <c r="S27" i="9" s="1"/>
  <c r="D86" i="9"/>
  <c r="S7" i="9" s="1" a="1"/>
  <c r="S7" i="9" s="1"/>
  <c r="H95" i="9"/>
  <c r="W16" i="9" s="1" a="1"/>
  <c r="W16" i="9" s="1"/>
  <c r="I65" i="9" a="1"/>
  <c r="I65" i="9" s="1"/>
  <c r="D97" i="9"/>
  <c r="S18" i="9" s="1" a="1"/>
  <c r="S18" i="9" s="1"/>
  <c r="G95" i="9"/>
  <c r="J51" i="9" a="1"/>
  <c r="J51" i="9" s="1"/>
  <c r="G66" i="9" a="1"/>
  <c r="G66" i="9" s="1"/>
  <c r="B12" i="9"/>
  <c r="F88" i="9"/>
  <c r="U9" i="9" s="1" a="1"/>
  <c r="U9" i="9" s="1"/>
  <c r="C95" i="9"/>
  <c r="R16" i="9" s="1" a="1"/>
  <c r="R16" i="9" s="1"/>
  <c r="L96" i="9"/>
  <c r="AA17" i="9" s="1"/>
  <c r="B14" i="20" s="1"/>
  <c r="L92" i="9"/>
  <c r="AA13" i="9" s="1"/>
  <c r="B10" i="20" s="1"/>
  <c r="J62" i="9" a="1"/>
  <c r="J62" i="9" s="1"/>
  <c r="J103" i="9"/>
  <c r="Y24" i="9" s="1" a="1"/>
  <c r="Y24" i="9" s="1"/>
  <c r="H54" i="9" a="1"/>
  <c r="H54" i="9" s="1"/>
  <c r="F90" i="9"/>
  <c r="U11" i="9" s="1" a="1"/>
  <c r="U11" i="9" s="1"/>
  <c r="C88" i="9"/>
  <c r="R9" i="9" s="1" a="1"/>
  <c r="R9" i="9" s="1"/>
  <c r="J98" i="9"/>
  <c r="Y19" i="9" s="1" a="1"/>
  <c r="Y19" i="9" s="1"/>
  <c r="I55" i="9" a="1"/>
  <c r="I55" i="9" s="1"/>
  <c r="I101" i="9"/>
  <c r="X22" i="9" s="1" a="1"/>
  <c r="X22" i="9" s="1"/>
  <c r="L54" i="9"/>
  <c r="J60" i="9" a="1"/>
  <c r="J60" i="9" s="1"/>
  <c r="L69" i="9"/>
  <c r="I51" i="9" a="1"/>
  <c r="I51" i="9" s="1"/>
  <c r="G98" i="9"/>
  <c r="V19" i="9" s="1" a="1"/>
  <c r="V19" i="9" s="1"/>
  <c r="L60" i="9"/>
  <c r="E96" i="9"/>
  <c r="T17" i="9" s="1" a="1"/>
  <c r="T17" i="9" s="1"/>
  <c r="I90" i="9"/>
  <c r="X11" i="9" s="1" a="1"/>
  <c r="X11" i="9" s="1"/>
  <c r="J90" i="9"/>
  <c r="Y11" i="9" s="1" a="1"/>
  <c r="Y11" i="9" s="1"/>
  <c r="C85" i="9"/>
  <c r="R6" i="9" s="1" a="1"/>
  <c r="R6" i="9" s="1"/>
  <c r="I64" i="9" a="1"/>
  <c r="I64" i="9" s="1"/>
  <c r="I98" i="9"/>
  <c r="I88" i="9"/>
  <c r="X9" i="9" s="1" a="1"/>
  <c r="X9" i="9" s="1"/>
  <c r="L85" i="9"/>
  <c r="AA6" i="9" s="1"/>
  <c r="B3" i="20" s="1"/>
  <c r="Y27" i="9" a="1"/>
  <c r="Y27" i="9" s="1"/>
  <c r="H88" i="9"/>
  <c r="W9" i="9" s="1" a="1"/>
  <c r="W9" i="9" s="1"/>
  <c r="G68" i="9" a="1"/>
  <c r="G68" i="9" s="1"/>
  <c r="H87" i="9"/>
  <c r="W8" i="9" s="1" a="1"/>
  <c r="W8" i="9" s="1"/>
  <c r="D94" i="9"/>
  <c r="S15" i="9" s="1" a="1"/>
  <c r="S15" i="9" s="1"/>
  <c r="J94" i="9"/>
  <c r="Y15" i="9" s="1" a="1"/>
  <c r="Y15" i="9" s="1"/>
  <c r="G91" i="9"/>
  <c r="D89" i="9"/>
  <c r="S10" i="9" s="1" a="1"/>
  <c r="S10" i="9" s="1"/>
  <c r="U25" i="9" a="1"/>
  <c r="U25" i="9" s="1"/>
  <c r="D88" i="9"/>
  <c r="S9" i="9" s="1" a="1"/>
  <c r="S9" i="9" s="1"/>
  <c r="H58" i="9" a="1"/>
  <c r="H58" i="9" s="1"/>
  <c r="H102" i="9"/>
  <c r="W23" i="9" s="1" a="1"/>
  <c r="W23" i="9" s="1"/>
  <c r="L66" i="9"/>
  <c r="D96" i="9"/>
  <c r="S17" i="9" s="1" a="1"/>
  <c r="S17" i="9" s="1"/>
  <c r="I52" i="9" a="1"/>
  <c r="I52" i="9" s="1"/>
  <c r="I60" i="9" a="1"/>
  <c r="I60" i="9" s="1"/>
  <c r="D85" i="9"/>
  <c r="S6" i="9" s="1" a="1"/>
  <c r="S6" i="9" s="1"/>
  <c r="H85" i="9"/>
  <c r="W6" i="9" s="1" a="1"/>
  <c r="W6" i="9" s="1"/>
  <c r="L55" i="9"/>
  <c r="B17" i="9"/>
  <c r="J67" i="9" a="1"/>
  <c r="J67" i="9" s="1"/>
  <c r="H100" i="9"/>
  <c r="W21" i="9" s="1" a="1"/>
  <c r="W21" i="9" s="1"/>
  <c r="C97" i="9"/>
  <c r="R18" i="9" s="1" a="1"/>
  <c r="R18" i="9" s="1"/>
  <c r="G64" i="9" a="1"/>
  <c r="G64" i="9" s="1"/>
  <c r="W25" i="9" a="1"/>
  <c r="W25" i="9" s="1"/>
  <c r="I86" i="9"/>
  <c r="X7" i="9" s="1" a="1"/>
  <c r="X7" i="9" s="1"/>
  <c r="G86" i="9"/>
  <c r="V27" i="9" a="1"/>
  <c r="V27" i="9" s="1"/>
  <c r="J89" i="9"/>
  <c r="Y10" i="9" s="1" a="1"/>
  <c r="Y10" i="9" s="1"/>
  <c r="B15" i="9"/>
  <c r="C96" i="9"/>
  <c r="R17" i="9" s="1" a="1"/>
  <c r="R17" i="9" s="1"/>
  <c r="U26" i="9" a="1"/>
  <c r="U26" i="9" s="1"/>
  <c r="J86" i="9"/>
  <c r="Y7" i="9" s="1" a="1"/>
  <c r="Y7" i="9" s="1"/>
  <c r="G87" i="9"/>
  <c r="V8" i="9" s="1" a="1"/>
  <c r="V8" i="9" s="1"/>
  <c r="L87" i="9"/>
  <c r="AA8" i="9" s="1"/>
  <c r="B5" i="20" s="1"/>
  <c r="L103" i="9"/>
  <c r="AA24" i="9" s="1"/>
  <c r="B21" i="20" s="1"/>
  <c r="L89" i="9"/>
  <c r="AA10" i="9" s="1"/>
  <c r="B7" i="20" s="1"/>
  <c r="L52" i="9"/>
  <c r="U27" i="9" a="1"/>
  <c r="U27" i="9" s="1"/>
  <c r="S25" i="9" a="1"/>
  <c r="S25" i="9" s="1"/>
  <c r="R26" i="9" a="1"/>
  <c r="R26" i="9" s="1"/>
  <c r="C87" i="9"/>
  <c r="R8" i="9" s="1" a="1"/>
  <c r="R8" i="9" s="1"/>
  <c r="E88" i="9"/>
  <c r="T9" i="9" s="1" a="1"/>
  <c r="T9" i="9" s="1"/>
  <c r="G58" i="9" a="1"/>
  <c r="G58" i="9" s="1"/>
  <c r="L61" i="9"/>
  <c r="J96" i="9"/>
  <c r="Y17" i="9" s="1" a="1"/>
  <c r="Y17" i="9" s="1"/>
  <c r="D99" i="9"/>
  <c r="S20" i="9" s="1" a="1"/>
  <c r="S20" i="9" s="1"/>
  <c r="J68" i="9" a="1"/>
  <c r="J68" i="9" s="1"/>
  <c r="B10" i="9"/>
  <c r="G63" i="9" a="1"/>
  <c r="G63" i="9" s="1"/>
  <c r="C91" i="9"/>
  <c r="R12" i="9" s="1" a="1"/>
  <c r="R12" i="9" s="1"/>
  <c r="C90" i="9"/>
  <c r="R11" i="9" s="1" a="1"/>
  <c r="R11" i="9" s="1"/>
  <c r="G85" i="9"/>
  <c r="B5" i="9"/>
  <c r="L68" i="9"/>
  <c r="J50" i="9" a="1"/>
  <c r="J50" i="9" s="1"/>
  <c r="H101" i="9"/>
  <c r="W22" i="9" s="1" a="1"/>
  <c r="W22" i="9" s="1"/>
  <c r="C99" i="9"/>
  <c r="R20" i="9" s="1" a="1"/>
  <c r="R20" i="9" s="1"/>
  <c r="D103" i="9"/>
  <c r="S24" i="9" s="1" a="1"/>
  <c r="S24" i="9" s="1"/>
  <c r="E90" i="9"/>
  <c r="T11" i="9" s="1" a="1"/>
  <c r="T11" i="9" s="1"/>
  <c r="G94" i="9"/>
  <c r="V15" i="9" s="1" a="1"/>
  <c r="V15" i="9" s="1"/>
  <c r="B16" i="9"/>
  <c r="E16" i="9" s="1"/>
  <c r="I103" i="9"/>
  <c r="X24" i="9" s="1" a="1"/>
  <c r="X24" i="9" s="1"/>
  <c r="L93" i="9"/>
  <c r="AA14" i="9" s="1"/>
  <c r="B11" i="20" s="1"/>
  <c r="V6" i="9" a="1"/>
  <c r="V6" i="9" s="1"/>
  <c r="H69" i="9" a="1"/>
  <c r="H69" i="9" s="1"/>
  <c r="L101" i="9"/>
  <c r="AA22" i="9" s="1"/>
  <c r="B19" i="20" s="1"/>
  <c r="H70" i="9" a="1"/>
  <c r="H70" i="9" s="1"/>
  <c r="E86" i="9"/>
  <c r="T7" i="9" s="1" a="1"/>
  <c r="T7" i="9" s="1"/>
  <c r="I58" i="9" a="1"/>
  <c r="I58" i="9" s="1"/>
  <c r="H94" i="9"/>
  <c r="W15" i="9" s="1" a="1"/>
  <c r="W15" i="9" s="1"/>
  <c r="D102" i="9"/>
  <c r="S23" i="9" s="1" a="1"/>
  <c r="S23" i="9" s="1"/>
  <c r="D100" i="9"/>
  <c r="S21" i="9" s="1" a="1"/>
  <c r="S21" i="9" s="1"/>
  <c r="J56" i="9" a="1"/>
  <c r="J56" i="9" s="1"/>
  <c r="C104" i="9"/>
  <c r="R25" i="9" s="1" a="1"/>
  <c r="R25" i="9" s="1"/>
  <c r="X25" i="9" a="1"/>
  <c r="X25" i="9" s="1"/>
  <c r="D101" i="9"/>
  <c r="S22" i="9" s="1" a="1"/>
  <c r="S22" i="9" s="1"/>
  <c r="J53" i="9" a="1"/>
  <c r="J53" i="9" s="1"/>
  <c r="B9" i="9"/>
  <c r="H71" i="9" a="1"/>
  <c r="H71" i="9" s="1"/>
  <c r="J71" i="9" a="1"/>
  <c r="J71" i="9" s="1"/>
  <c r="H53" i="9" a="1"/>
  <c r="H53" i="9" s="1"/>
  <c r="H90" i="9"/>
  <c r="W11" i="9" s="1" a="1"/>
  <c r="W11" i="9" s="1"/>
  <c r="I91" i="9"/>
  <c r="X12" i="9" s="1" a="1"/>
  <c r="X12" i="9" s="1"/>
  <c r="I102" i="9"/>
  <c r="X23" i="9" s="1" a="1"/>
  <c r="X23" i="9" s="1"/>
  <c r="F98" i="9"/>
  <c r="U19" i="9" s="1" a="1"/>
  <c r="U19" i="9" s="1"/>
  <c r="I68" i="9" a="1"/>
  <c r="I68" i="9" s="1"/>
  <c r="H98" i="9"/>
  <c r="W19" i="9" s="1" a="1"/>
  <c r="W19" i="9" s="1"/>
  <c r="E94" i="9"/>
  <c r="T15" i="9" s="1" a="1"/>
  <c r="T15" i="9" s="1"/>
  <c r="J100" i="9"/>
  <c r="Y21" i="9" s="1" a="1"/>
  <c r="Y21" i="9" s="1"/>
  <c r="B14" i="9"/>
  <c r="C100" i="9"/>
  <c r="R21" i="9" s="1" a="1"/>
  <c r="R21" i="9" s="1"/>
  <c r="C94" i="9"/>
  <c r="R15" i="9" s="1" a="1"/>
  <c r="R15" i="9" s="1"/>
  <c r="L65" i="9"/>
  <c r="F103" i="9"/>
  <c r="U24" i="9" s="1" a="1"/>
  <c r="U24" i="9" s="1"/>
  <c r="G97" i="9"/>
  <c r="V18" i="9" s="1" a="1"/>
  <c r="V18" i="9" s="1"/>
  <c r="G96" i="9"/>
  <c r="V17" i="9" s="1" a="1"/>
  <c r="V17" i="9" s="1"/>
  <c r="F86" i="9"/>
  <c r="U7" i="9" s="1" a="1"/>
  <c r="U7" i="9" s="1"/>
  <c r="E101" i="9"/>
  <c r="T22" i="9" s="1" a="1"/>
  <c r="T22" i="9" s="1"/>
  <c r="D93" i="9"/>
  <c r="S14" i="9" s="1" a="1"/>
  <c r="S14" i="9" s="1"/>
  <c r="L59" i="9"/>
  <c r="F89" i="9"/>
  <c r="U10" i="9" s="1" a="1"/>
  <c r="U10" i="9" s="1"/>
  <c r="E89" i="9"/>
  <c r="T10" i="9" s="1" a="1"/>
  <c r="T10" i="9" s="1"/>
  <c r="L67" i="9"/>
  <c r="J52" i="9" a="1"/>
  <c r="J52" i="9" s="1"/>
  <c r="E98" i="9"/>
  <c r="T19" i="9" s="1" a="1"/>
  <c r="T19" i="9" s="1"/>
  <c r="J92" i="9"/>
  <c r="Y13" i="9" s="1" a="1"/>
  <c r="Y13" i="9" s="1"/>
  <c r="J66" i="9" a="1"/>
  <c r="J66" i="9" s="1"/>
  <c r="G88" i="9"/>
  <c r="V9" i="9" s="1" a="1"/>
  <c r="V9" i="9" s="1"/>
  <c r="L62" i="9"/>
  <c r="H66" i="9" a="1"/>
  <c r="H66" i="9" s="1"/>
  <c r="L88" i="9"/>
  <c r="AA9" i="9" s="1"/>
  <c r="B6" i="20" s="1"/>
  <c r="L98" i="9"/>
  <c r="AA19" i="9" s="1"/>
  <c r="B16" i="20" s="1"/>
  <c r="I57" i="9" a="1"/>
  <c r="I57" i="9" s="1"/>
  <c r="G57" i="9" a="1"/>
  <c r="G57" i="9" s="1"/>
  <c r="I99" i="9"/>
  <c r="X20" i="9" s="1" a="1"/>
  <c r="X20" i="9" s="1"/>
  <c r="I96" i="9"/>
  <c r="X17" i="9" s="1" a="1"/>
  <c r="X17" i="9" s="1"/>
  <c r="I56" i="9" a="1"/>
  <c r="I56" i="9" s="1"/>
  <c r="H52" i="9" a="1"/>
  <c r="H52" i="9" s="1"/>
  <c r="L53" i="9"/>
  <c r="L94" i="9"/>
  <c r="AA15" i="9" s="1"/>
  <c r="B12" i="20" s="1"/>
  <c r="T27" i="9" a="1"/>
  <c r="T27" i="9" s="1"/>
  <c r="G62" i="9" a="1"/>
  <c r="G62" i="9" s="1"/>
  <c r="Z29" i="9"/>
  <c r="AB29" i="9" s="1"/>
  <c r="C26" i="20" s="1"/>
  <c r="G50" i="9" a="1"/>
  <c r="G50" i="9" s="1"/>
  <c r="L100" i="9"/>
  <c r="AA21" i="9" s="1"/>
  <c r="B18" i="20" s="1"/>
  <c r="W27" i="9" a="1"/>
  <c r="W27" i="9" s="1"/>
  <c r="F99" i="9"/>
  <c r="U20" i="9" s="1" a="1"/>
  <c r="U20" i="9" s="1"/>
  <c r="F97" i="9"/>
  <c r="U18" i="9" s="1" a="1"/>
  <c r="U18" i="9" s="1"/>
  <c r="F87" i="9"/>
  <c r="U8" i="9" s="1" a="1"/>
  <c r="U8" i="9" s="1"/>
  <c r="B4" i="9"/>
  <c r="F93" i="9"/>
  <c r="U14" i="9" s="1" a="1"/>
  <c r="U14" i="9" s="1"/>
  <c r="J65" i="9" a="1"/>
  <c r="J65" i="9" s="1"/>
  <c r="L86" i="9"/>
  <c r="AA7" i="9" s="1"/>
  <c r="D92" i="9"/>
  <c r="S13" i="9" s="1" a="1"/>
  <c r="S13" i="9" s="1"/>
  <c r="J55" i="9" a="1"/>
  <c r="J55" i="9" s="1"/>
  <c r="J99" i="9"/>
  <c r="Y20" i="9" s="1" a="1"/>
  <c r="Y20" i="9" s="1"/>
  <c r="J88" i="9"/>
  <c r="Y9" i="9" s="1" a="1"/>
  <c r="Y9" i="9" s="1"/>
  <c r="E6" i="9"/>
  <c r="J63" i="9" a="1"/>
  <c r="J63" i="9" s="1"/>
  <c r="J64" i="9" a="1"/>
  <c r="J64" i="9" s="1"/>
  <c r="I54" i="9" a="1"/>
  <c r="I54" i="9" s="1"/>
  <c r="E102" i="9"/>
  <c r="T23" i="9" s="1" a="1"/>
  <c r="T23" i="9" s="1"/>
  <c r="E93" i="9"/>
  <c r="T14" i="9" s="1" a="1"/>
  <c r="T14" i="9" s="1"/>
  <c r="C103" i="9"/>
  <c r="R24" i="9" s="1" a="1"/>
  <c r="R24" i="9" s="1"/>
  <c r="E97" i="9"/>
  <c r="T18" i="9" s="1" a="1"/>
  <c r="T18" i="9" s="1"/>
  <c r="D87" i="9"/>
  <c r="S8" i="9" s="1" a="1"/>
  <c r="S8" i="9" s="1"/>
  <c r="H67" i="9" a="1"/>
  <c r="H67" i="9" s="1"/>
  <c r="V26" i="9" a="1"/>
  <c r="V26" i="9" s="1"/>
  <c r="L99" i="9"/>
  <c r="AA20" i="9" s="1"/>
  <c r="B17" i="20" s="1"/>
  <c r="I100" i="9"/>
  <c r="X21" i="9" s="1" a="1"/>
  <c r="X21" i="9" s="1"/>
  <c r="E100" i="9"/>
  <c r="T21" i="9" s="1" a="1"/>
  <c r="T21" i="9" s="1"/>
  <c r="J58" i="9" a="1"/>
  <c r="J58" i="9" s="1"/>
  <c r="I92" i="9"/>
  <c r="X13" i="9" s="1" a="1"/>
  <c r="X13" i="9" s="1"/>
  <c r="F95" i="9"/>
  <c r="U16" i="9" s="1" a="1"/>
  <c r="U16" i="9" s="1"/>
  <c r="F102" i="9"/>
  <c r="U23" i="9" s="1" a="1"/>
  <c r="U23" i="9" s="1"/>
  <c r="F94" i="9"/>
  <c r="U15" i="9" s="1" a="1"/>
  <c r="U15" i="9" s="1"/>
  <c r="J102" i="9"/>
  <c r="Y23" i="9" s="1" a="1"/>
  <c r="Y23" i="9" s="1"/>
  <c r="I94" i="9"/>
  <c r="X15" i="9" s="1" a="1"/>
  <c r="X15" i="9" s="1"/>
  <c r="I63" i="9" a="1"/>
  <c r="I63" i="9" s="1"/>
  <c r="L95" i="9"/>
  <c r="AA16" i="9" s="1"/>
  <c r="B13" i="20" s="1"/>
  <c r="G53" i="9" a="1"/>
  <c r="G53" i="9" s="1"/>
  <c r="I95" i="9"/>
  <c r="X16" i="9" s="1" a="1"/>
  <c r="X16" i="9" s="1"/>
  <c r="L57" i="9"/>
  <c r="J87" i="9"/>
  <c r="Y8" i="9" s="1" a="1"/>
  <c r="Y8" i="9" s="1"/>
  <c r="J101" i="9"/>
  <c r="Y22" i="9" s="1" a="1"/>
  <c r="Y22" i="9" s="1"/>
  <c r="G89" i="9"/>
  <c r="V10" i="9" s="1" a="1"/>
  <c r="V10" i="9" s="1"/>
  <c r="J91" i="9"/>
  <c r="Y12" i="9" s="1" a="1"/>
  <c r="Y12" i="9" s="1"/>
  <c r="T26" i="9" a="1"/>
  <c r="T26" i="9" s="1"/>
  <c r="L91" i="9"/>
  <c r="AA12" i="9" s="1"/>
  <c r="B9" i="20" s="1"/>
  <c r="J54" i="9" a="1"/>
  <c r="J54" i="9" s="1"/>
  <c r="F100" i="9"/>
  <c r="U21" i="9" s="1" a="1"/>
  <c r="U21" i="9" s="1"/>
  <c r="B11" i="9"/>
  <c r="J93" i="9"/>
  <c r="Y14" i="9" s="1" a="1"/>
  <c r="Y14" i="9" s="1"/>
  <c r="E91" i="9"/>
  <c r="T12" i="9" s="1" a="1"/>
  <c r="T12" i="9" s="1"/>
  <c r="J59" i="9" a="1"/>
  <c r="J59" i="9" s="1"/>
  <c r="J97" i="9"/>
  <c r="Y18" i="9" s="1" a="1"/>
  <c r="Y18" i="9" s="1"/>
  <c r="E95" i="9"/>
  <c r="T16" i="9" s="1" a="1"/>
  <c r="T16" i="9" s="1"/>
  <c r="I97" i="9"/>
  <c r="X18" i="9" s="1" a="1"/>
  <c r="X18" i="9" s="1"/>
  <c r="I89" i="9"/>
  <c r="X10" i="9" s="1" a="1"/>
  <c r="X10" i="9" s="1"/>
  <c r="H89" i="9"/>
  <c r="G65" i="9" a="1"/>
  <c r="G65" i="9" s="1"/>
  <c r="G55" i="9" a="1"/>
  <c r="G55" i="9" s="1"/>
  <c r="H50" i="9" a="1"/>
  <c r="H50" i="9" s="1"/>
  <c r="AA25" i="9"/>
  <c r="B22" i="20" s="1"/>
  <c r="Z34" i="9"/>
  <c r="AB34" i="9" s="1"/>
  <c r="A4" i="21"/>
  <c r="B4" i="21" s="1"/>
  <c r="A17" i="21"/>
  <c r="B17" i="21" s="1"/>
  <c r="A16" i="20"/>
  <c r="G59" i="9" a="1"/>
  <c r="G59" i="9" s="1"/>
  <c r="H51" i="9" a="1"/>
  <c r="H51" i="9" s="1"/>
  <c r="G51" i="9" a="1"/>
  <c r="G51" i="9" s="1"/>
  <c r="V25" i="9" a="1"/>
  <c r="V25" i="9" s="1"/>
  <c r="G69" i="9" a="1"/>
  <c r="G69" i="9" s="1"/>
  <c r="A10" i="21"/>
  <c r="B10" i="21" s="1"/>
  <c r="A6" i="20"/>
  <c r="AA27" i="9"/>
  <c r="B24" i="20" s="1"/>
  <c r="K76" i="9"/>
  <c r="M76" i="9" s="1"/>
  <c r="A10" i="20"/>
  <c r="A8" i="21"/>
  <c r="B8" i="21" s="1"/>
  <c r="A14" i="20"/>
  <c r="I71" i="9" a="1"/>
  <c r="I71" i="9" s="1"/>
  <c r="L71" i="9"/>
  <c r="A5" i="21"/>
  <c r="B5" i="21" s="1"/>
  <c r="A15" i="20"/>
  <c r="A14" i="21"/>
  <c r="B14" i="21" s="1"/>
  <c r="A18" i="20"/>
  <c r="A4" i="20"/>
  <c r="I70" i="9" a="1"/>
  <c r="I70" i="9" s="1"/>
  <c r="L70" i="9"/>
  <c r="A11" i="20"/>
  <c r="A7" i="20"/>
  <c r="A21" i="21"/>
  <c r="B21" i="21" s="1"/>
  <c r="Z35" i="9"/>
  <c r="AB35" i="9" s="1"/>
  <c r="K78" i="9"/>
  <c r="M78" i="9" s="1"/>
  <c r="A13" i="20"/>
  <c r="A15" i="21"/>
  <c r="B15" i="21" s="1"/>
  <c r="A23" i="20"/>
  <c r="A19" i="20"/>
  <c r="A11" i="21"/>
  <c r="B11" i="21" s="1"/>
  <c r="A9" i="21"/>
  <c r="B9" i="21" s="1"/>
  <c r="A19" i="21"/>
  <c r="B19" i="21" s="1"/>
  <c r="AA26" i="9"/>
  <c r="B23" i="20" s="1"/>
  <c r="A12" i="21"/>
  <c r="B12" i="21" s="1"/>
  <c r="A20" i="21"/>
  <c r="B20" i="21" s="1"/>
  <c r="A7" i="21"/>
  <c r="B7" i="21" s="1"/>
  <c r="J70" i="9" a="1"/>
  <c r="J70" i="9" s="1"/>
  <c r="A8" i="20"/>
  <c r="A3" i="20"/>
  <c r="AA11" i="9"/>
  <c r="B8" i="20" s="1"/>
  <c r="A21" i="20"/>
  <c r="A9" i="20"/>
  <c r="A3" i="21"/>
  <c r="B3" i="21" s="1"/>
  <c r="A6" i="21"/>
  <c r="B6" i="21" s="1"/>
  <c r="F14" i="15"/>
  <c r="K6" i="6"/>
  <c r="C4" i="8" s="1"/>
  <c r="I28" i="6"/>
  <c r="G28" i="6"/>
  <c r="D194" i="17"/>
  <c r="K5" i="17" s="1"/>
  <c r="K6" i="17" s="1"/>
  <c r="G56" i="9" a="1"/>
  <c r="G56" i="9" s="1"/>
  <c r="I149" i="1" a="1"/>
  <c r="I149" i="1" s="1"/>
  <c r="N5" i="17"/>
  <c r="N7" i="17" s="1"/>
  <c r="P7" i="17" s="1"/>
  <c r="V11" i="9" a="1"/>
  <c r="V11" i="9" s="1"/>
  <c r="H65" i="9" a="1"/>
  <c r="H65" i="9" s="1"/>
  <c r="W17" i="9" a="1"/>
  <c r="W17" i="9" s="1"/>
  <c r="G49" i="9" a="1"/>
  <c r="G49" i="9" s="1"/>
  <c r="G67" i="9" a="1"/>
  <c r="G67" i="9" s="1"/>
  <c r="K75" i="9"/>
  <c r="M75" i="9" s="1"/>
  <c r="H60" i="9" a="1"/>
  <c r="H60" i="9" s="1"/>
  <c r="G70" i="9" a="1"/>
  <c r="G70" i="9" s="1"/>
  <c r="H68" i="9" a="1"/>
  <c r="H68" i="9" s="1"/>
  <c r="K149" i="1"/>
  <c r="K74" i="9"/>
  <c r="M74" i="9" s="1"/>
  <c r="G54" i="9" a="1"/>
  <c r="G54" i="9" s="1"/>
  <c r="W24" i="9" a="1"/>
  <c r="W24" i="9" s="1"/>
  <c r="V13" i="9" a="1"/>
  <c r="V13" i="9" s="1"/>
  <c r="Z30" i="9"/>
  <c r="AB30" i="9" s="1"/>
  <c r="C27" i="20" s="1"/>
  <c r="K73" i="9"/>
  <c r="M73" i="9" s="1"/>
  <c r="J149" i="1" a="1"/>
  <c r="J149" i="1" s="1"/>
  <c r="G60" i="9" a="1"/>
  <c r="G60" i="9" s="1"/>
  <c r="H28" i="6"/>
  <c r="G14" i="15"/>
  <c r="E38" i="18"/>
  <c r="I37" i="12"/>
  <c r="H14" i="7"/>
  <c r="D38" i="18"/>
  <c r="C11" i="8" s="1"/>
  <c r="J37" i="14"/>
  <c r="C12" i="8" s="1"/>
  <c r="D37" i="14"/>
  <c r="C10" i="8" s="1"/>
  <c r="C43" i="12"/>
  <c r="H14" i="15"/>
  <c r="D2" i="2"/>
  <c r="E7" i="9" l="1" a="1"/>
  <c r="E7" i="9" s="1"/>
  <c r="E13" i="9"/>
  <c r="AB28" i="9"/>
  <c r="C25" i="20" s="1"/>
  <c r="E3" i="9"/>
  <c r="H112" i="1"/>
  <c r="H116" i="1"/>
  <c r="K72" i="9"/>
  <c r="M72" i="9" s="1"/>
  <c r="Z14" i="9"/>
  <c r="A2" i="20"/>
  <c r="C8" i="9"/>
  <c r="E84" i="9"/>
  <c r="T5" i="9" s="1" a="1"/>
  <c r="T5" i="9" s="1"/>
  <c r="D12" i="19" s="1" a="1"/>
  <c r="D12" i="19" s="1"/>
  <c r="I84" i="9"/>
  <c r="X5" i="9" s="1" a="1"/>
  <c r="X5" i="9" s="1"/>
  <c r="L49" i="9"/>
  <c r="H49" i="9" a="1"/>
  <c r="H49" i="9" s="1"/>
  <c r="F84" i="9"/>
  <c r="U5" i="9" s="1" a="1"/>
  <c r="U5" i="9" s="1"/>
  <c r="D14" i="19" s="1" a="1"/>
  <c r="D14" i="19" s="1"/>
  <c r="C12" i="19" a="1"/>
  <c r="C12" i="19" s="1"/>
  <c r="D84" i="9"/>
  <c r="S5" i="9" s="1" a="1"/>
  <c r="S5" i="9" s="1"/>
  <c r="D10" i="19" s="1" a="1"/>
  <c r="D10" i="19" s="1"/>
  <c r="K61" i="9"/>
  <c r="M61" i="9" s="1"/>
  <c r="B2" i="9"/>
  <c r="E2" i="9" s="1"/>
  <c r="F49" i="9" a="1"/>
  <c r="F49" i="9" s="1"/>
  <c r="C14" i="19" a="1"/>
  <c r="C14" i="19" s="1"/>
  <c r="E49" i="9" a="1"/>
  <c r="E49" i="9" s="1"/>
  <c r="E18" i="9"/>
  <c r="I49" i="9" a="1"/>
  <c r="I49" i="9" s="1"/>
  <c r="D49" i="9" a="1"/>
  <c r="D49" i="9" s="1"/>
  <c r="L84" i="9"/>
  <c r="AA5" i="9" s="1"/>
  <c r="B2" i="20" s="1"/>
  <c r="J49" i="9" a="1"/>
  <c r="J49" i="9" s="1"/>
  <c r="H84" i="9"/>
  <c r="W5" i="9" s="1" a="1"/>
  <c r="W5" i="9" s="1"/>
  <c r="H133" i="1"/>
  <c r="H134" i="1"/>
  <c r="K101" i="9"/>
  <c r="M101" i="9" s="1"/>
  <c r="K86" i="9"/>
  <c r="M86" i="9" s="1"/>
  <c r="C16" i="9"/>
  <c r="K99" i="9"/>
  <c r="M99" i="9" s="1"/>
  <c r="Z24" i="9"/>
  <c r="AB24" i="9" s="1"/>
  <c r="C21" i="20" s="1"/>
  <c r="K97" i="9"/>
  <c r="M97" i="9" s="1"/>
  <c r="V7" i="9" a="1"/>
  <c r="V7" i="9" s="1"/>
  <c r="Z7" i="9" s="1"/>
  <c r="AB7" i="9" s="1"/>
  <c r="C4" i="20" s="1"/>
  <c r="K91" i="9"/>
  <c r="M91" i="9" s="1"/>
  <c r="C49" i="9" a="1"/>
  <c r="C49" i="9" s="1"/>
  <c r="J84" i="9"/>
  <c r="Y5" i="9" s="1" a="1"/>
  <c r="Y5" i="9" s="1"/>
  <c r="G84" i="9"/>
  <c r="V5" i="9" s="1" a="1"/>
  <c r="V5" i="9" s="1"/>
  <c r="K90" i="9"/>
  <c r="M90" i="9" s="1"/>
  <c r="C2" i="9"/>
  <c r="K85" i="9"/>
  <c r="M85" i="9" s="1"/>
  <c r="K69" i="9"/>
  <c r="M69" i="9" s="1"/>
  <c r="K67" i="9"/>
  <c r="M67" i="9" s="1"/>
  <c r="V12" i="9" a="1"/>
  <c r="V12" i="9" s="1"/>
  <c r="Z12" i="9" s="1"/>
  <c r="AB12" i="9" s="1"/>
  <c r="C9" i="20" s="1"/>
  <c r="K103" i="9"/>
  <c r="M103" i="9" s="1"/>
  <c r="D8" i="19" a="1"/>
  <c r="D8" i="19" s="1"/>
  <c r="AB14" i="9"/>
  <c r="C11" i="20" s="1"/>
  <c r="K95" i="9"/>
  <c r="M95" i="9" s="1"/>
  <c r="K94" i="9"/>
  <c r="M94" i="9" s="1"/>
  <c r="K89" i="9"/>
  <c r="M89" i="9" s="1"/>
  <c r="Z27" i="9"/>
  <c r="AB27" i="9" s="1"/>
  <c r="C24" i="20" s="1"/>
  <c r="K66" i="9"/>
  <c r="M66" i="9" s="1"/>
  <c r="Z20" i="9"/>
  <c r="AB20" i="9" s="1"/>
  <c r="C17" i="20" s="1"/>
  <c r="K52" i="9"/>
  <c r="M52" i="9" s="1"/>
  <c r="K57" i="9"/>
  <c r="M57" i="9" s="1"/>
  <c r="Z15" i="9"/>
  <c r="AB15" i="9" s="1"/>
  <c r="C12" i="20" s="1"/>
  <c r="Z22" i="9"/>
  <c r="AB22" i="9" s="1"/>
  <c r="C19" i="20" s="1"/>
  <c r="Z26" i="9"/>
  <c r="AB26" i="9" s="1"/>
  <c r="C23" i="20" s="1"/>
  <c r="K64" i="9"/>
  <c r="M64" i="9" s="1"/>
  <c r="K53" i="9"/>
  <c r="M53" i="9" s="1"/>
  <c r="Z21" i="9"/>
  <c r="AB21" i="9" s="1"/>
  <c r="C18" i="20" s="1"/>
  <c r="Z9" i="9"/>
  <c r="AB9" i="9" s="1"/>
  <c r="C6" i="20" s="1"/>
  <c r="Z11" i="9"/>
  <c r="AB11" i="9" s="1"/>
  <c r="C8" i="20" s="1"/>
  <c r="K62" i="9"/>
  <c r="M62" i="9" s="1"/>
  <c r="K63" i="9"/>
  <c r="M63" i="9" s="1"/>
  <c r="K71" i="9"/>
  <c r="M71" i="9" s="1"/>
  <c r="Z8" i="9"/>
  <c r="AB8" i="9" s="1"/>
  <c r="C5" i="20" s="1"/>
  <c r="Z6" i="9"/>
  <c r="AB6" i="9" s="1"/>
  <c r="C3" i="20" s="1"/>
  <c r="K51" i="9"/>
  <c r="M51" i="9" s="1"/>
  <c r="Z18" i="9"/>
  <c r="AB18" i="9" s="1"/>
  <c r="C15" i="20" s="1"/>
  <c r="K58" i="9"/>
  <c r="M58" i="9" s="1"/>
  <c r="K50" i="9"/>
  <c r="M50" i="9" s="1"/>
  <c r="K60" i="9"/>
  <c r="M60" i="9" s="1"/>
  <c r="K55" i="9"/>
  <c r="M55" i="9" s="1"/>
  <c r="C9" i="9"/>
  <c r="E9" i="9"/>
  <c r="K96" i="9"/>
  <c r="M96" i="9" s="1"/>
  <c r="V16" i="9" a="1"/>
  <c r="V16" i="9" s="1"/>
  <c r="Z16" i="9" s="1"/>
  <c r="AB16" i="9" s="1"/>
  <c r="C13" i="20" s="1"/>
  <c r="C5" i="9"/>
  <c r="E5" i="9"/>
  <c r="K56" i="9"/>
  <c r="M56" i="9" s="1"/>
  <c r="Z17" i="9"/>
  <c r="AB17" i="9" s="1"/>
  <c r="C14" i="20" s="1"/>
  <c r="K59" i="9"/>
  <c r="M59" i="9" s="1"/>
  <c r="C11" i="9"/>
  <c r="E11" i="9"/>
  <c r="K68" i="9"/>
  <c r="M68" i="9" s="1"/>
  <c r="K88" i="9"/>
  <c r="M88" i="9" s="1"/>
  <c r="K100" i="9"/>
  <c r="M100" i="9" s="1"/>
  <c r="K98" i="9"/>
  <c r="M98" i="9" s="1"/>
  <c r="X19" i="9" a="1"/>
  <c r="X19" i="9" s="1"/>
  <c r="Z19" i="9" s="1"/>
  <c r="AB19" i="9" s="1"/>
  <c r="C16" i="20" s="1"/>
  <c r="K54" i="9"/>
  <c r="M54" i="9" s="1"/>
  <c r="W10" i="9" a="1"/>
  <c r="W10" i="9" s="1"/>
  <c r="Z10" i="9" s="1"/>
  <c r="AB10" i="9" s="1"/>
  <c r="C7" i="20" s="1"/>
  <c r="K93" i="9"/>
  <c r="M93" i="9" s="1"/>
  <c r="C15" i="9"/>
  <c r="E15" i="9"/>
  <c r="E17" i="9"/>
  <c r="C17" i="9"/>
  <c r="E4" i="9"/>
  <c r="C4" i="9"/>
  <c r="K102" i="9"/>
  <c r="M102" i="9" s="1"/>
  <c r="E14" i="9"/>
  <c r="C14" i="9"/>
  <c r="E10" i="9"/>
  <c r="C10" i="9"/>
  <c r="K92" i="9"/>
  <c r="M92" i="9" s="1"/>
  <c r="Z25" i="9"/>
  <c r="AB25" i="9" s="1"/>
  <c r="C22" i="20" s="1"/>
  <c r="C12" i="9"/>
  <c r="E12" i="9"/>
  <c r="K65" i="9"/>
  <c r="M65" i="9" s="1"/>
  <c r="Z13" i="9"/>
  <c r="AB13" i="9" s="1"/>
  <c r="C10" i="20" s="1"/>
  <c r="K87" i="9"/>
  <c r="M87" i="9" s="1"/>
  <c r="K70" i="9"/>
  <c r="M70" i="9" s="1"/>
  <c r="B4" i="20"/>
  <c r="Z23" i="9"/>
  <c r="AB23" i="9" s="1"/>
  <c r="C20" i="20" s="1"/>
  <c r="F194" i="17"/>
  <c r="C19" i="10"/>
  <c r="C14" i="8"/>
  <c r="C4" i="10" s="1"/>
  <c r="F38" i="18"/>
  <c r="E12" i="19" l="1"/>
  <c r="E18" i="19" a="1"/>
  <c r="E18" i="19" s="1"/>
  <c r="K49" i="9"/>
  <c r="C23" i="9" s="1"/>
  <c r="C3" i="10" s="1"/>
  <c r="C11" i="10" s="1"/>
  <c r="C13" i="10" s="1"/>
  <c r="E14" i="19"/>
  <c r="Z5" i="9"/>
  <c r="AB5" i="9" s="1"/>
  <c r="C2" i="20" s="1"/>
  <c r="K84" i="9"/>
  <c r="M84" i="9" s="1"/>
  <c r="C21" i="9"/>
  <c r="E20" i="19" a="1"/>
  <c r="E20" i="19" s="1"/>
  <c r="M49" i="9"/>
  <c r="C15" i="10"/>
  <c r="C17" i="10" s="1"/>
  <c r="E16" i="19" l="1"/>
  <c r="C5" i="10"/>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<sst xmlns="http://schemas.openxmlformats.org/spreadsheetml/2006/main" count="1422" uniqueCount="320">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</sst>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0" fontId="0" fillId="0" borderId="0" xfId="0" applyNumberFormat="1"/>
  </cellXfs>
  <cellStyles count="2">
    <cellStyle name="Comma" xfId="1" builtinId="3"/>
    <cellStyle name="Normal" xfId="0" builtinId="0"/>
  </cellStyles>
  <dxfs count="164">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98464</xdr:rowOff>
    </xdr:from>
    <xdr:to>
      <xdr:col>10</xdr:col>
      <xdr:colOff>923422</xdr:colOff>
      <xdr:row>40</xdr:row>
      <xdr:rowOff>135035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-533515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5902777" createdVersion="8" refreshedVersion="8" minRefreshableVersion="3" recordCount="150" xr:uid="{46CBB50D-3613-4E5B-8212-DD0313DCD05A}">
  <cacheSource type="worksheet">
    <worksheetSource name="Table1"/>
  </cacheSource>
  <cacheFields count="14">
    <cacheField name="Date" numFmtId="0">
      <sharedItems containsNonDate="0" containsDate="1" containsString="0" containsBlank="1" minDate="2025-11-18T00:00:00" maxDate="2025-11-30T00:00:00"/>
    </cacheField>
    <cacheField name="Party Name" numFmtId="0">
      <sharedItems containsBlank="1" count="30">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m/>
        <s v="YING" u="1"/>
        <s v="Meow" u="1"/>
        <s v="Umer Sb" u="1"/>
        <s v="-" u="1"/>
        <s v="Sajjad" u="1"/>
        <s v="Haji Ejaz" u="1"/>
      </sharedItems>
    </cacheField>
    <cacheField name="Bill Number" numFmtId="0">
      <sharedItems containsMixedTypes="1" containsNumber="1" containsInteger="1" minValue="1091" maxValue="1160"/>
    </cacheField>
    <cacheField name="Quality" numFmtId="0">
      <sharedItems containsBlank="1"/>
    </cacheField>
    <cacheField name="Shipment Number" numFmtId="164">
      <sharedItems containsBlank="1" containsMixedTypes="1" containsNumber="1" containsInteger="1" minValue="1558" maxValue="17000" count="286">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6597223"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1-18T00:00:00" maxDate="2025-11-26T00:00:00"/>
    </cacheField>
    <cacheField name="Party Name" numFmtId="14">
      <sharedItems containsBlank="1" count="7">
        <s v="Finish"/>
        <s v="Faysal Akraam"/>
        <s v="AS Traders"/>
        <s v="Abid ghafoor"/>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6828701" createdVersion="8" refreshedVersion="8" minRefreshableVersion="3" recordCount="26" xr:uid="{3E5C2981-ACF5-44A9-8567-B1D65DB3A8D2}">
  <cacheSource type="worksheet">
    <worksheetSource name="Table3"/>
  </cacheSource>
  <cacheFields count="9">
    <cacheField name="Date" numFmtId="14">
      <sharedItems containsNonDate="0" containsDate="1" containsString="0" containsBlank="1" minDate="2025-05-02T00:00:00" maxDate="2025-11-30T00:00:00" count="119">
        <d v="2025-10-17T00:00:00"/>
        <d v="2025-11-18T00:00:00"/>
        <d v="2025-11-19T00:00:00"/>
        <d v="2025-11-20T00:00:00"/>
        <d v="2025-11-21T00:00:00"/>
        <d v="2025-11-23T00:00:00"/>
        <d v="2025-11-24T00:00:00"/>
        <d v="2025-11-25T00:00:00"/>
        <d v="2025-11-26T00:00:00"/>
        <d v="2025-11-27T00:00:00"/>
        <d v="2025-11-28T00:00:00"/>
        <d v="2025-11-29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060185"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1-30T00:00:00" count="43">
        <d v="2025-10-17T00:00:00"/>
        <d v="2025-11-18T00:00:00"/>
        <d v="2025-11-20T00:00:00"/>
        <d v="2025-11-22T00:00:00"/>
        <d v="2025-11-25T00:00:00"/>
        <d v="2025-11-26T00:00:00"/>
        <d v="2025-11-27T00:00:00"/>
        <d v="2025-11-29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3150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40740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61082.662765179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638886" createdVersion="8" refreshedVersion="8" minRefreshableVersion="3" recordCount="192" xr:uid="{B5BDFB73-D93A-4A7A-8149-666BC190B09B}">
  <cacheSource type="worksheet">
    <worksheetSource name="Table14"/>
  </cacheSource>
  <cacheFields count="7">
    <cacheField name="Date" numFmtId="14">
      <sharedItems containsSemiMixedTypes="0" containsNonDate="0" containsDate="1" containsString="0" minDate="2025-10-17T00:00:00" maxDate="2025-11-30T00:00:00"/>
    </cacheField>
    <cacheField name="Party" numFmtId="0">
      <sharedItems containsBlank="1" count="68">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49.639505090684388"/>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49.639505090684388"/>
    <n v="6058.8880760790053"/>
    <n v="78765.544989027068"/>
    <m/>
  </r>
  <r>
    <d v="2025-11-20T00:00:00"/>
    <x v="0"/>
    <n v="1110"/>
    <s v="Silky"/>
    <x v="13"/>
    <n v="10009"/>
    <n v="1806"/>
    <n v="83.500584660345552"/>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82.18167098828556"/>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79241"/>
    <n v="8597"/>
    <n v="82.18167098828556"/>
    <n v="7861.1923920994886"/>
    <n v="78611.923920994886"/>
    <m/>
  </r>
  <r>
    <d v="2025-11-25T00:00:00"/>
    <x v="2"/>
    <n v="1132"/>
    <s v="Chamki"/>
    <x v="27"/>
    <n v="62248"/>
    <n v="38493"/>
    <n v="10.032275739292146"/>
    <n v="35198.427212874914"/>
    <n v="351984.27212874917"/>
    <m/>
  </r>
  <r>
    <d v="2025-11-25T00:00:00"/>
    <x v="0"/>
    <n v="1133"/>
    <s v="Chamki"/>
    <x v="28"/>
    <n v="38741"/>
    <n v="9822"/>
    <n v="57.367921231515425"/>
    <n v="8981.3460131675201"/>
    <n v="89813.460131675209"/>
    <m/>
  </r>
  <r>
    <d v="2025-11-25T00:00:00"/>
    <x v="10"/>
    <n v="1134"/>
    <s v="Chamki"/>
    <x v="29"/>
    <n v="21089"/>
    <n v="22527"/>
    <n v="2.3237740855342395"/>
    <n v="20598.939283101685"/>
    <n v="205989.39283101686"/>
    <m/>
  </r>
  <r>
    <d v="2025-11-25T00:00:00"/>
    <x v="0"/>
    <n v="1135"/>
    <s v="Chamki"/>
    <x v="28"/>
    <n v="38741"/>
    <n v="8240"/>
    <n v="57.367921231515425"/>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44.231032620881081"/>
    <n v="4488.844184345282"/>
    <m/>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m/>
    <m/>
    <m/>
  </r>
  <r>
    <d v="2025-11-29T00:00:00"/>
    <x v="16"/>
    <n v="1150"/>
    <s v="Silky"/>
    <x v="35"/>
    <n v="35101"/>
    <n v="4016"/>
    <n v="2.418701163891825"/>
    <m/>
    <m/>
    <m/>
  </r>
  <r>
    <d v="2025-11-29T00:00:00"/>
    <x v="16"/>
    <n v="1151"/>
    <s v="Silky"/>
    <x v="36"/>
    <n v="11699"/>
    <n v="12441"/>
    <n v="2.7593064838446679"/>
    <m/>
    <m/>
    <m/>
  </r>
  <r>
    <d v="2025-11-29T00:00:00"/>
    <x v="16"/>
    <n v="1152"/>
    <s v="Silky"/>
    <x v="37"/>
    <n v="26689"/>
    <n v="25635"/>
    <n v="12.170073656948006"/>
    <m/>
    <m/>
    <m/>
  </r>
  <r>
    <d v="2025-11-29T00:00:00"/>
    <x v="22"/>
    <n v="1153"/>
    <s v="Silky"/>
    <x v="38"/>
    <n v="10441"/>
    <n v="10780"/>
    <s v="NF"/>
    <m/>
    <m/>
    <m/>
  </r>
  <r>
    <d v="2025-11-29T00:00:00"/>
    <x v="22"/>
    <n v="1154"/>
    <s v="Silky"/>
    <x v="39"/>
    <n v="16530"/>
    <n v="17770"/>
    <s v="NF"/>
    <m/>
    <m/>
    <m/>
  </r>
  <r>
    <d v="2025-11-29T00:00:00"/>
    <x v="1"/>
    <n v="1155"/>
    <s v="Silky"/>
    <x v="40"/>
    <n v="20458"/>
    <n v="4931"/>
    <s v="NF"/>
    <m/>
    <m/>
    <m/>
  </r>
  <r>
    <d v="2025-11-29T00:00:00"/>
    <x v="1"/>
    <n v="1156"/>
    <s v="Silky"/>
    <x v="41"/>
    <n v="12051"/>
    <n v="6942"/>
    <s v="NF"/>
    <m/>
    <m/>
    <m/>
  </r>
  <r>
    <d v="2025-11-29T00:00:00"/>
    <x v="23"/>
    <n v="1157"/>
    <m/>
    <x v="0"/>
    <m/>
    <m/>
    <e v="#DIV/0!"/>
    <m/>
    <m/>
    <m/>
  </r>
  <r>
    <d v="2025-11-29T00:00:00"/>
    <x v="23"/>
    <n v="1158"/>
    <m/>
    <x v="0"/>
    <m/>
    <m/>
    <e v="#DIV/0!"/>
    <m/>
    <m/>
    <m/>
  </r>
  <r>
    <d v="2025-11-29T00:00:00"/>
    <x v="23"/>
    <n v="1159"/>
    <m/>
    <x v="0"/>
    <m/>
    <m/>
    <e v="#DIV/0!"/>
    <m/>
    <m/>
    <m/>
  </r>
  <r>
    <m/>
    <x v="23"/>
    <n v="116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m/>
    <x v="4"/>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6"/>
    <x v="1"/>
    <m/>
    <m/>
    <m/>
    <n v="0"/>
    <n v="0"/>
    <n v="0"/>
  </r>
  <r>
    <x v="12"/>
    <x v="6"/>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m/>
    <x v="4"/>
    <n v="0"/>
    <n v="0"/>
    <m/>
  </r>
  <r>
    <x v="8"/>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25750.731528895394"/>
    <n v="10"/>
    <n v="309008.77834674472"/>
  </r>
  <r>
    <x v="2"/>
    <n v="80352.96269202634"/>
    <n v="10"/>
    <n v="852229.33430870529"/>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61680.687637161675"/>
    <m/>
    <n v="711929.40746159479"/>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d v="2025-10-17T00:00:00"/>
    <x v="0"/>
    <m/>
    <n v="-5335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36"/>
    <m/>
    <m/>
    <m/>
    <m/>
    <m/>
  </r>
  <r>
    <d v="2025-11-29T00:00:00"/>
    <x v="36"/>
    <m/>
    <m/>
    <m/>
    <m/>
    <m/>
  </r>
  <r>
    <d v="2025-11-29T00:00:00"/>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3">
      <pivotArea field="0" grandRow="1" outline="0" collapsedLevelsAreSubtotals="1" axis="axisRow" fieldPosition="0">
        <references count="1">
          <reference field="4294967294" count="1" selected="0">
            <x v="1"/>
          </reference>
        </references>
      </pivotArea>
    </format>
    <format dxfId="162">
      <pivotArea field="0" grandRow="1" outline="0" collapsedLevelsAreSubtotals="1" axis="axisRow" fieldPosition="0">
        <references count="1">
          <reference field="4294967294" count="1" selected="0">
            <x v="0"/>
          </reference>
        </references>
      </pivotArea>
    </format>
    <format dxfId="161">
      <pivotArea collapsedLevelsAreSubtotals="1" fieldPosition="0">
        <references count="2">
          <reference field="4294967294" count="1" selected="0">
            <x v="1"/>
          </reference>
          <reference field="0" count="0"/>
        </references>
      </pivotArea>
    </format>
    <format dxfId="16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1" firstHeaderRow="0" firstDataRow="1" firstDataCol="1" rowPageCount="1" colPageCount="1"/>
  <pivotFields count="9">
    <pivotField axis="axisRow" numFmtId="14" showAll="0">
      <items count="120">
        <item m="1" x="103"/>
        <item m="1" x="104"/>
        <item m="1" x="105"/>
        <item m="1" x="106"/>
        <item m="1" x="107"/>
        <item m="1" x="108"/>
        <item m="1" x="109"/>
        <item m="1" x="118"/>
        <item m="1" x="99"/>
        <item m="1" x="110"/>
        <item m="1" x="111"/>
        <item m="1" x="112"/>
        <item m="1" x="113"/>
        <item m="1" x="114"/>
        <item m="1" x="115"/>
        <item m="1" x="116"/>
        <item m="1" x="70"/>
        <item m="1" x="71"/>
        <item m="1" x="117"/>
        <item m="1" x="72"/>
        <item m="1" x="69"/>
        <item m="1" x="73"/>
        <item m="1" x="75"/>
        <item m="1" x="76"/>
        <item m="1" x="77"/>
        <item m="1" x="79"/>
        <item m="1" x="80"/>
        <item m="1" x="81"/>
        <item m="1" x="74"/>
        <item m="1" x="78"/>
        <item m="1" x="82"/>
        <item m="1" x="83"/>
        <item m="1" x="84"/>
        <item m="1" x="85"/>
        <item m="1" x="68"/>
        <item m="1" x="86"/>
        <item m="1" x="100"/>
        <item m="1" x="101"/>
        <item m="1" x="102"/>
        <item m="1" x="87"/>
        <item m="1" x="88"/>
        <item m="1" x="89"/>
        <item m="1" x="90"/>
        <item m="1" x="91"/>
        <item m="1" x="92"/>
        <item m="1" x="93"/>
        <item m="1" x="94"/>
        <item m="1" x="95"/>
        <item m="1" x="96"/>
        <item m="1" x="97"/>
        <item m="1" x="98"/>
        <item m="1" x="39"/>
        <item m="1" x="40"/>
        <item m="1" x="41"/>
        <item m="1" x="42"/>
        <item m="1" x="43"/>
        <item m="1" x="44"/>
        <item m="1" x="45"/>
        <item m="1" x="46"/>
        <item m="1" x="48"/>
        <item m="1" x="49"/>
        <item m="1" x="50"/>
        <item m="1" x="47"/>
        <item m="1" x="51"/>
        <item m="1" x="52"/>
        <item m="1" x="53"/>
        <item m="1" x="54"/>
        <item m="1" x="55"/>
        <item m="1" x="56"/>
        <item m="1" x="57"/>
        <item m="1" x="58"/>
        <item m="1" x="59"/>
        <item m="1" x="60"/>
        <item m="1" x="61"/>
        <item m="1" x="62"/>
        <item m="1" x="63"/>
        <item m="1" x="64"/>
        <item m="1" x="65"/>
        <item m="1" x="66"/>
        <item m="1" x="67"/>
        <item x="0"/>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1"/>
        <item x="4"/>
        <item x="2"/>
        <item x="3"/>
        <item x="5"/>
        <item x="6"/>
        <item x="7"/>
        <item x="8"/>
        <item x="9"/>
        <item x="10"/>
        <item x="12"/>
        <item x="11"/>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3">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5">
      <pivotArea dataOnly="0" labelOnly="1" outline="0" fieldPosition="0">
        <references count="1">
          <reference field="1" count="1">
            <x v="1"/>
          </reference>
        </references>
      </pivotArea>
    </format>
    <format dxfId="12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69">
        <item x="13"/>
        <item x="9"/>
        <item x="7"/>
        <item m="1" x="54"/>
        <item m="1" x="58"/>
        <item x="12"/>
        <item x="5"/>
        <item x="25"/>
        <item x="6"/>
        <item x="10"/>
        <item x="8"/>
        <item m="1" x="66"/>
        <item m="1" x="53"/>
        <item x="11"/>
        <item m="1" x="49"/>
        <item m="1" x="64"/>
        <item x="2"/>
        <item m="1" x="38"/>
        <item x="1"/>
        <item x="15"/>
        <item x="36"/>
        <item x="27"/>
        <item m="1" x="67"/>
        <item m="1" x="48"/>
        <item x="29"/>
        <item m="1" x="65"/>
        <item m="1" x="57"/>
        <item x="32"/>
        <item m="1" x="59"/>
        <item m="1" x="60"/>
        <item m="1" x="61"/>
        <item m="1" x="62"/>
        <item m="1" x="45"/>
        <item m="1" x="63"/>
        <item m="1" x="50"/>
        <item x="26"/>
        <item m="1" x="41"/>
        <item x="17"/>
        <item m="1" x="52"/>
        <item m="1" x="44"/>
        <item x="18"/>
        <item x="3"/>
        <item x="31"/>
        <item m="1" x="55"/>
        <item x="22"/>
        <item m="1" x="56"/>
        <item m="1" x="37"/>
        <item x="24"/>
        <item x="14"/>
        <item m="1" x="39"/>
        <item m="1" x="40"/>
        <item m="1" x="42"/>
        <item m="1" x="43"/>
        <item m="1" x="46"/>
        <item x="19"/>
        <item x="20"/>
        <item m="1" x="47"/>
        <item m="1" x="51"/>
        <item x="4"/>
        <item x="23"/>
        <item x="0"/>
        <item x="16"/>
        <item x="21"/>
        <item x="28"/>
        <item x="30"/>
        <item x="33"/>
        <item x="34"/>
        <item x="35"/>
        <item t="default"/>
      </items>
    </pivotField>
    <pivotField dataField="1" showAll="0"/>
    <pivotField dataField="1" showAll="0"/>
    <pivotField showAll="0"/>
    <pivotField showAll="0"/>
    <pivotField showAll="0"/>
  </pivotFields>
  <rowFields count="1">
    <field x="1"/>
  </rowFields>
  <rowItems count="38">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x v="67"/>
    </i>
    <i t="grand">
      <x/>
    </i>
  </rowItems>
  <colFields count="1">
    <field x="-2"/>
  </colFields>
  <colItems count="2">
    <i>
      <x/>
    </i>
    <i i="1">
      <x v="1"/>
    </i>
  </colItems>
  <dataFields count="2">
    <dataField name="Sum of Credit" fld="3" baseField="0" baseItem="0"/>
    <dataField name="Sum of Debit" fld="2" baseField="0" baseItem="0"/>
  </dataFields>
  <formats count="1">
    <format dxfId="1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44">
        <item m="1" x="38"/>
        <item m="1" x="39"/>
        <item m="1" x="40"/>
        <item m="1" x="41"/>
        <item m="1" x="42"/>
        <item m="1" x="37"/>
        <item m="1" x="25"/>
        <item m="1" x="26"/>
        <item m="1" x="30"/>
        <item m="1" x="31"/>
        <item m="1" x="27"/>
        <item m="1" x="32"/>
        <item m="1" x="33"/>
        <item m="1" x="34"/>
        <item m="1" x="35"/>
        <item m="1" x="36"/>
        <item m="1" x="24"/>
        <item m="1" x="28"/>
        <item m="1" x="29"/>
        <item m="1" x="17"/>
        <item m="1" x="18"/>
        <item m="1" x="19"/>
        <item m="1" x="20"/>
        <item m="1" x="21"/>
        <item m="1" x="22"/>
        <item m="1" x="23"/>
        <item x="0"/>
        <item m="1" x="9"/>
        <item m="1" x="10"/>
        <item m="1" x="11"/>
        <item m="1" x="12"/>
        <item m="1" x="13"/>
        <item m="1" x="14"/>
        <item m="1" x="15"/>
        <item m="1" x="16"/>
        <item x="1"/>
        <item x="2"/>
        <item x="3"/>
        <item x="4"/>
        <item x="5"/>
        <item x="8"/>
        <item x="6"/>
        <item x="7"/>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0">
    <i>
      <x v="26"/>
    </i>
    <i>
      <x v="35"/>
    </i>
    <i>
      <x v="36"/>
    </i>
    <i>
      <x v="37"/>
    </i>
    <i>
      <x v="38"/>
    </i>
    <i>
      <x v="39"/>
    </i>
    <i>
      <x v="40"/>
    </i>
    <i>
      <x v="41"/>
    </i>
    <i>
      <x v="4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8">
        <item m="1" x="6"/>
        <item x="4"/>
        <item x="1"/>
        <item m="1" x="5"/>
        <item x="0"/>
        <item x="2"/>
        <item x="3"/>
        <item t="default"/>
      </items>
    </pivotField>
    <pivotField showAll="0"/>
    <pivotField showAll="0"/>
    <pivotField showAll="0"/>
    <pivotField dataField="1" showAll="0"/>
    <pivotField dataField="1" showAll="0"/>
    <pivotField dataField="1" showAll="0"/>
  </pivotFields>
  <rowFields count="1">
    <field x="1"/>
  </rowFields>
  <rowItems count="6">
    <i>
      <x v="1"/>
    </i>
    <i>
      <x v="2"/>
    </i>
    <i>
      <x v="4"/>
    </i>
    <i>
      <x v="5"/>
    </i>
    <i>
      <x v="6"/>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1">
        <item m="1" x="27"/>
        <item x="2"/>
        <item x="0"/>
        <item x="1"/>
        <item m="1" x="29"/>
        <item m="1" x="25"/>
        <item x="6"/>
        <item m="1" x="28"/>
        <item x="3"/>
        <item x="4"/>
        <item m="1" x="26"/>
        <item m="1" x="24"/>
        <item x="23"/>
        <item x="5"/>
        <item x="10"/>
        <item x="8"/>
        <item x="9"/>
        <item x="7"/>
        <item x="11"/>
        <item x="12"/>
        <item x="13"/>
        <item x="14"/>
        <item x="15"/>
        <item x="16"/>
        <item x="17"/>
        <item x="18"/>
        <item x="19"/>
        <item x="20"/>
        <item x="21"/>
        <item x="22"/>
        <item t="default"/>
      </items>
    </pivotField>
    <pivotField showAll="0"/>
    <pivotField showAll="0"/>
    <pivotField axis="axisRow" showAll="0">
      <items count="287">
        <item m="1" x="269"/>
        <item m="1" x="270"/>
        <item m="1" x="268"/>
        <item m="1" x="267"/>
        <item m="1" x="271"/>
        <item m="1" x="273"/>
        <item m="1" x="272"/>
        <item m="1" x="274"/>
        <item m="1" x="275"/>
        <item m="1" x="276"/>
        <item m="1" x="277"/>
        <item m="1" x="278"/>
        <item m="1" x="279"/>
        <item m="1" x="280"/>
        <item m="1" x="205"/>
        <item m="1" x="227"/>
        <item m="1" x="281"/>
        <item m="1" x="282"/>
        <item m="1" x="283"/>
        <item m="1" x="235"/>
        <item m="1" x="234"/>
        <item m="1" x="284"/>
        <item m="1" x="285"/>
        <item m="1" x="244"/>
        <item m="1" x="236"/>
        <item m="1" x="237"/>
        <item m="1" x="238"/>
        <item m="1" x="239"/>
        <item m="1" x="240"/>
        <item m="1" x="241"/>
        <item m="1" x="242"/>
        <item m="1" x="243"/>
        <item m="1" x="245"/>
        <item m="1" x="265"/>
        <item m="1" x="246"/>
        <item m="1" x="266"/>
        <item m="1" x="247"/>
        <item m="1" x="248"/>
        <item m="1" x="249"/>
        <item m="1" x="250"/>
        <item m="1" x="251"/>
        <item m="1" x="181"/>
        <item m="1" x="252"/>
        <item m="1" x="253"/>
        <item m="1" x="254"/>
        <item m="1" x="255"/>
        <item m="1" x="256"/>
        <item m="1" x="257"/>
        <item m="1" x="258"/>
        <item m="1" x="259"/>
        <item m="1" x="260"/>
        <item m="1" x="261"/>
        <item m="1" x="262"/>
        <item m="1" x="263"/>
        <item m="1" x="264"/>
        <item x="0"/>
        <item m="1" x="180"/>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8"/>
        <item m="1" x="229"/>
        <item m="1" x="230"/>
        <item m="1" x="231"/>
        <item m="1" x="232"/>
        <item m="1" x="233"/>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79"/>
        <item m="1" x="160"/>
        <item m="1" x="161"/>
        <item m="1" x="162"/>
        <item m="1" x="163"/>
        <item m="1" x="164"/>
        <item m="1" x="165"/>
        <item m="1" x="166"/>
        <item m="1" x="167"/>
        <item m="1" x="168"/>
        <item m="1" x="169"/>
        <item m="1" x="170"/>
        <item m="1" x="171"/>
        <item m="1" x="172"/>
        <item m="1" x="173"/>
        <item m="1" x="174"/>
        <item m="1" x="175"/>
        <item m="1" x="176"/>
        <item m="1" x="177"/>
        <item m="1" x="178"/>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x="11"/>
        <item m="1" x="97"/>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2">
      <pivotArea type="all" dataOnly="0" outline="0" fieldPosition="0"/>
    </format>
    <format dxfId="71">
      <pivotArea outline="0" collapsedLevelsAreSubtotals="1" fieldPosition="0"/>
    </format>
    <format dxfId="70">
      <pivotArea field="4" type="button" dataOnly="0" labelOnly="1" outline="0" axis="axisRow" fieldPosition="0"/>
    </format>
    <format dxfId="69">
      <pivotArea dataOnly="0" labelOnly="1" fieldPosition="0">
        <references count="1">
          <reference field="4" count="0"/>
        </references>
      </pivotArea>
    </format>
    <format dxfId="68">
      <pivotArea dataOnly="0" labelOnly="1" grandRow="1" outline="0" fieldPosition="0"/>
    </format>
    <format dxfId="67">
      <pivotArea dataOnly="0" labelOnly="1" outline="0" fieldPosition="0">
        <references count="1">
          <reference field="4294967294" count="2">
            <x v="0"/>
            <x v="1"/>
          </reference>
        </references>
      </pivotArea>
    </format>
    <format dxfId="66">
      <pivotArea grandRow="1" outline="0" collapsedLevelsAreSubtotals="1" fieldPosition="0"/>
    </format>
    <format dxfId="65">
      <pivotArea field="4" type="button" dataOnly="0" labelOnly="1" outline="0" axis="axisRow" fieldPosition="0"/>
    </format>
    <format dxfId="6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86">
        <i x="29" s="1"/>
        <i x="22" s="1"/>
        <i x="2" s="1"/>
        <i x="11" s="1"/>
        <i x="8" s="1"/>
        <i x="21" s="1"/>
        <i x="4" s="1"/>
        <i x="1" s="1"/>
        <i x="19" s="1"/>
        <i x="12" s="1"/>
        <i x="25" s="1"/>
        <i x="17" s="1"/>
        <i x="31" s="1"/>
        <i x="23" s="1"/>
        <i x="20" s="1"/>
        <i x="33" s="1"/>
        <i x="34" s="1"/>
        <i x="5" s="1"/>
        <i x="7" s="1"/>
        <i x="41" s="1"/>
        <i x="14" s="1"/>
        <i x="27" s="1"/>
        <i x="10" s="1"/>
        <i x="16" s="1"/>
        <i x="39" s="1"/>
        <i x="38" s="1"/>
        <i x="40" s="1"/>
        <i x="13" s="1"/>
        <i x="9" s="1"/>
        <i x="6" s="1"/>
        <i x="32" s="1"/>
        <i x="26" s="1"/>
        <i x="15" s="1"/>
        <i x="28" s="1"/>
        <i x="30" s="1"/>
        <i x="35" s="1"/>
        <i x="36" s="1"/>
        <i x="37" s="1"/>
        <i x="18" s="1"/>
        <i x="24" s="1"/>
        <i x="3" s="1"/>
        <i x="240" s="1" nd="1"/>
        <i x="269" s="1" nd="1"/>
        <i x="270" s="1" nd="1"/>
        <i x="278" s="1" nd="1"/>
        <i x="268" s="1" nd="1"/>
        <i x="267" s="1" nd="1"/>
        <i x="271" s="1" nd="1"/>
        <i x="282" s="1" nd="1"/>
        <i x="274" s="1" nd="1"/>
        <i x="275" s="1" nd="1"/>
        <i x="272" s="1" nd="1"/>
        <i x="273" s="1" nd="1"/>
        <i x="283" s="1" nd="1"/>
        <i x="276" s="1" nd="1"/>
        <i x="277" s="1" nd="1"/>
        <i x="280" s="1" nd="1"/>
        <i x="281" s="1" nd="1"/>
        <i x="279" s="1" nd="1"/>
        <i x="235" s="1" nd="1"/>
        <i x="285" s="1" nd="1"/>
        <i x="234" s="1" nd="1"/>
        <i x="284" s="1" nd="1"/>
        <i x="237" s="1" nd="1"/>
        <i x="198" s="1" nd="1"/>
        <i x="236" s="1" nd="1"/>
        <i x="238" s="1" nd="1"/>
        <i x="244" s="1" nd="1"/>
        <i x="239" s="1" nd="1"/>
        <i x="241" s="1" nd="1"/>
        <i x="257" s="1" nd="1"/>
        <i x="180" s="1" nd="1"/>
        <i x="245" s="1" nd="1"/>
        <i x="185" s="1" nd="1"/>
        <i x="251" s="1" nd="1"/>
        <i x="246" s="1" nd="1"/>
        <i x="249" s="1" nd="1"/>
        <i x="254" s="1" nd="1"/>
        <i x="265" s="1" nd="1"/>
        <i x="247" s="1" nd="1"/>
        <i x="259" s="1" nd="1"/>
        <i x="262" s="1" nd="1"/>
        <i x="253" s="1" nd="1"/>
        <i x="242" s="1" nd="1"/>
        <i x="250" s="1" nd="1"/>
        <i x="243" s="1" nd="1"/>
        <i x="248" s="1" nd="1"/>
        <i x="181" s="1" nd="1"/>
        <i x="252" s="1" nd="1"/>
        <i x="258" s="1" nd="1"/>
        <i x="195" s="1" nd="1"/>
        <i x="255" s="1" nd="1"/>
        <i x="260" s="1" nd="1"/>
        <i x="256" s="1" nd="1"/>
        <i x="222" s="1" nd="1"/>
        <i x="261" s="1" nd="1"/>
        <i x="263" s="1" nd="1"/>
        <i x="183" s="1" nd="1"/>
        <i x="190" s="1" nd="1"/>
        <i x="264" s="1" nd="1"/>
        <i x="187" s="1" nd="1"/>
        <i x="188" s="1" nd="1"/>
        <i x="182" s="1" nd="1"/>
        <i x="186" s="1" nd="1"/>
        <i x="73" s="1" nd="1"/>
        <i x="184" s="1" nd="1"/>
        <i x="193" s="1" nd="1"/>
        <i x="189" s="1" nd="1"/>
        <i x="191" s="1" nd="1"/>
        <i x="194" s="1" nd="1"/>
        <i x="202" s="1" nd="1"/>
        <i x="192" s="1" nd="1"/>
        <i x="201" s="1" nd="1"/>
        <i x="206" s="1" nd="1"/>
        <i x="200" s="1" nd="1"/>
        <i x="203" s="1" nd="1"/>
        <i x="213" s="1" nd="1"/>
        <i x="199" s="1" nd="1"/>
        <i x="196" s="1" nd="1"/>
        <i x="197" s="1" nd="1"/>
        <i x="212" s="1" nd="1"/>
        <i x="69" s="1" nd="1"/>
        <i x="205" s="1" nd="1"/>
        <i x="216" s="1" nd="1"/>
        <i x="211" s="1" nd="1"/>
        <i x="204" s="1" nd="1"/>
        <i x="228" s="1" nd="1"/>
        <i x="209" s="1" nd="1"/>
        <i x="219" s="1" nd="1"/>
        <i x="217" s="1" nd="1"/>
        <i x="207" s="1" nd="1"/>
        <i x="215" s="1" nd="1"/>
        <i x="214" s="1" nd="1"/>
        <i x="210" s="1" nd="1"/>
        <i x="220" s="1" nd="1"/>
        <i x="218" s="1" nd="1"/>
        <i x="221" s="1" nd="1"/>
        <i x="208" s="1" nd="1"/>
        <i x="149" s="1" nd="1"/>
        <i x="223" s="1" nd="1"/>
        <i x="224" s="1" nd="1"/>
        <i x="107" s="1" nd="1"/>
        <i x="109" s="1" nd="1"/>
        <i x="231" s="1" nd="1"/>
        <i x="103" s="1" nd="1"/>
        <i x="150" s="1" nd="1"/>
        <i x="225" s="1" nd="1"/>
        <i x="226" s="1" nd="1"/>
        <i x="106" s="1" nd="1"/>
        <i x="233" s="1" nd="1"/>
        <i x="105" s="1" nd="1"/>
        <i x="120" s="1" nd="1"/>
        <i x="232" s="1" nd="1"/>
        <i x="227" s="1" nd="1"/>
        <i x="124" s="1" nd="1"/>
        <i x="230" s="1" nd="1"/>
        <i x="229" s="1" nd="1"/>
        <i x="145" s="1" nd="1"/>
        <i x="98" s="1" nd="1"/>
        <i x="110" s="1" nd="1"/>
        <i x="146" s="1" nd="1"/>
        <i x="144" s="1" nd="1"/>
        <i x="102" s="1" nd="1"/>
        <i x="104" s="1" nd="1"/>
        <i x="108" s="1" nd="1"/>
        <i x="99" s="1" nd="1"/>
        <i x="134" s="1" nd="1"/>
        <i x="139" s="1" nd="1"/>
        <i x="100" s="1" nd="1"/>
        <i x="101" s="1" nd="1"/>
        <i x="111" s="1" nd="1"/>
        <i x="114" s="1" nd="1"/>
        <i x="121" s="1" nd="1"/>
        <i x="113" s="1" nd="1"/>
        <i x="116" s="1" nd="1"/>
        <i x="115" s="1" nd="1"/>
        <i x="158" s="1" nd="1"/>
        <i x="112" s="1" nd="1"/>
        <i x="137" s="1" nd="1"/>
        <i x="153" s="1" nd="1"/>
        <i x="117" s="1" nd="1"/>
        <i x="142" s="1" nd="1"/>
        <i x="155" s="1" nd="1"/>
        <i x="126" s="1" nd="1"/>
        <i x="167" s="1" nd="1"/>
        <i x="125" s="1" nd="1"/>
        <i x="122" s="1" nd="1"/>
        <i x="118" s="1" nd="1"/>
        <i x="119" s="1" nd="1"/>
        <i x="138" s="1" nd="1"/>
        <i x="127" s="1" nd="1"/>
        <i x="50" s="1" nd="1"/>
        <i x="128" s="1" nd="1"/>
        <i x="123" s="1" nd="1"/>
        <i x="130" s="1" nd="1"/>
        <i x="131" s="1" nd="1"/>
        <i x="160" s="1" nd="1"/>
        <i x="129" s="1" nd="1"/>
        <i x="147" s="1" nd="1"/>
        <i x="135" s="1" nd="1"/>
        <i x="132" s="1" nd="1"/>
        <i x="136" s="1" nd="1"/>
        <i x="133" s="1" nd="1"/>
        <i x="140" s="1" nd="1"/>
        <i x="159" s="1" nd="1"/>
        <i x="154" s="1" nd="1"/>
        <i x="173" s="1" nd="1"/>
        <i x="141" s="1" nd="1"/>
        <i x="43" s="1" nd="1"/>
        <i x="152" s="1" nd="1"/>
        <i x="143" s="1" nd="1"/>
        <i x="168" s="1" nd="1"/>
        <i x="151" s="1" nd="1"/>
        <i x="166" s="1" nd="1"/>
        <i x="51" s="1" nd="1"/>
        <i x="157" s="1" nd="1"/>
        <i x="156" s="1" nd="1"/>
        <i x="172" s="1" nd="1"/>
        <i x="169" s="1" nd="1"/>
        <i x="62" s="1" nd="1"/>
        <i x="177" s="1" nd="1"/>
        <i x="161" s="1" nd="1"/>
        <i x="170" s="1" nd="1"/>
        <i x="175" s="1" nd="1"/>
        <i x="53" s="1" nd="1"/>
        <i x="79" s="1" nd="1"/>
        <i x="179" s="1" nd="1"/>
        <i x="176" s="1" nd="1"/>
        <i x="44" s="1" nd="1"/>
        <i x="64" s="1" nd="1"/>
        <i x="171" s="1" nd="1"/>
        <i x="46" s="1" nd="1"/>
        <i x="162" s="1" nd="1"/>
        <i x="165" s="1" nd="1"/>
        <i x="61" s="1" nd="1"/>
        <i x="174" s="1" nd="1"/>
        <i x="163" s="1" nd="1"/>
        <i x="164" s="1" nd="1"/>
        <i x="48" s="1" nd="1"/>
        <i x="66" s="1" nd="1"/>
        <i x="67" s="1" nd="1"/>
        <i x="80" s="1" nd="1"/>
        <i x="178" s="1" nd="1"/>
        <i x="42" s="1" nd="1"/>
        <i x="65" s="1" nd="1"/>
        <i x="58" s="1" nd="1"/>
        <i x="45" s="1" nd="1"/>
        <i x="49" s="1" nd="1"/>
        <i x="55" s="1" nd="1"/>
        <i x="47" s="1" nd="1"/>
        <i x="71" s="1" nd="1"/>
        <i x="75" s="1" nd="1"/>
        <i x="76" s="1" nd="1"/>
        <i x="68" s="1" nd="1"/>
        <i x="52" s="1" nd="1"/>
        <i x="54" s="1" nd="1"/>
        <i x="56" s="1" nd="1"/>
        <i x="59" s="1" nd="1"/>
        <i x="72" s="1" nd="1"/>
        <i x="57" s="1" nd="1"/>
        <i x="78" s="1" nd="1"/>
        <i x="93" s="1" nd="1"/>
        <i x="60" s="1" nd="1"/>
        <i x="81" s="1" nd="1"/>
        <i x="77" s="1" nd="1"/>
        <i x="63" s="1" nd="1"/>
        <i x="85" s="1" nd="1"/>
        <i x="70" s="1" nd="1"/>
        <i x="94" s="1" nd="1"/>
        <i x="74" s="1" nd="1"/>
        <i x="97" s="1" nd="1"/>
        <i x="84" s="1" nd="1"/>
        <i x="89" s="1" nd="1"/>
        <i x="86" s="1" nd="1"/>
        <i x="88" s="1" nd="1"/>
        <i x="83" s="1" nd="1"/>
        <i x="82" s="1" nd="1"/>
        <i x="87" s="1" nd="1"/>
        <i x="95" s="1" nd="1"/>
        <i x="91" s="1" nd="1"/>
        <i x="90" s="1" nd="1"/>
        <i x="96" s="1" nd="1"/>
        <i x="92" s="1" nd="1"/>
        <i x="148" s="1" nd="1"/>
        <i x="26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9">
      <calculatedColumnFormula>B49</calculatedColumnFormula>
    </tableColumn>
    <tableColumn id="2" xr3:uid="{7EDCC2ED-0339-42B3-9633-FFEA7A3DD9F3}" name="Tiyaar" dataDxfId="158">
      <calculatedColumnFormula>SUMIFS(ledger!G:G, ledger!B:B, B2, ledger!E:E, "&lt;&gt;*RD*") / 1.0936</calculatedColumnFormula>
    </tableColumn>
    <tableColumn id="3" xr3:uid="{CC1535DD-3FE7-4F55-8040-E7643388A78E}" name="Rate"/>
    <tableColumn id="4" xr3:uid="{059CB70B-ADAD-4985-84AA-0D530BAC5567}" name="Total" dataDxfId="15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6" dataDxfId="155">
  <autoFilter ref="B7:E20" xr:uid="{449E5D32-DF9C-4018-96AB-CA98E118D910}"/>
  <tableColumns count="4">
    <tableColumn id="1" xr3:uid="{F663704C-91DD-4BB9-B7EB-EEB0C5EDED6C}" name="Description" dataDxfId="154"/>
    <tableColumn id="2" xr3:uid="{6D94D495-CD0B-4FD3-9771-81D731982A97}" name="Rate" dataDxfId="153" dataCellStyle="Comma"/>
    <tableColumn id="3" xr3:uid="{2D14CEAD-3602-40E7-A488-3584EBC9141E}" name="gazana" dataDxfId="152" dataCellStyle="Comma"/>
    <tableColumn id="4" xr3:uid="{06FEE63C-6480-4079-8426-51BC26B38B34}" name="sum" dataDxfId="15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0" totalsRowDxfId="149"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8" dataDxfId="147" headerRowCellStyle="Comma" dataCellStyle="Comma">
  <autoFilter ref="B2:C5" xr:uid="{136E8F7F-D03F-4198-8335-91A003EA9E45}"/>
  <tableColumns count="2">
    <tableColumn id="1" xr3:uid="{279FA697-9952-479A-AC05-0D4992B41374}" name="Column1" dataDxfId="146" dataCellStyle="Comma"/>
    <tableColumn id="2" xr3:uid="{8A64998B-65EF-41CD-BCB0-3DDB7B359C54}" name="Column2" dataDxfId="14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4"/>
    <tableColumn id="2" xr3:uid="{51D27FA2-8DDF-4369-BAF7-7D1FE90E16A0}" name="Column2" dataDxfId="14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2" totalsRowDxfId="14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9" totalsRowCount="1" headerRowDxfId="138" dataDxfId="137" headerRowCellStyle="Comma" dataCellStyle="Comma">
  <autoFilter ref="A1:K148" xr:uid="{11DACEC6-751B-4B1D-817F-5C5BCD38EF6D}"/>
  <tableColumns count="11">
    <tableColumn id="1" xr3:uid="{2FCE3FA8-A48C-4685-8919-AE44C6C71FD9}" name="Date" dataDxfId="136" dataCellStyle="Comma"/>
    <tableColumn id="2" xr3:uid="{5780FD5F-0890-44E6-B59C-8E37A559FE36}" name="Party Name" dataDxfId="135" dataCellStyle="Comma"/>
    <tableColumn id="3" xr3:uid="{5B3ECD85-9174-40AC-BFBD-49CAC97A83D3}" name="Bill Number" dataDxfId="134" dataCellStyle="Comma"/>
    <tableColumn id="4" xr3:uid="{11B50761-04B6-4262-AD4D-7182450037D1}" name="Quality" dataDxfId="133" dataCellStyle="Comma"/>
    <tableColumn id="5" xr3:uid="{2C556969-B713-4967-BD24-466AACCBE5F5}" name="Shipment Number" dataDxfId="132" totalsRowDxfId="10" dataCellStyle="Comma"/>
    <tableColumn id="6" xr3:uid="{F4E1FD2B-9017-4DEB-B772-BF447ECE56F7}" name="Kora/metre" dataDxfId="131" totalsRowDxfId="9" dataCellStyle="Comma"/>
    <tableColumn id="7" xr3:uid="{52ACC1DA-7A76-4A90-B809-3A1AE728E7EA}" name="Tiyaar/gaz" dataDxfId="130" totalsRowDxfId="8" dataCellStyle="Comma"/>
    <tableColumn id="8" xr3:uid="{31A0FF5E-56F0-44D1-9865-73256B964660}" name="shortage %" dataDxfId="129" totalsRowDxfId="7" dataCellStyle="Comma">
      <calculatedColumnFormula>_xlfn.XLOOKUP(Table1[[#This Row],[Shipment Number]], 'pivot '!A:A,'pivot '!G:G, "NF")</calculatedColumnFormula>
    </tableColumn>
    <tableColumn id="9" xr3:uid="{F99075E0-AC8E-094D-BB85-272AD2C6C568}" name="tiyar/meters" totalsRowFunction="custom" dataDxfId="128" totalsRowDxfId="6"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27" totalsRowDxfId="5"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26" totalsRowDxfId="4"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8" totalsRowCount="1" headerRowDxfId="123" headerRowBorderDxfId="122" tableBorderDxfId="121">
  <autoFilter ref="A1:I27" xr:uid="{F8E8C957-ABE7-4E4F-8D4E-7D44E26B334F}"/>
  <tableColumns count="9">
    <tableColumn id="1" xr3:uid="{C2E817D6-AB98-4DDD-8890-736B27F261CD}" name="Date" dataDxfId="120" totalsRowDxfId="52"/>
    <tableColumn id="2" xr3:uid="{CFB51890-CCDC-463C-81C9-3F8BD7469CB9}" name="Party Name"/>
    <tableColumn id="3" xr3:uid="{A113D971-1C9D-4733-99C4-BD0CC4333209}" name="Vehicle Number"/>
    <tableColumn id="4" xr3:uid="{49780304-3DD1-4AE9-98EE-2BC7EB8F3B57}" name="Weight" dataDxfId="119" totalsRowDxfId="51" dataCellStyle="Comma"/>
    <tableColumn id="5" xr3:uid="{FCAF1BC6-1D8C-42AD-8BBC-F924BF2DC7FE}" name="Rate" dataDxfId="118" totalsRowDxfId="50" dataCellStyle="Comma"/>
    <tableColumn id="6" xr3:uid="{8C70A624-4134-410C-9C45-9FDEB51D51BF}" name="Rent" dataDxfId="117" totalsRowDxfId="49" dataCellStyle="Comma"/>
    <tableColumn id="7" xr3:uid="{EBCE10AE-9634-4982-9C95-37ABC8A7078C}" name="Total" totalsRowFunction="sum" dataDxfId="116" totalsRowDxfId="48" dataCellStyle="Comma">
      <calculatedColumnFormula>D2*E2</calculatedColumnFormula>
    </tableColumn>
    <tableColumn id="9" xr3:uid="{D4788559-C94A-44D9-B9AE-E72B214355AC}" name="Paid" totalsRowFunction="sum" dataDxfId="115" totalsRowDxfId="47" dataCellStyle="Comma"/>
    <tableColumn id="8" xr3:uid="{E26F5BF0-1875-4FC6-994D-49F202ED562B}" name="balance" totalsRowFunction="sum" dataDxfId="114" totalsRowDxfId="4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4" totalsRowCount="1">
  <autoFilter ref="A1:G193" xr:uid="{CB032221-B416-47A8-9A76-693DE76CFD04}"/>
  <tableColumns count="7">
    <tableColumn id="1" xr3:uid="{554B1EED-65B6-4E9A-B646-82727FAC40DE}" name="Date" dataDxfId="112" totalsRowDxfId="56"/>
    <tableColumn id="2" xr3:uid="{32259059-42CF-4947-83DE-115AA430BE2B}" name="Party"/>
    <tableColumn id="3" xr3:uid="{A1320223-D55D-483C-91C3-AB19B95CC9D8}" name="Debit" totalsRowFunction="sum" dataDxfId="111" totalsRowDxfId="55" dataCellStyle="Comma"/>
    <tableColumn id="4" xr3:uid="{E9745767-9FF0-4B1C-9052-FF335D1D7588}" name="Credit" totalsRowFunction="sum" dataDxfId="110" totalsRowDxfId="54" dataCellStyle="Comma"/>
    <tableColumn id="5" xr3:uid="{5C88A48E-2467-4E6D-B626-2442B7FD0BE4}" name="Description"/>
    <tableColumn id="6" xr3:uid="{63CA4666-144E-4BE6-8B7C-7CB992BD3041}" name="Mode" totalsRowFunction="custom" dataDxfId="109" totalsRowDxfId="5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8" tableBorderDxfId="107" totalsRowBorderDxfId="106">
  <autoFilter ref="J3:K6" xr:uid="{DCE01694-23ED-48BF-8B92-4186B9ED10A8}"/>
  <tableColumns count="2">
    <tableColumn id="1" xr3:uid="{C8484DAF-2989-4C2F-9AEC-A6917E1C57F6}" name="Type" dataDxfId="105"/>
    <tableColumn id="2" xr3:uid="{B07B7A2A-4D4E-4654-BED6-FE2F0A7BEC34}" name="Amount" dataDxfId="10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3" headerRowBorderDxfId="102" tableBorderDxfId="101" totalsRowBorderDxfId="100">
  <autoFilter ref="M3:O6" xr:uid="{D166BDD1-ACD7-45D7-8AE9-7350373F8CEB}"/>
  <tableColumns count="3">
    <tableColumn id="1" xr3:uid="{64F0205E-DEA7-4571-BA86-E4374A5FEE28}" name="Type" totalsRowLabel="Total" dataDxfId="99" totalsRowDxfId="98"/>
    <tableColumn id="2" xr3:uid="{15FA05F9-789C-4459-9BE0-5C1EC84D3365}" name="amount" totalsRowFunction="custom" dataDxfId="97" totalsRowDxfId="96">
      <totalsRowFormula>SUM(N5:N6)</totalsRowFormula>
    </tableColumn>
    <tableColumn id="3" xr3:uid="{3681D409-90C6-44D0-BDE2-4B5943A516F0}" name="Actual" totalsRowFunction="custom" totalsRowDxfId="9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4" totalsRowDxfId="93"/>
    <tableColumn id="2" xr3:uid="{5B9D0FEE-4304-4C5C-A05C-5B27CF7841D3}" name="Type"/>
    <tableColumn id="3" xr3:uid="{6A91CA0D-C802-4C6F-9F39-CA53687E8EDE}" name="Description"/>
    <tableColumn id="4" xr3:uid="{A251D40C-AB87-4BB4-85F8-444B20E32FDF}" name="Total" totalsRowFunction="custom" dataDxfId="92" totalsRowDxfId="9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90" headerRowBorderDxfId="89">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8"/>
    <tableColumn id="4" xr3:uid="{1889A312-9B41-4EC4-BD8F-05252F27084A}" name="Price" totalsRowFunction="sum"/>
    <tableColumn id="6" xr3:uid="{8B974B20-F003-4E67-8660-024FA4F324A9}" name="Party"/>
    <tableColumn id="7" xr3:uid="{0A5A5C21-FD61-47DA-9F54-66A6479FA557}" name="Paid" dataDxfId="87">
      <calculatedColumnFormula>SUMIFS(Table14[Debit], Table14[Date], Table8[[#This Row],[Date]], Table14[Party], Table8[[#This Row],[Party]])</calculatedColumnFormula>
    </tableColumn>
    <tableColumn id="8" xr3:uid="{8DCB3B43-2161-4081-82EC-CDB0F4DE4E6F}" name="Balance" totalsRowFunction="sum" dataDxfId="8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85" headerRowBorderDxfId="84">
  <autoFilter ref="A4:H13" xr:uid="{A4C80688-A8BA-4BA7-90B4-791CD99446B4}"/>
  <sortState xmlns:xlrd2="http://schemas.microsoft.com/office/spreadsheetml/2017/richdata2" ref="A5:H6">
    <sortCondition ref="A4:A6"/>
  </sortState>
  <tableColumns count="8">
    <tableColumn id="1" xr3:uid="{4A818912-918E-4111-ACFC-BC93FEF7C1AD}" name="Date" dataDxfId="83" totalsRowDxfId="82"/>
    <tableColumn id="8" xr3:uid="{477ACFD5-62AF-4F69-974B-E9B974C11D7D}" name="Party Name" dataDxfId="8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0">
      <calculatedColumnFormula>Table2[[#This Row],[Quantity]]*200*Table2[[#This Row],[Boxes]]</calculatedColumnFormula>
    </tableColumn>
    <tableColumn id="6" xr3:uid="{30432929-CBD4-4BA8-B63F-CD0F6CF6405F}" name="Paid" totalsRowFunction="sum" dataDxfId="7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7" totalsRowDxfId="7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5" totalsRowDxfId="44"/>
    <tableColumn id="2" xr3:uid="{053BFC14-4828-417C-9F9F-95B6E232A945}" name="Amount" totalsRowFunction="custom" dataDxfId="74" totalsRowDxfId="4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3" totalsRowDxfId="4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3" totalsRowDxfId="6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1" totalsRowDxfId="6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9">
      <calculatedColumnFormula>Billing!Q5</calculatedColumnFormula>
    </tableColumn>
    <tableColumn id="2" xr3:uid="{7093A59E-B58F-487D-888A-9AA8156B5F9A}" name="Amount Paid" dataDxfId="58">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7"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6"/>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91071.689831748357</v>
      </c>
      <c r="D2">
        <v>10</v>
      </c>
      <c r="E2" s="14">
        <f>(SUMIFS(ledger!G:G, ledger!B:B, B2, ledger!E:E, "&lt;&gt;*RD*",ledger!D:D, "Silky") / 1.0936)*12 + (SUMIFS(ledger!G:G, ledger!B:B, B2, ledger!E:E, "&lt;&gt;*RD*",ledger!D:D, "Chamki") / 1.0936)*10</f>
        <v>1015563.2772494514</v>
      </c>
      <c r="Q2" t="s">
        <v>1</v>
      </c>
    </row>
    <row r="3" spans="2:30" x14ac:dyDescent="0.3">
      <c r="B3" t="str">
        <f t="shared" si="0"/>
        <v>Ejaz Sahab</v>
      </c>
      <c r="C3" s="18">
        <f>SUMIFS(ledger!G:G, ledger!B:B, B3, ledger!E:E, "&lt;&gt;*RD*") / 1.0936</f>
        <v>25750.731528895394</v>
      </c>
      <c r="D3">
        <v>10</v>
      </c>
      <c r="E3" s="14">
        <f>(SUMIFS(ledger!G:G, ledger!B:B, B3, ledger!E:E, "&lt;&gt;*RD*",ledger!D:D, "Silky") / 1.0936)*12 + (SUMIFS(ledger!G:G, ledger!B:B, B3, ledger!E:E, "&lt;&gt;*RD*",ledger!D:D, "Chamki") / 1.0936)*10</f>
        <v>309008.77834674472</v>
      </c>
    </row>
    <row r="4" spans="2:30" x14ac:dyDescent="0.3">
      <c r="B4" t="str">
        <f t="shared" si="0"/>
        <v>Arshad</v>
      </c>
      <c r="C4" s="18">
        <f>SUMIFS(ledger!G:G, ledger!B:B, B4, ledger!E:E, "&lt;&gt;*RD*") / 1.0936</f>
        <v>80352.96269202634</v>
      </c>
      <c r="D4">
        <v>10</v>
      </c>
      <c r="E4" s="14">
        <f>(SUMIFS(ledger!G:G, ledger!B:B, B4, ledger!E:E, "&lt;&gt;*RD*",ledger!D:D, "Silky") / 1.0936)*12 + (SUMIFS(ledger!G:G, ledger!B:B, B4, ledger!E:E, "&lt;&gt;*RD*",ledger!D:D, "Chamki") / 1.0936)*10</f>
        <v>852229.33430870529</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7">_xlfn.UNIQUE(Table1[Party Name])</f>
        <v>BSC</v>
      </c>
      <c r="R5" s="22" cm="1">
        <f t="array" ref="R5">_xlfn.BYROW(B49,_xlfn.LAMBDA(_xlpm.party,SUMIFS(ledger!G:G,ledger!B:B,_xlpm.party,ledger!E:E,"&lt;&gt;*RD*")))+_xlfn.IFNA(C84,0)</f>
        <v>2305004</v>
      </c>
      <c r="S5" s="22" cm="1">
        <f t="array" ref="S5">_xlfn.BYROW(B49, _xlfn.LAMBDA(_xlpm.party, SUMIFS(ledger!G:G, ledger!B:B, _xlpm.party, ledger!E:E, "&lt;&gt;*RD*") / 1.0936 ))+_xlfn.IFNA(D84,0)</f>
        <v>2107721.2874908559</v>
      </c>
      <c r="T5" s="22" cm="1">
        <f t="array" ref="T5">(_xlfn.BYROW(B49,_xlfn.LAMBDA(_xlpm.party,SUMIFS(ledger!G:G,ledger!B:B,_xlpm.party,ledger!E:E,"&lt;&gt;*RD*",ledger!D:D,"Chamki")+SUMIFS(ledger!G:G, ledger!B:B, _xlpm.party, ledger!E:E, "&lt;&gt;*RD*", ledger!D:D, "Crinkle")))/1.0936)+_xlfn.IFNA(E84,0)</f>
        <v>1934050.8412582297</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19340508.412582301</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21509868.324798834</v>
      </c>
      <c r="AA5" s="22">
        <f>(SUMIF(Table14[Party],Q5,Table14[Credit]))+_xlfn.IFNA(L84,0)</f>
        <v>19554634</v>
      </c>
      <c r="AB5" s="33">
        <f>Z5-AA5</f>
        <v>1955234.3247988336</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306002</v>
      </c>
      <c r="S6" s="22" cm="1">
        <f t="array" ref="S6">_xlfn.BYROW(B50, _xlfn.LAMBDA(_xlpm.party, SUMIFS(ledger!G:G, ledger!B:B, _xlpm.party, ledger!E:E, "&lt;&gt;*RD*") / 1.0936 ))+_xlfn.IFNA(D85,0)</f>
        <v>279811.63130943675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131666.05705925386</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1652514.6305779079</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3133970.3730797367</v>
      </c>
      <c r="AA6" s="22">
        <f>(SUMIF(Table14[Party],Q6,Table14[Credit]))+_xlfn.IFNA(L85,0)</f>
        <v>3363904</v>
      </c>
      <c r="AB6" s="33">
        <f>Z6-AA6</f>
        <v>-229933.62692026328</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533380</v>
      </c>
      <c r="S7" s="22" cm="1">
        <f t="array" ref="S7">_xlfn.BYROW(B51, _xlfn.LAMBDA(_xlpm.party, SUMIFS(ledger!G:G, ledger!B:B, _xlpm.party, ledger!E:E, "&lt;&gt;*RD*") / 1.0936 ))+_xlfn.IFNA(D86,0)</f>
        <v>487728.60277980985</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4979924.1038771039</v>
      </c>
      <c r="AA7" s="22">
        <f>(SUMIF(Table14[Party],Q7,Table14[Credit]))+_xlfn.IFNA(L86,0)</f>
        <v>5702935</v>
      </c>
      <c r="AB7" s="33">
        <f>Z7-AA7</f>
        <v>-723010.89612289611</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2182620</v>
      </c>
      <c r="AB12" s="33">
        <f t="shared" si="2"/>
        <v>408983.87710314617</v>
      </c>
      <c r="AC12" s="21">
        <v>10</v>
      </c>
      <c r="AD12" s="21">
        <v>13</v>
      </c>
    </row>
    <row r="13" spans="2:30" x14ac:dyDescent="0.3">
      <c r="B13" t="str">
        <f t="shared" si="0"/>
        <v>Badshah Fabrics</v>
      </c>
      <c r="C13" s="18">
        <f>SUMIFS(ledger!G:G, ledger!B:B, B13, ledger!E:E, "&lt;&gt;*RD*") / 1.0936</f>
        <v>61680.687637161675</v>
      </c>
      <c r="E13" s="14">
        <f>(SUMIFS(ledger!G:G, ledger!B:B, B13, ledger!E:E, "&lt;&gt;*RD*",ledger!D:D, "Silky") / 1.0936)*12 + (SUMIFS(ledger!G:G, ledger!B:B, B13, ledger!E:E, "&lt;&gt;*RD*",ledger!D:D, "Chamki") / 1.0936)*10</f>
        <v>711929.40746159479</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510302</v>
      </c>
      <c r="S16" s="22" cm="1">
        <f t="array" ref="S16">_xlfn.BYROW(B60, _xlfn.LAMBDA(_xlpm.party, SUMIFS(ledger!G:G, ledger!B:B, _xlpm.party, ledger!E:E, "&lt;&gt;*RD*") / 1.0936 ))+_xlfn.IFNA(D95,0)</f>
        <v>466625.82297000737</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110715.9839063643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1376153.0724213608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4935251.4630577918</v>
      </c>
      <c r="AA16" s="22">
        <f>(SUMIF(Table14[Party],Q16,Table14[Credit]))+_xlfn.IFNA(L95,0)</f>
        <v>4925761</v>
      </c>
      <c r="AB16" s="33">
        <f t="shared" si="2"/>
        <v>9490.4630577918142</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9241492.3189466</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3915571</v>
      </c>
      <c r="AB21" s="33">
        <f t="shared" ref="AB21:AB35" si="4">Z21-AA21</f>
        <v>206064.88149231952</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9241492.3189466</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1300000</v>
      </c>
      <c r="AB23" s="33">
        <f t="shared" si="4"/>
        <v>871553.58449158724</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300000</v>
      </c>
      <c r="AB27" s="33">
        <f t="shared" si="4"/>
        <v>39383.686905632785</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1">_xlfn.UNIQUE(Table1[Party Name])</f>
        <v>BSC</v>
      </c>
      <c r="C49" s="22" cm="1">
        <f t="array" ref="C49:C71">_xlfn.BYROW(_xlfn.ANCHORARRAY(B49),_xlfn.LAMBDA(_xlpm.party,SUMIFS(ledger!G:G,ledger!B:B,_xlpm.party,ledger!E:E,"&lt;&gt;*RD*")))</f>
        <v>99596</v>
      </c>
      <c r="D49" s="22" cm="1">
        <f t="array" ref="D49:D71">_xlfn.BYROW(_xlfn.ANCHORARRAY(B49), _xlfn.LAMBDA(_xlpm.party, SUMIFS(ledger!G:G, ledger!B:B, _xlpm.party, ledger!E:E, "&lt;&gt;*RD*") / 1.0936 ))</f>
        <v>91071.689831748357</v>
      </c>
      <c r="E49" s="63" cm="1">
        <f t="array" ref="E49:E71">(_xlfn.BYROW(_xlfn.ANCHORARRAY(B49),_xlfn.LAMBDA(_xlpm.party,SUMIFS(ledger!G:G,ledger!B:B,_xlpm.party,ledger!E:E,"&lt;&gt;*RD*",ledger!D:D,"Chamki")+SUMIFS(ledger!G:G, ledger!B:B, _xlpm.party, ledger!E:E, "&lt;&gt;*RD*", ledger!D:D, "Crinkle")))/1.0936)</f>
        <v>38648.500365764448</v>
      </c>
      <c r="F49" s="63" cm="1">
        <f t="array" ref="F49:F71">(_xlfn.BYROW(_xlfn.ANCHORARRAY(B49),_xlfn.LAMBDA(_xlpm.party,SUMIFS(ledger!G:G,ledger!B:B,_xlpm.party,ledger!E:E,"&lt;&gt;*RD*",ledger!D:D,"Silky")))/1.0936)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386485.00365764456</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1067986.4667154355</v>
      </c>
      <c r="L49" s="22">
        <f>(SUMIF(Table14[Party],B49,Table14[Credit]))</f>
        <v>1142958</v>
      </c>
      <c r="M49" s="37">
        <f>K49-L49</f>
        <v>-74971.533284564503</v>
      </c>
      <c r="N49" s="21">
        <v>10</v>
      </c>
      <c r="O49" s="21">
        <v>12</v>
      </c>
    </row>
    <row r="50" spans="1:26" x14ac:dyDescent="0.3">
      <c r="B50" s="24" t="str">
        <v>Ejaz Sahab</v>
      </c>
      <c r="C50" s="22">
        <v>28161</v>
      </c>
      <c r="D50" s="22">
        <v>25750.731528895394</v>
      </c>
      <c r="E50" s="63">
        <v>0</v>
      </c>
      <c r="F50" s="63">
        <v>25750.731528895394</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334759.50987564016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334759.50987564016</v>
      </c>
      <c r="L50" s="22">
        <f>(SUMIF(Table14[Party],B50,Table14[Credit]))</f>
        <v>200000</v>
      </c>
      <c r="M50" s="37">
        <f>K50-L50</f>
        <v>134759.50987564016</v>
      </c>
      <c r="N50" s="21">
        <v>10</v>
      </c>
      <c r="O50" s="21">
        <v>12</v>
      </c>
    </row>
    <row r="51" spans="1:26" x14ac:dyDescent="0.3">
      <c r="B51" s="24" t="str">
        <v>Arshad</v>
      </c>
      <c r="C51" s="22">
        <v>87874</v>
      </c>
      <c r="D51" s="22">
        <v>80352.96269202634</v>
      </c>
      <c r="E51" s="63">
        <v>56003.108997805415</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876579.1880029263</v>
      </c>
      <c r="L51" s="22">
        <f>(SUMIF(Table14[Party],B51,Table14[Credit]))</f>
        <v>1600000</v>
      </c>
      <c r="M51" s="37">
        <f>K51-L51</f>
        <v>-723420.8119970737</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565000</v>
      </c>
      <c r="M56" s="37">
        <f t="shared" ref="M56:M78" si="8">K56-L56</f>
        <v>81068.032187271398</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25750.731528895394</v>
      </c>
      <c r="Z58" s="18">
        <v>309008.77834674472</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80352.96269202634</v>
      </c>
      <c r="Z59" s="18">
        <v>852229.33430870529</v>
      </c>
    </row>
    <row r="60" spans="1:26" x14ac:dyDescent="0.3">
      <c r="B60" s="24" t="str">
        <v>Badshah Fabrics</v>
      </c>
      <c r="C60" s="22">
        <v>67454</v>
      </c>
      <c r="D60" s="22">
        <v>61680.687637161675</v>
      </c>
      <c r="E60" s="63">
        <v>14119.422092172643</v>
      </c>
      <c r="F60" s="63">
        <v>47561.26554498903</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618296.45208485739</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759490.67300658382</v>
      </c>
      <c r="L60" s="22">
        <f>SUMIF(Table14[Party], B60, Table14[Credit])</f>
        <v>925217</v>
      </c>
      <c r="M60" s="37">
        <f t="shared" si="8"/>
        <v>-165726.32699341618</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1000000</v>
      </c>
      <c r="M65" s="37">
        <f t="shared" si="8"/>
        <v>474506.21799561102</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500000</v>
      </c>
      <c r="M67" s="37">
        <f t="shared" si="8"/>
        <v>549295.90343818581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61680.687637161675</v>
      </c>
      <c r="Z68" s="18">
        <v>711929.40746159479</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169</v>
      </c>
      <c r="Y69" s="5">
        <v>0</v>
      </c>
      <c r="Z69" s="18">
        <v>0</v>
      </c>
    </row>
    <row r="70" spans="2:26" x14ac:dyDescent="0.3">
      <c r="B70" t="str">
        <v>Hameed corporation</v>
      </c>
      <c r="C70">
        <v>10015</v>
      </c>
      <c r="D70">
        <v>9157.8273591806883</v>
      </c>
      <c r="E70">
        <v>9157.8273591806883</v>
      </c>
      <c r="F70">
        <v>0</v>
      </c>
      <c r="G70" s="22" cm="1">
        <f t="array" ref="G70">(_xlfn.BYROW(B70,_xlfn.LAMBDA(_xlpm.party,
(SUMIFS(ledger!J:J,ledger!B:B,_xlpm.party,ledger!E:E,"&lt;&gt;*RD*",ledger!D:D,"Chamki",ledger!C:C,"&lt;&gt;October Closing CF")+
SUMIFS(ledger!J:J,ledger!B:B,_xlpm.party,ledger!E:E,"&lt;&gt;*RD*",ledger!D:D,"Crinkle",ledger!C:C,"&lt;&gt;October Closing CF")
))))</f>
        <v>91578.273591806879</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91578.273591806879</v>
      </c>
      <c r="L70" s="22">
        <f>SUMIF(Table14[Party], B70, Table14[Credit])</f>
        <v>0</v>
      </c>
      <c r="M70" s="37">
        <f t="shared" si="8"/>
        <v>91578.273591806879</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300000</v>
      </c>
      <c r="M71" s="37">
        <f t="shared" si="8"/>
        <v>39383.686905632785</v>
      </c>
      <c r="X71" s="4" t="s">
        <v>177</v>
      </c>
      <c r="Y71" s="5">
        <v>0</v>
      </c>
      <c r="Z71" s="18">
        <v>0</v>
      </c>
    </row>
    <row r="72" spans="2:26" x14ac:dyDescent="0.3">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613890.81931236293</v>
      </c>
      <c r="Z74" s="14">
        <v>6665925.3840526715</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6">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6"/>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6">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2305004</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2107721.2874908559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1934050.8412582297</v>
      </c>
      <c r="E12" s="92">
        <f ca="1">Table21[[#This Row],[gazana]]*Table21[[#This Row],[Rate]]</f>
        <v>19340508.412582297</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21424553.767373811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19554634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1955234.3247988336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sheetData>
  <conditionalFormatting sqref="E20">
    <cfRule type="cellIs" dxfId="3" priority="1" operator="lessThan">
      <formula>20000</formula>
    </cfRule>
    <cfRule type="cellIs" dxfId="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3178510</v>
      </c>
      <c r="D4" t="s">
        <v>219</v>
      </c>
    </row>
    <row r="5" spans="1:4" x14ac:dyDescent="0.3">
      <c r="B5" t="s">
        <v>48</v>
      </c>
      <c r="C5" s="11">
        <f>SUM(Table8[Price])+Table2325[[#Totals],[total]]</f>
        <v>943320</v>
      </c>
    </row>
    <row r="6" spans="1:4" x14ac:dyDescent="0.3">
      <c r="B6" t="s">
        <v>49</v>
      </c>
      <c r="C6" s="11">
        <f>SUM(Table2[Price])+Finish!J30</f>
        <v>600000</v>
      </c>
      <c r="D6" t="s">
        <v>218</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80000</v>
      </c>
    </row>
    <row r="10" spans="1:4" x14ac:dyDescent="0.3">
      <c r="B10" t="s">
        <v>53</v>
      </c>
      <c r="C10" s="11">
        <f>Table5[[#Totals],[Amount]]</f>
        <v>55990</v>
      </c>
    </row>
    <row r="11" spans="1:4" x14ac:dyDescent="0.3">
      <c r="B11" t="s">
        <v>54</v>
      </c>
      <c r="C11" s="11">
        <f>Table13[[#Totals],[Debit]]</f>
        <v>96750</v>
      </c>
    </row>
    <row r="12" spans="1:4" x14ac:dyDescent="0.3">
      <c r="B12" t="s">
        <v>55</v>
      </c>
      <c r="C12" s="11">
        <f>Table15[[#Totals],[Amount]]</f>
        <v>150620</v>
      </c>
    </row>
    <row r="13" spans="1:4" x14ac:dyDescent="0.3">
      <c r="C13" s="11"/>
    </row>
    <row r="14" spans="1:4" x14ac:dyDescent="0.3">
      <c r="C14" s="14">
        <f>SUM(Table12[Amount])</f>
        <v>5114510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9241492.3189466</v>
      </c>
    </row>
    <row r="4" spans="1:3" x14ac:dyDescent="0.3">
      <c r="B4" s="11" t="s">
        <v>44</v>
      </c>
      <c r="C4" s="11">
        <f>Table12[[#Totals],[Amount]]</f>
        <v>5114510</v>
      </c>
    </row>
    <row r="5" spans="1:3" x14ac:dyDescent="0.3">
      <c r="A5" s="6"/>
      <c r="B5" s="15" t="s">
        <v>68</v>
      </c>
      <c r="C5" s="15">
        <f>C3-C4</f>
        <v>4126982.3189466</v>
      </c>
    </row>
    <row r="10" spans="1:3" ht="15" thickBot="1" x14ac:dyDescent="0.35">
      <c r="B10" t="s">
        <v>66</v>
      </c>
      <c r="C10" s="14" t="s">
        <v>67</v>
      </c>
    </row>
    <row r="11" spans="1:3" x14ac:dyDescent="0.3">
      <c r="B11" s="56" t="s">
        <v>0</v>
      </c>
      <c r="C11" s="57">
        <f>C3</f>
        <v>9241492.3189466</v>
      </c>
    </row>
    <row r="12" spans="1:3" x14ac:dyDescent="0.3">
      <c r="B12" s="58" t="s">
        <v>69</v>
      </c>
      <c r="C12" s="59">
        <f>SUM(Table14[Credit])</f>
        <v>8363782</v>
      </c>
    </row>
    <row r="13" spans="1:3" ht="15" thickBot="1" x14ac:dyDescent="0.35">
      <c r="B13" s="74" t="s">
        <v>94</v>
      </c>
      <c r="C13" s="73">
        <f>(C11-C12)</f>
        <v>877710.31894659996</v>
      </c>
    </row>
    <row r="14" spans="1:3" ht="15" thickBot="1" x14ac:dyDescent="0.35">
      <c r="B14" s="58"/>
      <c r="C14" s="59"/>
    </row>
    <row r="15" spans="1:3" x14ac:dyDescent="0.3">
      <c r="B15" s="56" t="s">
        <v>44</v>
      </c>
      <c r="C15" s="57">
        <f>C4</f>
        <v>5114510</v>
      </c>
    </row>
    <row r="16" spans="1:3" x14ac:dyDescent="0.3">
      <c r="B16" s="58" t="s">
        <v>70</v>
      </c>
      <c r="C16" s="59">
        <f>SUM(Table14[Debit])</f>
        <v>8334504</v>
      </c>
    </row>
    <row r="17" spans="2:6" ht="15" thickBot="1" x14ac:dyDescent="0.35">
      <c r="B17" s="74" t="s">
        <v>71</v>
      </c>
      <c r="C17" s="73">
        <f>C15-C16</f>
        <v>-3219994</v>
      </c>
    </row>
    <row r="18" spans="2:6" ht="15" thickBot="1" x14ac:dyDescent="0.35">
      <c r="B18" s="58"/>
      <c r="C18" s="59"/>
    </row>
    <row r="19" spans="2:6" ht="15" thickBot="1" x14ac:dyDescent="0.35">
      <c r="B19" s="75" t="s">
        <v>72</v>
      </c>
      <c r="C19" s="76">
        <f>Table18[[#Totals],[amount]]</f>
        <v>29278</v>
      </c>
    </row>
    <row r="20" spans="2:6" ht="15" thickBot="1" x14ac:dyDescent="0.35">
      <c r="B20" s="71"/>
      <c r="C20" s="72"/>
    </row>
    <row r="21" spans="2:6" ht="15" thickBot="1" x14ac:dyDescent="0.35">
      <c r="B21" s="60" t="s">
        <v>73</v>
      </c>
      <c r="C21" s="61">
        <f>(C13-C17)+C19</f>
        <v>4126982.3189466</v>
      </c>
      <c r="E21" s="79" t="s">
        <v>74</v>
      </c>
      <c r="F21" s="80">
        <f>C5*0.05</f>
        <v>206349.11594733002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96750</v>
      </c>
      <c r="E38">
        <f>SUBTOTAL(109,Table13[Credit])</f>
        <v>0</v>
      </c>
      <c r="F38">
        <f>Table13[[#Totals],[Debit]]-Table13[[#Totals],[Credit]]</f>
        <v>96750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4"/>
  <sheetViews>
    <sheetView topLeftCell="A126" zoomScale="82" zoomScaleNormal="82" workbookViewId="0">
      <selection activeCell="H154" sqref="H15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184</v>
      </c>
      <c r="C97" s="126">
        <v>1106</v>
      </c>
      <c r="D97" s="126" t="s">
        <v>87</v>
      </c>
      <c r="E97" s="11">
        <v>1906</v>
      </c>
      <c r="F97" s="11">
        <v>36489</v>
      </c>
      <c r="G97" s="11">
        <v>27661</v>
      </c>
      <c r="H97" s="127">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184</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184</v>
      </c>
      <c r="C99" s="126">
        <v>1108</v>
      </c>
      <c r="D99" s="126" t="s">
        <v>87</v>
      </c>
      <c r="E99" s="11">
        <v>1883</v>
      </c>
      <c r="F99" s="11">
        <v>8030</v>
      </c>
      <c r="G99" s="11">
        <v>1819</v>
      </c>
      <c r="H99" s="127">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242</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242</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243</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153</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153</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153</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153</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167</v>
      </c>
      <c r="C118" s="126">
        <v>1127</v>
      </c>
      <c r="D118" s="126" t="s">
        <v>85</v>
      </c>
      <c r="E118" s="11" t="s">
        <v>254</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188</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188</v>
      </c>
      <c r="C120" s="126">
        <v>1129</v>
      </c>
      <c r="D120" s="126" t="s">
        <v>85</v>
      </c>
      <c r="E120" s="11">
        <v>1926</v>
      </c>
      <c r="F120" s="11">
        <v>79388</v>
      </c>
      <c r="G120" s="11">
        <v>21877</v>
      </c>
      <c r="H120" s="127">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167</v>
      </c>
      <c r="C122" s="126">
        <v>1131</v>
      </c>
      <c r="D122" s="126" t="s">
        <v>85</v>
      </c>
      <c r="E122" s="11" t="s">
        <v>254</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1">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188</v>
      </c>
      <c r="C127" s="126">
        <v>1136</v>
      </c>
      <c r="D127" s="126" t="s">
        <v>85</v>
      </c>
      <c r="E127" s="11">
        <v>1926</v>
      </c>
      <c r="F127" s="11">
        <v>79388</v>
      </c>
      <c r="G127" s="11">
        <v>8891</v>
      </c>
      <c r="H127" s="127">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8">
        <v>45987</v>
      </c>
      <c r="B128" s="126" t="s">
        <v>188</v>
      </c>
      <c r="C128" s="126">
        <v>1137</v>
      </c>
      <c r="D128" s="126" t="s">
        <v>85</v>
      </c>
      <c r="E128" s="11">
        <v>1926</v>
      </c>
      <c r="F128" s="11">
        <v>79388</v>
      </c>
      <c r="G128" s="11">
        <v>35579</v>
      </c>
      <c r="H128" s="127">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8">
        <v>45987</v>
      </c>
      <c r="B129" s="126" t="s">
        <v>9</v>
      </c>
      <c r="C129" s="126">
        <v>1138</v>
      </c>
      <c r="D129" s="126" t="s">
        <v>85</v>
      </c>
      <c r="E129" s="11">
        <v>1905</v>
      </c>
      <c r="F129" s="11">
        <v>62248</v>
      </c>
      <c r="G129" s="11">
        <v>6313</v>
      </c>
      <c r="H129" s="127">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8">
        <v>45987</v>
      </c>
      <c r="B130" s="126" t="s">
        <v>188</v>
      </c>
      <c r="C130" s="126">
        <v>1139</v>
      </c>
      <c r="D130" s="126" t="s">
        <v>85</v>
      </c>
      <c r="E130" s="11">
        <v>1926</v>
      </c>
      <c r="F130" s="11">
        <v>79388</v>
      </c>
      <c r="G130" s="11">
        <v>11064</v>
      </c>
      <c r="H130" s="127">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8">
        <v>45988</v>
      </c>
      <c r="B131" s="126" t="s">
        <v>300</v>
      </c>
      <c r="C131" s="126">
        <v>1140</v>
      </c>
      <c r="D131" s="126" t="s">
        <v>85</v>
      </c>
      <c r="E131" s="11">
        <v>1935</v>
      </c>
      <c r="F131" s="11">
        <v>9377</v>
      </c>
      <c r="G131" s="11">
        <v>10015</v>
      </c>
      <c r="H131" s="127">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8">
        <v>45988</v>
      </c>
      <c r="B132" s="126" t="s">
        <v>9</v>
      </c>
      <c r="C132" s="126">
        <v>1141</v>
      </c>
      <c r="D132" s="126" t="s">
        <v>85</v>
      </c>
      <c r="E132" s="11">
        <v>1905</v>
      </c>
      <c r="F132" s="11">
        <v>62248</v>
      </c>
      <c r="G132" s="11">
        <v>16439</v>
      </c>
      <c r="H132" s="127">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8">
        <v>45988</v>
      </c>
      <c r="B133" s="126" t="s">
        <v>167</v>
      </c>
      <c r="C133" s="126">
        <v>1142</v>
      </c>
      <c r="D133" s="126" t="s">
        <v>87</v>
      </c>
      <c r="E133" s="11">
        <v>1888</v>
      </c>
      <c r="F133" s="11">
        <v>28436</v>
      </c>
      <c r="G133" s="11">
        <v>5770</v>
      </c>
      <c r="H133" s="127">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8">
        <v>45988</v>
      </c>
      <c r="B134" s="126" t="s">
        <v>167</v>
      </c>
      <c r="C134" s="126">
        <v>1143</v>
      </c>
      <c r="D134" s="126" t="s">
        <v>87</v>
      </c>
      <c r="E134" s="11">
        <v>1888</v>
      </c>
      <c r="F134" s="11">
        <v>28436</v>
      </c>
      <c r="G134" s="11">
        <v>20407</v>
      </c>
      <c r="H134" s="127">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8">
        <v>45988</v>
      </c>
      <c r="B135" s="126" t="s">
        <v>167</v>
      </c>
      <c r="C135" s="126">
        <v>1144</v>
      </c>
      <c r="D135" s="126" t="s">
        <v>87</v>
      </c>
      <c r="E135" s="11">
        <v>1925</v>
      </c>
      <c r="F135" s="11">
        <v>10000</v>
      </c>
      <c r="G135" s="11">
        <v>10647</v>
      </c>
      <c r="H135" s="127">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8">
        <v>45988</v>
      </c>
      <c r="B136" s="126" t="s">
        <v>167</v>
      </c>
      <c r="C136" s="126">
        <v>1145</v>
      </c>
      <c r="D136" s="126" t="s">
        <v>87</v>
      </c>
      <c r="E136" s="11">
        <v>1893</v>
      </c>
      <c r="F136" s="11">
        <v>10212</v>
      </c>
      <c r="G136" s="11">
        <v>10280</v>
      </c>
      <c r="H136" s="127">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8">
        <v>45989</v>
      </c>
      <c r="B137" s="126" t="s">
        <v>167</v>
      </c>
      <c r="C137" s="126">
        <v>1146</v>
      </c>
      <c r="D137" s="126" t="s">
        <v>87</v>
      </c>
      <c r="E137" s="11">
        <v>1894</v>
      </c>
      <c r="F137" s="11">
        <v>8049</v>
      </c>
      <c r="G137" s="11">
        <v>4909</v>
      </c>
      <c r="H137" s="127">
        <f>_xlfn.XLOOKUP(Table1[[#This Row],[Shipment Number]], 'pivot '!A:A,'pivot '!G:G, "NF")</f>
        <v>44.231032620881081</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8">
        <v>45989</v>
      </c>
      <c r="B138" s="126" t="s">
        <v>184</v>
      </c>
      <c r="C138" s="126">
        <v>1147</v>
      </c>
      <c r="D138" s="126" t="s">
        <v>87</v>
      </c>
      <c r="E138" s="11">
        <v>1906</v>
      </c>
      <c r="F138" s="11">
        <v>36489</v>
      </c>
      <c r="G138" s="11">
        <v>11455</v>
      </c>
      <c r="H138" s="127">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8">
        <v>45989</v>
      </c>
      <c r="B139" s="126" t="s">
        <v>184</v>
      </c>
      <c r="C139" s="126">
        <v>1148</v>
      </c>
      <c r="D139" s="126" t="s">
        <v>87</v>
      </c>
      <c r="E139" s="11">
        <v>1883</v>
      </c>
      <c r="F139" s="11">
        <v>8030</v>
      </c>
      <c r="G139" s="11">
        <v>6736</v>
      </c>
      <c r="H139" s="127">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8">
        <v>45990</v>
      </c>
      <c r="B140" s="126" t="s">
        <v>184</v>
      </c>
      <c r="C140" s="126">
        <v>1149</v>
      </c>
      <c r="D140" s="126" t="s">
        <v>87</v>
      </c>
      <c r="E140" s="11">
        <v>1936</v>
      </c>
      <c r="F140" s="11">
        <v>35101</v>
      </c>
      <c r="G140" s="11">
        <v>33442</v>
      </c>
      <c r="H140" s="127">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8">
        <v>45990</v>
      </c>
      <c r="B141" s="126" t="s">
        <v>184</v>
      </c>
      <c r="C141" s="126">
        <v>1150</v>
      </c>
      <c r="D141" s="126" t="s">
        <v>87</v>
      </c>
      <c r="E141" s="11">
        <v>1936</v>
      </c>
      <c r="F141" s="11">
        <v>35101</v>
      </c>
      <c r="G141" s="11">
        <v>4016</v>
      </c>
      <c r="H141" s="127">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8">
        <v>45990</v>
      </c>
      <c r="B142" s="126" t="s">
        <v>184</v>
      </c>
      <c r="C142" s="126">
        <v>1151</v>
      </c>
      <c r="D142" s="126" t="s">
        <v>87</v>
      </c>
      <c r="E142" s="11">
        <v>1937</v>
      </c>
      <c r="F142" s="11">
        <v>11699</v>
      </c>
      <c r="G142" s="11">
        <v>12441</v>
      </c>
      <c r="H142" s="127">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8">
        <v>45990</v>
      </c>
      <c r="B143" s="126" t="s">
        <v>184</v>
      </c>
      <c r="C143" s="126">
        <v>1152</v>
      </c>
      <c r="D143" s="126" t="s">
        <v>87</v>
      </c>
      <c r="E143" s="11">
        <v>1939</v>
      </c>
      <c r="F143" s="11">
        <v>26689</v>
      </c>
      <c r="G143" s="11">
        <v>25635</v>
      </c>
      <c r="H143" s="127">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8">
        <v>45990</v>
      </c>
      <c r="B144" s="126" t="s">
        <v>298</v>
      </c>
      <c r="C144" s="126">
        <v>1153</v>
      </c>
      <c r="D144" s="126" t="s">
        <v>87</v>
      </c>
      <c r="E144" s="11">
        <v>1913</v>
      </c>
      <c r="F144" s="11">
        <v>10441</v>
      </c>
      <c r="G144" s="11">
        <v>10780</v>
      </c>
      <c r="H144" s="127">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8">
        <v>45990</v>
      </c>
      <c r="B145" s="126" t="s">
        <v>298</v>
      </c>
      <c r="C145" s="126">
        <v>1154</v>
      </c>
      <c r="D145" s="126" t="s">
        <v>87</v>
      </c>
      <c r="E145" s="11">
        <v>1912</v>
      </c>
      <c r="F145" s="11">
        <v>16530</v>
      </c>
      <c r="G145" s="11">
        <v>17770</v>
      </c>
      <c r="H145" s="127">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8">
        <v>45990</v>
      </c>
      <c r="B146" s="126" t="s">
        <v>22</v>
      </c>
      <c r="C146" s="126">
        <v>1155</v>
      </c>
      <c r="D146" s="126" t="s">
        <v>87</v>
      </c>
      <c r="E146" s="11">
        <v>1915</v>
      </c>
      <c r="F146" s="11">
        <v>20458</v>
      </c>
      <c r="G146" s="11">
        <v>4931</v>
      </c>
      <c r="H146" s="127">
        <f>_xlfn.XLOOKUP(Table1[[#This Row],[Shipment Number]], 'pivot '!A:A,'pivot '!G:G, "NF")</f>
        <v>77.959911873259628</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8">
        <v>45990</v>
      </c>
      <c r="B147" s="126" t="s">
        <v>22</v>
      </c>
      <c r="C147" s="126">
        <v>1156</v>
      </c>
      <c r="D147" s="126" t="s">
        <v>87</v>
      </c>
      <c r="E147" s="11">
        <v>1899</v>
      </c>
      <c r="F147" s="11">
        <v>12051</v>
      </c>
      <c r="G147" s="11">
        <v>6942</v>
      </c>
      <c r="H147" s="127">
        <f>_xlfn.XLOOKUP(Table1[[#This Row],[Shipment Number]], 'pivot '!A:A,'pivot '!G:G, "NF")</f>
        <v>47.325184716964607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8">
        <v>45990</v>
      </c>
      <c r="B148" s="126" t="s">
        <v>21</v>
      </c>
      <c r="C148" s="126">
        <v>1157</v>
      </c>
      <c r="D148" s="126" t="s">
        <v>85</v>
      </c>
      <c r="E148" s="11">
        <v>1934</v>
      </c>
      <c r="F148" s="11">
        <v>38741</v>
      </c>
      <c r="G148" s="11">
        <v>2751</v>
      </c>
      <c r="H148" s="127">
        <f>_xlfn.XLOOKUP(Table1[[#This Row],[Shipment Number]], 'pivot '!A:A,'pivot '!G:G, "NF")</f>
        <v>57.367921231515425</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c r="B149"/>
      <c r="C149"/>
      <c r="D149"/>
      <c r="E149" s="14"/>
      <c r="F149" s="14"/>
      <c r="G149" s="14"/>
      <c r="H149" s="43"/>
      <c r="I149" s="94" cm="1">
        <f t="array" aca="1" ref="I149" ca="1">SUMPRODUCT( SUBTOTAL(109, OFFSET(Table1[tiyar/meters], ROW(Table1[tiyar/meters])-MIN(ROW(Table1[tiyar/meters])), 0, 1)), --(Table1[Bill Number]&lt;&gt;"October Closing CF") )</f>
        <v>827841.98975859582</v>
      </c>
      <c r="J149" s="43" cm="1">
        <f t="array" aca="1" ref="J149" ca="1">SUMPRODUCT( SUBTOTAL(109, OFFSET(Table1[billing], ROW(Table1[billing])-MIN(ROW(Table1[billing])), 0, 1)), --(Table1[Bill Number]&lt;&gt;"October Closing CF") )</f>
        <v>9241492.3189465981</v>
      </c>
      <c r="K149" s="14">
        <f>SUMIFS(Table1[billing], Table1[Bill Number], "&lt;&gt;October Closing CF")</f>
        <v>9241492.3189465981</v>
      </c>
    </row>
    <row r="150" spans="1:11" x14ac:dyDescent="0.3">
      <c r="D150"/>
      <c r="E150"/>
    </row>
    <row r="151" spans="1:11" x14ac:dyDescent="0.3">
      <c r="D151"/>
      <c r="E151"/>
    </row>
    <row r="152" spans="1:11" x14ac:dyDescent="0.3">
      <c r="D152"/>
      <c r="E152"/>
    </row>
    <row r="154" spans="1:11" x14ac:dyDescent="0.3">
      <c r="D154"/>
      <c r="E154"/>
      <c r="F154"/>
      <c r="G154"/>
      <c r="I154"/>
      <c r="J154"/>
      <c r="K154"/>
    </row>
    <row r="155" spans="1:11" x14ac:dyDescent="0.3">
      <c r="D155"/>
      <c r="E155"/>
      <c r="F155"/>
      <c r="G155"/>
      <c r="I155"/>
      <c r="J155"/>
      <c r="K155"/>
    </row>
    <row r="156" spans="1:11" x14ac:dyDescent="0.3">
      <c r="D156"/>
      <c r="E156"/>
      <c r="F156"/>
      <c r="G156"/>
      <c r="I156"/>
      <c r="J156"/>
      <c r="K156"/>
    </row>
    <row r="157" spans="1:11" x14ac:dyDescent="0.3">
      <c r="D157"/>
      <c r="E157"/>
      <c r="F157"/>
      <c r="G157"/>
      <c r="I157"/>
      <c r="J157"/>
      <c r="K157"/>
    </row>
    <row r="158" spans="1:11" x14ac:dyDescent="0.3">
      <c r="D158"/>
      <c r="E158"/>
      <c r="F158"/>
      <c r="G158"/>
      <c r="I158"/>
      <c r="J158"/>
      <c r="K158"/>
    </row>
    <row r="159" spans="1:11" x14ac:dyDescent="0.3">
      <c r="D159"/>
      <c r="E159"/>
      <c r="F159"/>
      <c r="G159"/>
      <c r="I159"/>
      <c r="J159"/>
      <c r="K159"/>
    </row>
    <row r="160" spans="1:11" x14ac:dyDescent="0.3">
      <c r="D160"/>
      <c r="E160"/>
      <c r="F160"/>
      <c r="G160"/>
      <c r="I160"/>
      <c r="J160"/>
      <c r="K160"/>
    </row>
    <row r="161" spans="4:12" x14ac:dyDescent="0.3">
      <c r="D161"/>
      <c r="E161"/>
      <c r="F161"/>
      <c r="G161"/>
      <c r="I161"/>
      <c r="J161"/>
      <c r="K161"/>
    </row>
    <row r="162" spans="4:12" x14ac:dyDescent="0.3">
      <c r="D162"/>
      <c r="E162"/>
      <c r="F162"/>
      <c r="G162"/>
      <c r="I162"/>
      <c r="J162"/>
      <c r="K162"/>
    </row>
    <row r="163" spans="4:12" x14ac:dyDescent="0.3">
      <c r="D163"/>
      <c r="E163"/>
      <c r="F163"/>
      <c r="G163"/>
      <c r="I163"/>
      <c r="J163"/>
      <c r="K163"/>
      <c r="L163"/>
    </row>
    <row r="164" spans="4:12" x14ac:dyDescent="0.3">
      <c r="D164"/>
      <c r="E164"/>
      <c r="F164"/>
      <c r="G164"/>
      <c r="I164"/>
      <c r="J164"/>
      <c r="K164"/>
    </row>
    <row r="165" spans="4:12" x14ac:dyDescent="0.3">
      <c r="D165"/>
      <c r="E165"/>
      <c r="F165"/>
      <c r="G165"/>
      <c r="I165"/>
      <c r="J165"/>
      <c r="K165"/>
    </row>
    <row r="166" spans="4:12" x14ac:dyDescent="0.3">
      <c r="D166"/>
      <c r="E166"/>
      <c r="F166"/>
      <c r="G166"/>
      <c r="I166"/>
      <c r="J166"/>
      <c r="K166"/>
    </row>
    <row r="167" spans="4:12" x14ac:dyDescent="0.3">
      <c r="D167"/>
      <c r="E167"/>
      <c r="F167"/>
      <c r="G167"/>
      <c r="I167"/>
      <c r="J167"/>
      <c r="K167"/>
    </row>
    <row r="168" spans="4:12" x14ac:dyDescent="0.3">
      <c r="D168"/>
      <c r="E168"/>
      <c r="F168"/>
      <c r="G168"/>
      <c r="I168"/>
      <c r="J168"/>
      <c r="K168"/>
    </row>
    <row r="169" spans="4:12" x14ac:dyDescent="0.3">
      <c r="D169"/>
      <c r="E169"/>
      <c r="F169"/>
      <c r="G169"/>
      <c r="I169"/>
      <c r="J169"/>
      <c r="K169"/>
    </row>
    <row r="170" spans="4:12" x14ac:dyDescent="0.3">
      <c r="D170"/>
      <c r="E170"/>
      <c r="F170"/>
      <c r="G170"/>
      <c r="I170"/>
      <c r="J170"/>
      <c r="K170"/>
    </row>
    <row r="171" spans="4:12" x14ac:dyDescent="0.3">
      <c r="D171"/>
      <c r="E171"/>
      <c r="F171"/>
      <c r="G171"/>
      <c r="I171"/>
      <c r="J171"/>
      <c r="K171"/>
    </row>
    <row r="172" spans="4:12" x14ac:dyDescent="0.3">
      <c r="D172"/>
      <c r="E172"/>
      <c r="F172"/>
      <c r="G172"/>
      <c r="I172"/>
      <c r="J172"/>
      <c r="K172"/>
    </row>
    <row r="173" spans="4:12" x14ac:dyDescent="0.3">
      <c r="D173"/>
      <c r="E173"/>
      <c r="F173"/>
      <c r="G173"/>
      <c r="I173"/>
      <c r="J173"/>
      <c r="K173"/>
    </row>
    <row r="174" spans="4:12" x14ac:dyDescent="0.3">
      <c r="D174"/>
      <c r="E174"/>
      <c r="F174"/>
      <c r="G174"/>
      <c r="I174"/>
      <c r="J174"/>
      <c r="K174"/>
    </row>
    <row r="175" spans="4:12" x14ac:dyDescent="0.3">
      <c r="D175"/>
      <c r="E175"/>
      <c r="F175"/>
      <c r="G175"/>
      <c r="I175"/>
      <c r="J175"/>
      <c r="K175"/>
    </row>
    <row r="176" spans="4:12"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sheetData>
  <phoneticPr fontId="7" alignment="center"/>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1"/>
  <sheetViews>
    <sheetView topLeftCell="B29" zoomScale="145" zoomScaleNormal="90" workbookViewId="0">
      <selection activeCell="I31" sqref="I3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2611510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285</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281</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293</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311</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c r="D26" s="11"/>
      <c r="E26" s="11"/>
      <c r="F26" s="11"/>
      <c r="G26" s="11">
        <f t="shared" ref="G26:G27" si="7">D26*E26</f>
        <v>0</v>
      </c>
      <c r="H26" s="11">
        <f>SUMIFS(Table14[Debit], Table14[Date], Table3[[#This Row],[Date]], Table14[Party], Table3[[#This Row],[Party Name]])</f>
        <v>0</v>
      </c>
      <c r="I26" s="11">
        <f>(D26*E26)-Table3[[#This Row],[Paid]]</f>
        <v>0</v>
      </c>
      <c r="L26" s="26">
        <v>45986</v>
      </c>
      <c r="M26" s="14">
        <v>676</v>
      </c>
      <c r="N26" s="14">
        <v>538290</v>
      </c>
      <c r="O26" s="14">
        <v>107800</v>
      </c>
      <c r="P26" s="14">
        <v>430490</v>
      </c>
    </row>
    <row r="27" spans="1:16" x14ac:dyDescent="0.3">
      <c r="A27" s="1"/>
      <c r="D27" s="11"/>
      <c r="E27" s="11"/>
      <c r="F27" s="11"/>
      <c r="G27" s="11">
        <f t="shared" si="7"/>
        <v>0</v>
      </c>
      <c r="H27" s="11">
        <f>SUMIFS(Table14[Debit], Table14[Date], Table3[[#This Row],[Date]], Table14[Party], Table3[[#This Row],[Party Name]])</f>
        <v>0</v>
      </c>
      <c r="I27" s="11">
        <f>(D27*E27)-Table3[[#This Row],[Paid]]</f>
        <v>0</v>
      </c>
      <c r="L27" s="42" t="s">
        <v>270</v>
      </c>
      <c r="M27" s="14">
        <v>470</v>
      </c>
      <c r="N27" s="14">
        <v>380700</v>
      </c>
      <c r="O27" s="14">
        <v>107800</v>
      </c>
      <c r="P27" s="14">
        <v>272900</v>
      </c>
    </row>
    <row r="28" spans="1:16" x14ac:dyDescent="0.3">
      <c r="A28" s="1"/>
      <c r="D28" s="14"/>
      <c r="E28" s="14"/>
      <c r="F28" s="14"/>
      <c r="G28" s="14">
        <f>SUBTOTAL(109,Table3[Total])</f>
        <v>2611510</v>
      </c>
      <c r="H28" s="14">
        <f>SUBTOTAL(109,Table3[Paid])</f>
        <v>2385093</v>
      </c>
      <c r="I28" s="14">
        <f>SUBTOTAL(109,Table3[balance])</f>
        <v>3550870</v>
      </c>
      <c r="L28" s="42" t="s">
        <v>271</v>
      </c>
      <c r="M28" s="14">
        <v>206</v>
      </c>
      <c r="N28" s="14">
        <v>157590</v>
      </c>
      <c r="O28" s="14"/>
      <c r="P28" s="14">
        <v>157590</v>
      </c>
    </row>
    <row r="29" spans="1:16" x14ac:dyDescent="0.3">
      <c r="K29" s="14"/>
      <c r="L29" s="26">
        <v>45987</v>
      </c>
      <c r="M29" s="14">
        <v>665</v>
      </c>
      <c r="N29" s="14">
        <v>527130</v>
      </c>
      <c r="O29" s="14">
        <v>447823</v>
      </c>
      <c r="P29" s="14">
        <v>79307</v>
      </c>
    </row>
    <row r="30" spans="1:16" x14ac:dyDescent="0.3">
      <c r="L30" s="42" t="s">
        <v>285</v>
      </c>
      <c r="M30" s="14">
        <v>281</v>
      </c>
      <c r="N30" s="14">
        <v>227610</v>
      </c>
      <c r="O30" s="14">
        <v>347823</v>
      </c>
      <c r="P30" s="14">
        <v>-120213</v>
      </c>
    </row>
    <row r="31" spans="1:16" x14ac:dyDescent="0.3">
      <c r="L31" s="42" t="s">
        <v>281</v>
      </c>
      <c r="M31" s="14">
        <v>384</v>
      </c>
      <c r="N31" s="14">
        <v>299520</v>
      </c>
      <c r="O31" s="14">
        <v>100000</v>
      </c>
      <c r="P31" s="14">
        <v>199520</v>
      </c>
    </row>
    <row r="32" spans="1:16" x14ac:dyDescent="0.3">
      <c r="L32" s="26">
        <v>45988</v>
      </c>
      <c r="M32" s="14">
        <v>496</v>
      </c>
      <c r="N32" s="14">
        <v>401760</v>
      </c>
      <c r="O32" s="14">
        <v>281000</v>
      </c>
      <c r="P32" s="14">
        <v>120760</v>
      </c>
    </row>
    <row r="33" spans="12:16" x14ac:dyDescent="0.3">
      <c r="L33" s="42" t="s">
        <v>104</v>
      </c>
      <c r="M33" s="14"/>
      <c r="N33" s="14">
        <v>0</v>
      </c>
      <c r="O33" s="14">
        <v>175000</v>
      </c>
      <c r="P33" s="14">
        <v>-175000</v>
      </c>
    </row>
    <row r="34" spans="12:16" x14ac:dyDescent="0.3">
      <c r="L34" s="42" t="s">
        <v>293</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311</v>
      </c>
      <c r="M36" s="14">
        <v>287</v>
      </c>
      <c r="N36" s="14">
        <v>232470</v>
      </c>
      <c r="O36" s="14">
        <v>46100</v>
      </c>
      <c r="P36" s="14">
        <v>186370</v>
      </c>
    </row>
    <row r="37" spans="12:16" x14ac:dyDescent="0.3">
      <c r="L37" s="26" t="s">
        <v>104</v>
      </c>
      <c r="M37" s="14"/>
      <c r="N37" s="14">
        <v>0</v>
      </c>
      <c r="O37" s="14">
        <v>0</v>
      </c>
      <c r="P37" s="14">
        <v>0</v>
      </c>
    </row>
    <row r="38" spans="12:16" x14ac:dyDescent="0.3">
      <c r="L38" s="42" t="s">
        <v>104</v>
      </c>
      <c r="M38" s="14"/>
      <c r="N38" s="14">
        <v>0</v>
      </c>
      <c r="O38" s="14">
        <v>0</v>
      </c>
      <c r="P38" s="14">
        <v>0</v>
      </c>
    </row>
    <row r="39" spans="12:16" x14ac:dyDescent="0.3">
      <c r="L39" s="26">
        <v>45990</v>
      </c>
      <c r="M39" s="14"/>
      <c r="N39" s="14">
        <v>0</v>
      </c>
      <c r="O39" s="14">
        <v>400338</v>
      </c>
      <c r="P39" s="14">
        <v>-400338</v>
      </c>
    </row>
    <row r="40" spans="12:16" x14ac:dyDescent="0.3">
      <c r="L40" s="42" t="s">
        <v>104</v>
      </c>
      <c r="M40" s="14"/>
      <c r="N40" s="14">
        <v>0</v>
      </c>
      <c r="O40" s="14">
        <v>400338</v>
      </c>
      <c r="P40" s="14">
        <v>-400338</v>
      </c>
    </row>
    <row r="41" spans="12:16" x14ac:dyDescent="0.3">
      <c r="L41" s="26" t="s">
        <v>28</v>
      </c>
      <c r="M41" s="14">
        <v>3308</v>
      </c>
      <c r="N41" s="14">
        <v>2611510</v>
      </c>
      <c r="O41" s="14">
        <v>2385093</v>
      </c>
      <c r="P41" s="14">
        <v>3550870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01"/>
  <sheetViews>
    <sheetView topLeftCell="A172" zoomScale="104" workbookViewId="0">
      <selection activeCell="F191" sqref="F19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-533515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8334504</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8363782</v>
      </c>
      <c r="M5" s="45" t="s">
        <v>109</v>
      </c>
      <c r="N5" s="46">
        <f>(SUMIFS(Table14[Credit],Table14[Mode],"Bank")-SUMIFS(Table14[Debit],Table14[Mode],"Bank")-SUMIFS(Table14[Withdrawal],Table14[Mode],"Transfer"))</f>
        <v>635194</v>
      </c>
      <c r="O5">
        <v>360000</v>
      </c>
    </row>
    <row r="6" spans="1:16" x14ac:dyDescent="0.3">
      <c r="A6" s="38">
        <v>45980</v>
      </c>
      <c r="B6" t="s">
        <v>206</v>
      </c>
      <c r="C6" s="97">
        <v>2000</v>
      </c>
      <c r="D6" s="97"/>
      <c r="E6" t="s">
        <v>207</v>
      </c>
      <c r="F6" s="124" t="s">
        <v>110</v>
      </c>
      <c r="J6" s="52" t="s">
        <v>43</v>
      </c>
      <c r="K6" s="53">
        <f>(K5-K4)</f>
        <v>29278</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29278</v>
      </c>
      <c r="O7" s="90">
        <f>SUM(O5,O6)</f>
        <v>410000</v>
      </c>
      <c r="P7" s="14">
        <f>Table18[[#Totals],[amount]]-Table18[[#Totals],[Actual]]</f>
        <v>-380722</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30">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30">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276</v>
      </c>
      <c r="C116" s="11"/>
      <c r="D116" s="11">
        <v>100000</v>
      </c>
      <c r="E116" t="s">
        <v>228</v>
      </c>
      <c r="F116" s="124" t="s">
        <v>109</v>
      </c>
    </row>
    <row r="117" spans="1:6" x14ac:dyDescent="0.3">
      <c r="A117" s="125">
        <v>45987</v>
      </c>
      <c r="B117" t="s">
        <v>95</v>
      </c>
      <c r="C117" s="11">
        <v>302123</v>
      </c>
      <c r="D117" s="11"/>
      <c r="E117" t="s">
        <v>277</v>
      </c>
      <c r="F117" s="124" t="s">
        <v>109</v>
      </c>
    </row>
    <row r="118" spans="1:6" x14ac:dyDescent="0.3">
      <c r="A118" s="125">
        <v>45987</v>
      </c>
      <c r="B118" t="s">
        <v>183</v>
      </c>
      <c r="C118" s="11"/>
      <c r="D118" s="11">
        <v>2000</v>
      </c>
      <c r="E118" t="s">
        <v>278</v>
      </c>
      <c r="F118" s="124" t="s">
        <v>109</v>
      </c>
    </row>
    <row r="119" spans="1:6" x14ac:dyDescent="0.3">
      <c r="A119" s="125">
        <v>45987</v>
      </c>
      <c r="B119" t="s">
        <v>54</v>
      </c>
      <c r="C119" s="11">
        <v>2000</v>
      </c>
      <c r="D119" s="11"/>
      <c r="E119" t="s">
        <v>278</v>
      </c>
      <c r="F119" s="124" t="s">
        <v>109</v>
      </c>
    </row>
    <row r="120" spans="1:6" x14ac:dyDescent="0.3">
      <c r="A120" s="125">
        <v>45987</v>
      </c>
      <c r="B120" t="s">
        <v>54</v>
      </c>
      <c r="C120" s="11">
        <v>1500</v>
      </c>
      <c r="D120" s="11"/>
      <c r="E120" t="s">
        <v>279</v>
      </c>
      <c r="F120" s="124" t="s">
        <v>109</v>
      </c>
    </row>
    <row r="121" spans="1:6" x14ac:dyDescent="0.3">
      <c r="A121" s="125">
        <v>45987</v>
      </c>
      <c r="B121" t="s">
        <v>21</v>
      </c>
      <c r="C121" s="11"/>
      <c r="D121" s="11">
        <v>1500</v>
      </c>
      <c r="E121" t="s">
        <v>279</v>
      </c>
      <c r="F121" s="124" t="s">
        <v>109</v>
      </c>
    </row>
    <row r="122" spans="1:6" x14ac:dyDescent="0.3">
      <c r="A122" s="125">
        <v>45987</v>
      </c>
      <c r="B122" t="s">
        <v>212</v>
      </c>
      <c r="C122" s="11"/>
      <c r="D122" s="11"/>
      <c r="E122" t="s">
        <v>280</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281</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282</v>
      </c>
      <c r="F127" s="124" t="s">
        <v>109</v>
      </c>
    </row>
    <row r="128" spans="1:6" x14ac:dyDescent="0.3">
      <c r="A128" s="125">
        <v>45987</v>
      </c>
      <c r="B128" t="s">
        <v>55</v>
      </c>
      <c r="C128" s="11">
        <v>1950</v>
      </c>
      <c r="D128" s="11"/>
      <c r="E128" t="s">
        <v>283</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284</v>
      </c>
      <c r="F132" s="124" t="s">
        <v>109</v>
      </c>
    </row>
    <row r="133" spans="1:6" x14ac:dyDescent="0.3">
      <c r="A133" s="125">
        <v>45987</v>
      </c>
      <c r="B133" t="s">
        <v>95</v>
      </c>
      <c r="C133" s="11">
        <v>45700</v>
      </c>
      <c r="D133" s="11"/>
      <c r="E133" t="s">
        <v>285</v>
      </c>
      <c r="F133" s="124" t="s">
        <v>109</v>
      </c>
    </row>
    <row r="134" spans="1:6" x14ac:dyDescent="0.3">
      <c r="A134" s="125">
        <v>45987</v>
      </c>
      <c r="B134" t="s">
        <v>183</v>
      </c>
      <c r="C134" s="11">
        <v>620</v>
      </c>
      <c r="D134" s="11"/>
      <c r="F134" s="124" t="s">
        <v>109</v>
      </c>
    </row>
    <row r="135" spans="1:6" x14ac:dyDescent="0.3">
      <c r="A135" s="125">
        <v>45988</v>
      </c>
      <c r="B135" t="s">
        <v>287</v>
      </c>
      <c r="C135" s="11">
        <v>15000</v>
      </c>
      <c r="D135" s="11"/>
      <c r="E135" t="s">
        <v>288</v>
      </c>
      <c r="F135" s="124" t="s">
        <v>109</v>
      </c>
    </row>
    <row r="136" spans="1:6" x14ac:dyDescent="0.3">
      <c r="A136" s="125">
        <v>45988</v>
      </c>
      <c r="B136" t="s">
        <v>287</v>
      </c>
      <c r="C136" s="11">
        <v>10000</v>
      </c>
      <c r="D136" s="11"/>
      <c r="E136" t="s">
        <v>289</v>
      </c>
      <c r="F136" s="124" t="s">
        <v>109</v>
      </c>
    </row>
    <row r="137" spans="1:6" x14ac:dyDescent="0.3">
      <c r="A137" s="125">
        <v>45988</v>
      </c>
      <c r="B137" t="s">
        <v>247</v>
      </c>
      <c r="C137" s="11">
        <v>3600</v>
      </c>
      <c r="D137" s="11"/>
      <c r="E137" t="s">
        <v>290</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291</v>
      </c>
      <c r="F140" s="124" t="s">
        <v>109</v>
      </c>
    </row>
    <row r="141" spans="1:6" x14ac:dyDescent="0.3">
      <c r="A141" s="125">
        <v>45988</v>
      </c>
      <c r="B141" t="s">
        <v>212</v>
      </c>
      <c r="C141" s="11"/>
      <c r="D141" s="11"/>
      <c r="E141" t="s">
        <v>292</v>
      </c>
      <c r="F141" s="124" t="s">
        <v>109</v>
      </c>
    </row>
    <row r="142" spans="1:6" x14ac:dyDescent="0.3">
      <c r="A142" s="125">
        <v>45988</v>
      </c>
      <c r="B142" t="s">
        <v>95</v>
      </c>
      <c r="C142" s="97">
        <v>106000</v>
      </c>
      <c r="D142" s="97"/>
      <c r="E142" t="s">
        <v>293</v>
      </c>
      <c r="F142" s="124" t="s">
        <v>109</v>
      </c>
    </row>
    <row r="143" spans="1:6" x14ac:dyDescent="0.3">
      <c r="A143" s="125">
        <v>45988</v>
      </c>
      <c r="B143" t="s">
        <v>183</v>
      </c>
      <c r="C143" s="11"/>
      <c r="D143" s="11">
        <v>3600</v>
      </c>
      <c r="E143" t="s">
        <v>290</v>
      </c>
      <c r="F143" s="124" t="s">
        <v>109</v>
      </c>
    </row>
    <row r="144" spans="1:6" x14ac:dyDescent="0.3">
      <c r="A144" s="125">
        <v>45988</v>
      </c>
      <c r="B144" t="s">
        <v>183</v>
      </c>
      <c r="C144" s="11"/>
      <c r="D144" s="11">
        <v>1600</v>
      </c>
      <c r="E144" t="s">
        <v>294</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295</v>
      </c>
      <c r="F146" s="124" t="s">
        <v>109</v>
      </c>
    </row>
    <row r="147" spans="1:6" x14ac:dyDescent="0.3">
      <c r="A147" s="125">
        <v>45988</v>
      </c>
      <c r="B147" t="s">
        <v>296</v>
      </c>
      <c r="C147" s="11"/>
      <c r="D147" s="11">
        <v>90000</v>
      </c>
      <c r="E147" t="s">
        <v>297</v>
      </c>
      <c r="F147" s="124" t="s">
        <v>109</v>
      </c>
    </row>
    <row r="148" spans="1:6" x14ac:dyDescent="0.3">
      <c r="A148" s="125">
        <v>45988</v>
      </c>
      <c r="B148" t="s">
        <v>298</v>
      </c>
      <c r="C148" s="11"/>
      <c r="D148" s="11">
        <v>100000</v>
      </c>
      <c r="E148" t="s">
        <v>228</v>
      </c>
      <c r="F148" s="124" t="s">
        <v>109</v>
      </c>
    </row>
    <row r="149" spans="1:6" x14ac:dyDescent="0.3">
      <c r="A149" s="125">
        <v>45988</v>
      </c>
      <c r="B149" t="s">
        <v>21</v>
      </c>
      <c r="C149" s="11"/>
      <c r="D149" s="11">
        <v>4500</v>
      </c>
      <c r="E149" t="s">
        <v>299</v>
      </c>
      <c r="F149" s="124" t="s">
        <v>109</v>
      </c>
    </row>
    <row r="150" spans="1:6" x14ac:dyDescent="0.3">
      <c r="A150" s="125">
        <v>45988</v>
      </c>
      <c r="B150" t="s">
        <v>54</v>
      </c>
      <c r="C150" s="11">
        <v>4500</v>
      </c>
      <c r="D150" s="11"/>
      <c r="E150" t="s">
        <v>299</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303</v>
      </c>
      <c r="F153" s="124" t="s">
        <v>109</v>
      </c>
    </row>
    <row r="154" spans="1:6" x14ac:dyDescent="0.3">
      <c r="A154" s="38">
        <v>45988</v>
      </c>
      <c r="B154" t="s">
        <v>304</v>
      </c>
      <c r="C154" s="97">
        <v>85000</v>
      </c>
      <c r="D154" s="97"/>
      <c r="E154" t="s">
        <v>305</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306</v>
      </c>
      <c r="F157" s="124" t="s">
        <v>109</v>
      </c>
    </row>
    <row r="158" spans="1:6" x14ac:dyDescent="0.3">
      <c r="A158" s="125">
        <v>45989</v>
      </c>
      <c r="B158" t="s">
        <v>183</v>
      </c>
      <c r="C158" s="11"/>
      <c r="D158" s="11">
        <v>5000</v>
      </c>
      <c r="E158" t="s">
        <v>307</v>
      </c>
      <c r="F158" s="124" t="s">
        <v>109</v>
      </c>
    </row>
    <row r="159" spans="1:6" x14ac:dyDescent="0.3">
      <c r="A159" s="125">
        <v>45989</v>
      </c>
      <c r="B159" t="s">
        <v>21</v>
      </c>
      <c r="C159" s="11"/>
      <c r="D159" s="11">
        <v>50000</v>
      </c>
      <c r="E159" t="s">
        <v>308</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311</v>
      </c>
      <c r="F163" s="124" t="s">
        <v>109</v>
      </c>
      <c r="J163" s="3" t="s">
        <v>6</v>
      </c>
      <c r="K163" t="s">
        <v>119</v>
      </c>
      <c r="L163" t="s">
        <v>120</v>
      </c>
    </row>
    <row r="164" spans="1:12" x14ac:dyDescent="0.3">
      <c r="A164" s="125">
        <v>45989</v>
      </c>
      <c r="B164" t="s">
        <v>237</v>
      </c>
      <c r="C164" s="11"/>
      <c r="D164" s="11">
        <v>100000</v>
      </c>
      <c r="F164" s="124" t="s">
        <v>109</v>
      </c>
      <c r="J164" s="4" t="s">
        <v>220</v>
      </c>
      <c r="K164" s="14"/>
      <c r="L164" s="14">
        <v>60000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1142958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309</v>
      </c>
      <c r="F168" s="124" t="s">
        <v>109</v>
      </c>
      <c r="J168" s="4" t="s">
        <v>95</v>
      </c>
      <c r="K168" s="14"/>
      <c r="L168" s="14">
        <v>2064093</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310</v>
      </c>
      <c r="F170" s="124" t="s">
        <v>109</v>
      </c>
      <c r="J170" s="4" t="s">
        <v>55</v>
      </c>
      <c r="K170" s="14"/>
      <c r="L170" s="14">
        <v>150620</v>
      </c>
    </row>
    <row r="171" spans="1:12" x14ac:dyDescent="0.3">
      <c r="A171" s="125">
        <v>45990</v>
      </c>
      <c r="B171" t="s">
        <v>183</v>
      </c>
      <c r="C171" s="11"/>
      <c r="D171" s="11">
        <v>10310</v>
      </c>
      <c r="E171" t="s">
        <v>114</v>
      </c>
      <c r="F171" s="124" t="s">
        <v>109</v>
      </c>
      <c r="J171" s="4" t="s">
        <v>114</v>
      </c>
      <c r="K171" s="14"/>
      <c r="L171" s="14">
        <v>55990</v>
      </c>
    </row>
    <row r="172" spans="1:12" x14ac:dyDescent="0.3">
      <c r="A172" s="125">
        <v>45990</v>
      </c>
      <c r="B172" t="s">
        <v>114</v>
      </c>
      <c r="C172" s="11">
        <v>10310</v>
      </c>
      <c r="D172" s="11"/>
      <c r="E172" t="s">
        <v>312</v>
      </c>
      <c r="F172" s="124" t="s">
        <v>109</v>
      </c>
      <c r="J172" s="4" t="s">
        <v>212</v>
      </c>
      <c r="K172" s="14"/>
      <c r="L172" s="14">
        <v>20000</v>
      </c>
    </row>
    <row r="173" spans="1:12" x14ac:dyDescent="0.3">
      <c r="A173" s="125">
        <v>45990</v>
      </c>
      <c r="B173" t="s">
        <v>54</v>
      </c>
      <c r="C173" s="11">
        <v>16100</v>
      </c>
      <c r="D173" s="11"/>
      <c r="E173" t="s">
        <v>232</v>
      </c>
      <c r="F173" s="124" t="s">
        <v>109</v>
      </c>
      <c r="J173" s="4" t="s">
        <v>54</v>
      </c>
      <c r="K173" s="14"/>
      <c r="L173" s="14">
        <v>96750</v>
      </c>
    </row>
    <row r="174" spans="1:12" x14ac:dyDescent="0.3">
      <c r="A174" s="125">
        <v>45990</v>
      </c>
      <c r="B174" t="s">
        <v>54</v>
      </c>
      <c r="C174" s="11">
        <v>3000</v>
      </c>
      <c r="D174" s="11"/>
      <c r="E174" t="s">
        <v>232</v>
      </c>
      <c r="F174" s="124" t="s">
        <v>109</v>
      </c>
      <c r="J174" s="4" t="s">
        <v>186</v>
      </c>
      <c r="K174" s="14"/>
      <c r="L174" s="14">
        <v>63700</v>
      </c>
    </row>
    <row r="175" spans="1:12" x14ac:dyDescent="0.3">
      <c r="A175" s="125">
        <v>45990</v>
      </c>
      <c r="B175" t="s">
        <v>21</v>
      </c>
      <c r="C175" s="11"/>
      <c r="D175" s="11">
        <v>13500</v>
      </c>
      <c r="E175" t="s">
        <v>232</v>
      </c>
      <c r="F175" s="124" t="s">
        <v>109</v>
      </c>
      <c r="J175" s="4" t="s">
        <v>183</v>
      </c>
      <c r="K175" s="14">
        <v>127092</v>
      </c>
      <c r="L175" s="14">
        <v>9920</v>
      </c>
    </row>
    <row r="176" spans="1:12" x14ac:dyDescent="0.3">
      <c r="A176" s="125">
        <v>45990</v>
      </c>
      <c r="B176" t="s">
        <v>21</v>
      </c>
      <c r="C176" s="11"/>
      <c r="D176" s="11">
        <v>19000</v>
      </c>
      <c r="E176" t="s">
        <v>291</v>
      </c>
      <c r="F176" s="124" t="s">
        <v>109</v>
      </c>
      <c r="J176" s="4" t="s">
        <v>227</v>
      </c>
      <c r="K176" s="14">
        <v>200000</v>
      </c>
      <c r="L176" s="14"/>
    </row>
    <row r="177" spans="1:12" x14ac:dyDescent="0.3">
      <c r="A177" s="125">
        <v>45990</v>
      </c>
      <c r="B177" t="s">
        <v>220</v>
      </c>
      <c r="C177" s="97">
        <v>20000</v>
      </c>
      <c r="D177" s="97"/>
      <c r="E177" t="s">
        <v>291</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313</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314</v>
      </c>
      <c r="F181" s="124" t="s">
        <v>109</v>
      </c>
      <c r="J181" s="4" t="s">
        <v>150</v>
      </c>
      <c r="K181" s="14"/>
      <c r="L181" s="14">
        <v>40000</v>
      </c>
    </row>
    <row r="182" spans="1:12" x14ac:dyDescent="0.3">
      <c r="A182" s="125">
        <v>45990</v>
      </c>
      <c r="B182" t="s">
        <v>237</v>
      </c>
      <c r="C182" s="11">
        <v>50000</v>
      </c>
      <c r="D182" s="11"/>
      <c r="E182" t="s">
        <v>167</v>
      </c>
      <c r="F182" s="124" t="s">
        <v>109</v>
      </c>
      <c r="J182" s="4" t="s">
        <v>153</v>
      </c>
      <c r="K182" s="14">
        <v>565000</v>
      </c>
      <c r="L182" s="14"/>
    </row>
    <row r="183" spans="1:12" x14ac:dyDescent="0.3">
      <c r="A183" s="125">
        <v>45990</v>
      </c>
      <c r="B183" t="s">
        <v>167</v>
      </c>
      <c r="C183" s="11"/>
      <c r="D183" s="11">
        <v>50000</v>
      </c>
      <c r="F183" s="124" t="s">
        <v>109</v>
      </c>
      <c r="J183" s="4" t="s">
        <v>167</v>
      </c>
      <c r="K183" s="14">
        <v>925217</v>
      </c>
      <c r="L183" s="14"/>
    </row>
    <row r="184" spans="1:12" x14ac:dyDescent="0.3">
      <c r="A184" s="125">
        <v>45990</v>
      </c>
      <c r="B184" t="s">
        <v>298</v>
      </c>
      <c r="C184" s="11"/>
      <c r="D184" s="11">
        <v>200000</v>
      </c>
      <c r="F184" s="124" t="s">
        <v>109</v>
      </c>
      <c r="J184" s="4" t="s">
        <v>206</v>
      </c>
      <c r="K184" s="14"/>
      <c r="L184" s="14">
        <v>177000</v>
      </c>
    </row>
    <row r="185" spans="1:12" x14ac:dyDescent="0.3">
      <c r="A185" s="125">
        <v>45990</v>
      </c>
      <c r="B185" t="s">
        <v>95</v>
      </c>
      <c r="C185" s="11">
        <v>200338</v>
      </c>
      <c r="D185" s="11"/>
      <c r="E185" t="s">
        <v>315</v>
      </c>
      <c r="F185" s="124" t="s">
        <v>109</v>
      </c>
      <c r="J185" s="4" t="s">
        <v>178</v>
      </c>
      <c r="K185" s="14"/>
      <c r="L185" s="14">
        <v>100000</v>
      </c>
    </row>
    <row r="186" spans="1:12" x14ac:dyDescent="0.3">
      <c r="A186" s="125">
        <v>45990</v>
      </c>
      <c r="B186" t="s">
        <v>21</v>
      </c>
      <c r="C186" s="11"/>
      <c r="D186" s="11">
        <v>10000</v>
      </c>
      <c r="E186" t="s">
        <v>316</v>
      </c>
      <c r="F186" s="124" t="s">
        <v>109</v>
      </c>
      <c r="J186" s="4" t="s">
        <v>237</v>
      </c>
      <c r="K186" s="14">
        <v>1212500</v>
      </c>
      <c r="L186" s="14">
        <v>2328061</v>
      </c>
    </row>
    <row r="187" spans="1:12" x14ac:dyDescent="0.3">
      <c r="A187" s="125">
        <v>45990</v>
      </c>
      <c r="B187" t="s">
        <v>220</v>
      </c>
      <c r="C187" s="11">
        <v>10000</v>
      </c>
      <c r="D187" s="11"/>
      <c r="E187" t="s">
        <v>221</v>
      </c>
      <c r="F187" s="124" t="s">
        <v>109</v>
      </c>
      <c r="J187" s="4" t="s">
        <v>184</v>
      </c>
      <c r="K187" s="14">
        <v>1000000</v>
      </c>
      <c r="L187" s="14"/>
    </row>
    <row r="188" spans="1:12" x14ac:dyDescent="0.3">
      <c r="A188" s="125">
        <v>45990</v>
      </c>
      <c r="B188" t="s">
        <v>212</v>
      </c>
      <c r="C188" s="11">
        <v>1000</v>
      </c>
      <c r="D188" s="11"/>
      <c r="E188" t="s">
        <v>317</v>
      </c>
      <c r="F188" s="124" t="s">
        <v>109</v>
      </c>
      <c r="J188" s="4" t="s">
        <v>185</v>
      </c>
      <c r="K188" s="14"/>
      <c r="L188" s="14">
        <v>517450</v>
      </c>
    </row>
    <row r="189" spans="1:12" x14ac:dyDescent="0.3">
      <c r="A189" s="125">
        <v>45990</v>
      </c>
      <c r="B189" t="s">
        <v>183</v>
      </c>
      <c r="C189" s="11"/>
      <c r="D189" s="11">
        <v>1000</v>
      </c>
      <c r="E189" t="s">
        <v>318</v>
      </c>
      <c r="F189" s="124" t="s">
        <v>109</v>
      </c>
      <c r="J189" s="4" t="s">
        <v>236</v>
      </c>
      <c r="K189" s="14">
        <v>500000</v>
      </c>
      <c r="L189" s="14"/>
    </row>
    <row r="190" spans="1:12" x14ac:dyDescent="0.3">
      <c r="A190" s="125">
        <v>45990</v>
      </c>
      <c r="B190" t="s">
        <v>183</v>
      </c>
      <c r="C190" s="11"/>
      <c r="D190" s="11">
        <v>1000</v>
      </c>
      <c r="E190" t="s">
        <v>319</v>
      </c>
      <c r="F190" s="124" t="s">
        <v>109</v>
      </c>
      <c r="J190" s="4" t="s">
        <v>179</v>
      </c>
      <c r="K190" s="14">
        <v>120205</v>
      </c>
      <c r="L190" s="14"/>
    </row>
    <row r="191" spans="1:12" x14ac:dyDescent="0.3">
      <c r="A191" s="125">
        <v>45990</v>
      </c>
      <c r="C191" s="11"/>
      <c r="D191" s="11"/>
      <c r="F191" s="124"/>
      <c r="J191" s="4" t="s">
        <v>193</v>
      </c>
      <c r="K191" s="14"/>
      <c r="L191" s="14">
        <v>4000</v>
      </c>
    </row>
    <row r="192" spans="1:12" x14ac:dyDescent="0.3">
      <c r="A192" s="125">
        <v>45990</v>
      </c>
      <c r="C192" s="11"/>
      <c r="D192" s="11"/>
      <c r="F192" s="124"/>
      <c r="J192" s="4" t="s">
        <v>195</v>
      </c>
      <c r="K192" s="14"/>
      <c r="L192" s="14">
        <v>60000</v>
      </c>
    </row>
    <row r="193" spans="1:12" x14ac:dyDescent="0.3">
      <c r="A193" s="125">
        <v>45990</v>
      </c>
      <c r="C193" s="11"/>
      <c r="D193" s="11"/>
      <c r="F193" s="124"/>
      <c r="J193" s="4" t="s">
        <v>203</v>
      </c>
      <c r="K193" s="14">
        <v>-1118231</v>
      </c>
      <c r="L193" s="14"/>
    </row>
    <row r="194" spans="1:12" x14ac:dyDescent="0.3">
      <c r="A194" s="38"/>
      <c r="C194" s="14">
        <f>SUBTOTAL(109,Table14[Debit])</f>
        <v>8334504</v>
      </c>
      <c r="D194" s="14">
        <f>SUBTOTAL(109,Table14[Credit])</f>
        <v>8363782</v>
      </c>
      <c r="F194" s="54">
        <f>(Table14[[#Totals],[Credit]]-Table14[[#Totals],[Debit]])</f>
        <v>29278</v>
      </c>
      <c r="J194" s="4" t="s">
        <v>51</v>
      </c>
      <c r="K194" s="14"/>
      <c r="L194" s="14">
        <v>1803475</v>
      </c>
    </row>
    <row r="195" spans="1:12" x14ac:dyDescent="0.3">
      <c r="J195" s="4" t="s">
        <v>149</v>
      </c>
      <c r="K195" s="14">
        <v>130000</v>
      </c>
      <c r="L195" s="14"/>
    </row>
    <row r="196" spans="1:12" x14ac:dyDescent="0.3">
      <c r="J196" s="4" t="s">
        <v>275</v>
      </c>
      <c r="K196" s="14"/>
      <c r="L196" s="14">
        <v>400000</v>
      </c>
    </row>
    <row r="197" spans="1:12" x14ac:dyDescent="0.3">
      <c r="J197" s="4" t="s">
        <v>276</v>
      </c>
      <c r="K197" s="14">
        <v>100000</v>
      </c>
      <c r="L197" s="14"/>
    </row>
    <row r="198" spans="1:12" x14ac:dyDescent="0.3">
      <c r="J198" s="4" t="s">
        <v>287</v>
      </c>
      <c r="K198" s="14"/>
      <c r="L198" s="14">
        <v>25000</v>
      </c>
    </row>
    <row r="199" spans="1:12" x14ac:dyDescent="0.3">
      <c r="J199" s="4" t="s">
        <v>298</v>
      </c>
      <c r="K199" s="14">
        <v>300000</v>
      </c>
      <c r="L199" s="14"/>
    </row>
    <row r="200" spans="1:12" x14ac:dyDescent="0.3">
      <c r="J200" s="4" t="s">
        <v>304</v>
      </c>
      <c r="K200" s="14"/>
      <c r="L200" s="14">
        <v>85000</v>
      </c>
    </row>
    <row r="201" spans="1:12" x14ac:dyDescent="0.3">
      <c r="J201" s="4" t="s">
        <v>28</v>
      </c>
      <c r="K201" s="14">
        <v>8363782</v>
      </c>
      <c r="L201" s="14">
        <v>8334504</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3" zoomScale="93"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286</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301</v>
      </c>
      <c r="E10">
        <v>85000</v>
      </c>
      <c r="F10" t="s">
        <v>302</v>
      </c>
      <c r="G10">
        <f>SUMIFS(Table14[Debit], Table14[Date], Table8[[#This Row],[Date]], Table14[Party], Table8[[#This Row],[Party]])</f>
        <v>85000</v>
      </c>
      <c r="H10">
        <f>Table8[[#This Row],[Price]]-Table8[[#This Row],[Paid]]</f>
        <v>0</v>
      </c>
      <c r="K10" s="26">
        <v>45947</v>
      </c>
      <c r="L10" s="132"/>
      <c r="M10" s="132">
        <v>240125</v>
      </c>
    </row>
    <row r="11" spans="1:14" x14ac:dyDescent="0.3">
      <c r="A11" s="1">
        <v>45990</v>
      </c>
      <c r="B11" t="s">
        <v>313</v>
      </c>
      <c r="E11">
        <v>46000</v>
      </c>
      <c r="F11" t="s">
        <v>185</v>
      </c>
      <c r="G11">
        <f>SUMIFS(Table14[Debit], Table14[Date], Table8[[#This Row],[Date]], Table14[Party], Table8[[#This Row],[Party]])</f>
        <v>46000</v>
      </c>
      <c r="H11">
        <f>Table8[[#This Row],[Price]]-Table8[[#This Row],[Paid]]</f>
        <v>0</v>
      </c>
      <c r="K11" s="26">
        <v>45979</v>
      </c>
      <c r="L11" s="132"/>
      <c r="M11" s="132">
        <v>0</v>
      </c>
    </row>
    <row r="12" spans="1:14" x14ac:dyDescent="0.3">
      <c r="G12">
        <f>SUMIFS(Table14[Debit], Table14[Date], Table8[[#This Row],[Date]], Table14[Party], Table8[[#This Row],[Party]])</f>
        <v>0</v>
      </c>
      <c r="H12">
        <f>Table8[[#This Row],[Price]]-Table8[[#This Row],[Paid]]</f>
        <v>0</v>
      </c>
      <c r="K12" s="26">
        <v>45981</v>
      </c>
      <c r="L12" s="132">
        <v>141950</v>
      </c>
      <c r="M12" s="132">
        <v>0</v>
      </c>
    </row>
    <row r="13" spans="1:14" x14ac:dyDescent="0.3">
      <c r="G13">
        <f>SUMIFS(Table14[Debit], Table14[Date], Table8[[#This Row],[Date]], Table14[Party], Table8[[#This Row],[Party]])</f>
        <v>0</v>
      </c>
      <c r="H13">
        <f>Table8[[#This Row],[Price]]-Table8[[#This Row],[Paid]]</f>
        <v>0</v>
      </c>
      <c r="K13" s="26">
        <v>45983</v>
      </c>
      <c r="L13" s="132">
        <v>158000</v>
      </c>
      <c r="M13" s="132">
        <v>0</v>
      </c>
    </row>
    <row r="14" spans="1:14" x14ac:dyDescent="0.3">
      <c r="E14">
        <f>SUBTOTAL(109,Table8[Price])</f>
        <v>662450</v>
      </c>
      <c r="H14">
        <f>SUBTOTAL(109,Table8[Balance])</f>
        <v>0</v>
      </c>
      <c r="K14" s="26">
        <v>45986</v>
      </c>
      <c r="L14" s="132">
        <v>231500</v>
      </c>
      <c r="M14" s="132">
        <v>0</v>
      </c>
    </row>
    <row r="15" spans="1:14" x14ac:dyDescent="0.3">
      <c r="K15" s="26">
        <v>45987</v>
      </c>
      <c r="L15" s="132"/>
      <c r="M15" s="132">
        <v>-240125</v>
      </c>
    </row>
    <row r="16" spans="1:14" x14ac:dyDescent="0.3">
      <c r="K16" s="4" t="s">
        <v>104</v>
      </c>
      <c r="L16" s="132"/>
      <c r="M16" s="132">
        <v>0</v>
      </c>
    </row>
    <row r="17" spans="1:13" x14ac:dyDescent="0.3">
      <c r="K17" s="26">
        <v>45988</v>
      </c>
      <c r="L17" s="132">
        <v>85000</v>
      </c>
      <c r="M17" s="132">
        <v>0</v>
      </c>
    </row>
    <row r="18" spans="1:13" x14ac:dyDescent="0.3">
      <c r="K18" s="26">
        <v>45990</v>
      </c>
      <c r="L18" s="132">
        <v>46000</v>
      </c>
      <c r="M18" s="132">
        <v>0</v>
      </c>
    </row>
    <row r="19" spans="1:13" x14ac:dyDescent="0.3">
      <c r="A19" t="s">
        <v>57</v>
      </c>
      <c r="B19" t="s">
        <v>157</v>
      </c>
      <c r="C19" t="s">
        <v>158</v>
      </c>
      <c r="D19" t="s">
        <v>4</v>
      </c>
      <c r="E19" t="s">
        <v>159</v>
      </c>
      <c r="K19" s="4" t="s">
        <v>28</v>
      </c>
      <c r="L19" s="132">
        <v>662450</v>
      </c>
      <c r="M19" s="132">
        <v>0</v>
      </c>
    </row>
    <row r="20" spans="1:13" x14ac:dyDescent="0.3">
      <c r="A20" t="s">
        <v>132</v>
      </c>
      <c r="B20">
        <v>1</v>
      </c>
      <c r="C20">
        <v>25</v>
      </c>
      <c r="D20">
        <v>1400</v>
      </c>
      <c r="E20">
        <f>Table2325[[#This Row],[boxes]]*Table2325[[#This Row],[kgs]]*Table2325[[#This Row],[Rate]]</f>
        <v>35000</v>
      </c>
    </row>
    <row r="21" spans="1:13" x14ac:dyDescent="0.3">
      <c r="A21" t="s">
        <v>130</v>
      </c>
      <c r="B21">
        <v>1</v>
      </c>
      <c r="C21">
        <v>3</v>
      </c>
      <c r="D21">
        <v>1340</v>
      </c>
      <c r="E21">
        <f>Table2325[[#This Row],[boxes]]*Table2325[[#This Row],[kgs]]*Table2325[[#This Row],[Rate]]</f>
        <v>4020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2" workbookViewId="0">
      <selection activeCell="E23" sqref="E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2">
        <v>0</v>
      </c>
      <c r="L5" s="132">
        <v>0</v>
      </c>
      <c r="M5" s="132">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2">
        <v>69000</v>
      </c>
      <c r="L6" s="132">
        <v>0</v>
      </c>
      <c r="M6" s="132">
        <v>68000</v>
      </c>
    </row>
    <row r="7" spans="1:13" x14ac:dyDescent="0.3">
      <c r="A7" s="85">
        <v>45979</v>
      </c>
      <c r="B7" s="85" t="s">
        <v>166</v>
      </c>
      <c r="C7" s="82" t="s">
        <v>180</v>
      </c>
      <c r="F7">
        <v>0</v>
      </c>
      <c r="G7">
        <v>0</v>
      </c>
      <c r="H7" s="81">
        <v>0</v>
      </c>
      <c r="J7" s="4" t="s">
        <v>118</v>
      </c>
      <c r="K7" s="132">
        <v>24000</v>
      </c>
      <c r="L7" s="132">
        <v>24000</v>
      </c>
      <c r="M7" s="132">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2">
        <v>0</v>
      </c>
      <c r="L8" s="132">
        <v>0</v>
      </c>
      <c r="M8" s="132">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2">
        <v>0</v>
      </c>
      <c r="L9" s="132">
        <v>400000</v>
      </c>
      <c r="M9" s="132">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28</v>
      </c>
      <c r="K10" s="132">
        <v>93000</v>
      </c>
      <c r="L10" s="132">
        <v>424000</v>
      </c>
      <c r="M10" s="132">
        <v>292000</v>
      </c>
    </row>
    <row r="11" spans="1:13" x14ac:dyDescent="0.3">
      <c r="A11" s="1">
        <v>45983</v>
      </c>
      <c r="B11" s="1" t="s">
        <v>117</v>
      </c>
      <c r="C11" t="s">
        <v>230</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93000</v>
      </c>
      <c r="G14">
        <f>SUBTOTAL(109,Table2[Paid])</f>
        <v>424000</v>
      </c>
      <c r="H14">
        <f>SUBTOTAL(109,Table2[Balance])</f>
        <v>292000</v>
      </c>
    </row>
    <row r="24" spans="9:10" x14ac:dyDescent="0.3">
      <c r="I24" t="s">
        <v>57</v>
      </c>
      <c r="J24" t="s">
        <v>181</v>
      </c>
    </row>
    <row r="25" spans="9:10" x14ac:dyDescent="0.3">
      <c r="I25" t="s">
        <v>61</v>
      </c>
      <c r="J25">
        <f>7800*60</f>
        <v>468000</v>
      </c>
    </row>
    <row r="26" spans="9:10" x14ac:dyDescent="0.3">
      <c r="I26" t="s">
        <v>61</v>
      </c>
    </row>
    <row r="27" spans="9:10" x14ac:dyDescent="0.3">
      <c r="I27" t="s">
        <v>165</v>
      </c>
      <c r="J27">
        <f>13000*3</f>
        <v>39000</v>
      </c>
    </row>
    <row r="30" spans="9: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zoomScale="118" workbookViewId="0">
      <selection activeCell="D16" sqref="D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291</v>
      </c>
    </row>
    <row r="15" spans="2:15" x14ac:dyDescent="0.3">
      <c r="B15" s="1">
        <v>45990</v>
      </c>
      <c r="C15" s="20">
        <f>SUMIFS(Table14[Debit], Table14[Date], Table11[[#This Row],[Date]], Table14[Party],"Salary", Table14[Description],Table11[[#This Row],[Column1]])</f>
        <v>1000</v>
      </c>
      <c r="D15" t="s">
        <v>317</v>
      </c>
      <c r="H15" s="1">
        <v>45990</v>
      </c>
      <c r="I15">
        <f>SUMIFS(Table14[Debit], Table14[Date], Table16[[#This Row],[Date]], Table14[Party], "Advance Salary", Table14[Description], Table16[[#This Row],[Person]] )</f>
        <v>20000</v>
      </c>
      <c r="J15" t="s">
        <v>291</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50000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1038247</v>
      </c>
      <c r="C2" s="32">
        <f>GETPIVOTDATA("Sum of Tiyaar/gaz",$A$3)</f>
        <v>902577</v>
      </c>
      <c r="D2" s="31">
        <f>((B2*48)+((C2/1.0936)*10))/C2</f>
        <v>64.359185363349269</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4909</v>
      </c>
      <c r="D38" s="28">
        <f t="shared" si="1"/>
        <v>87.846901984814181</v>
      </c>
      <c r="E38" s="11">
        <f t="shared" si="2"/>
        <v>8802.3863999999994</v>
      </c>
      <c r="F38" s="11">
        <f t="shared" si="0"/>
        <v>4909</v>
      </c>
      <c r="G38" s="78">
        <f t="shared" si="6"/>
        <v>44.231032620881081</v>
      </c>
      <c r="H38" s="28">
        <f t="shared" si="3"/>
        <v>4488.844184345282</v>
      </c>
      <c r="I38" s="28">
        <f t="shared" si="5"/>
        <v>87.846901984814181</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4931</v>
      </c>
      <c r="D44" s="28">
        <f t="shared" si="13"/>
        <v>208.2891122063852</v>
      </c>
      <c r="E44" s="11">
        <f t="shared" si="14"/>
        <v>22372.868799999997</v>
      </c>
      <c r="F44" s="11">
        <f t="shared" si="15"/>
        <v>4931</v>
      </c>
      <c r="G44" s="78">
        <f t="shared" si="16"/>
        <v>77.959911873259628</v>
      </c>
      <c r="H44" s="28">
        <f t="shared" si="17"/>
        <v>4508.9612289685447</v>
      </c>
      <c r="I44" s="28">
        <f t="shared" si="18"/>
        <v>208.2891122063852</v>
      </c>
    </row>
    <row r="45" spans="1:9" x14ac:dyDescent="0.3">
      <c r="A45" s="16">
        <v>1899</v>
      </c>
      <c r="B45" s="14">
        <v>12051</v>
      </c>
      <c r="C45" s="14">
        <v>6942</v>
      </c>
      <c r="D45" s="28">
        <f t="shared" ref="D45:D58" si="19">I45</f>
        <v>92.469953889021312</v>
      </c>
      <c r="E45" s="11">
        <f t="shared" ref="E45:E58" si="20">B45 * 1.0936</f>
        <v>13178.973599999999</v>
      </c>
      <c r="F45" s="11">
        <f t="shared" ref="F45:F58" si="21">C45</f>
        <v>6942</v>
      </c>
      <c r="G45" s="78">
        <f t="shared" ref="G45:G58" si="22">100- (F45/E45 *100)</f>
        <v>47.325184716964607</v>
      </c>
      <c r="H45" s="28">
        <f t="shared" ref="H45:H58" si="23">F45/1.0936</f>
        <v>6347.8419897585964</v>
      </c>
      <c r="I45" s="28">
        <f t="shared" ref="I45:I58" si="24">((B45*48)+(H45*10))/C45</f>
        <v>92.469953889021312</v>
      </c>
    </row>
    <row r="46" spans="1:9" x14ac:dyDescent="0.3">
      <c r="A46" s="16" t="s">
        <v>28</v>
      </c>
      <c r="B46" s="30">
        <v>79388</v>
      </c>
      <c r="C46" s="30">
        <v>902577</v>
      </c>
      <c r="D46" s="28">
        <f t="shared" si="19"/>
        <v>13.36604904367792</v>
      </c>
      <c r="E46" s="11">
        <f t="shared" si="20"/>
        <v>86818.716799999995</v>
      </c>
      <c r="F46" s="11">
        <f t="shared" si="21"/>
        <v>902577</v>
      </c>
      <c r="G46" s="78">
        <f t="shared" si="22"/>
        <v>-939.61108072954153</v>
      </c>
      <c r="H46" s="28">
        <f t="shared" si="23"/>
        <v>825326.44476956851</v>
      </c>
      <c r="I46" s="28">
        <f t="shared" si="24"/>
        <v>13.36604904367792</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0</v>
      </c>
      <c r="H17" s="1">
        <v>45992</v>
      </c>
      <c r="J17">
        <f>SUMIFS(Table14[Debit], Table14[Date], Table15[[#This Row],[Date]], Table14[Party], "Parts")</f>
        <v>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0</v>
      </c>
    </row>
    <row r="20" spans="2:10" x14ac:dyDescent="0.3">
      <c r="B20" s="1">
        <v>45995</v>
      </c>
      <c r="C20" t="s">
        <v>114</v>
      </c>
      <c r="D20">
        <f>SUMIFS(Table14[Debit], Table14[Date], Table5[[#This Row],[Date]], Table14[Party], "Rashan")</f>
        <v>0</v>
      </c>
      <c r="H20" s="1">
        <v>45995</v>
      </c>
      <c r="J20">
        <f>SUMIFS(Table14[Debit], Table14[Date], Table15[[#This Row],[Date]], Table14[Party], "Parts")</f>
        <v>0</v>
      </c>
    </row>
    <row r="21" spans="2:10" x14ac:dyDescent="0.3">
      <c r="B21" s="1">
        <v>45996</v>
      </c>
      <c r="C21" t="s">
        <v>114</v>
      </c>
      <c r="D21">
        <f>SUMIFS(Table14[Debit], Table14[Date], Table5[[#This Row],[Date]], Table14[Party], "Rashan")</f>
        <v>0</v>
      </c>
      <c r="H21" s="1">
        <v>45996</v>
      </c>
      <c r="J21">
        <f>SUMIFS(Table14[Debit], Table14[Date], Table15[[#This Row],[Date]], Table14[Party], "Parts")</f>
        <v>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55990</v>
      </c>
      <c r="H37" s="1"/>
      <c r="J37">
        <f>SUM(Table15[Amount])</f>
        <v>150620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19554634</v>
      </c>
      <c r="C2" s="105">
        <f>Billing!AB5</f>
        <v>1955234.3247988336</v>
      </c>
    </row>
    <row r="3" spans="1:3" ht="21" x14ac:dyDescent="0.4">
      <c r="A3" s="104" t="str">
        <f>Billing!Q6</f>
        <v>Ejaz Sahab</v>
      </c>
      <c r="B3" s="107">
        <f>Billing!AA6</f>
        <v>3363904</v>
      </c>
      <c r="C3" s="105">
        <f>Billing!AB6</f>
        <v>-229933.62692026328</v>
      </c>
    </row>
    <row r="4" spans="1:3" ht="21" x14ac:dyDescent="0.4">
      <c r="A4" s="104" t="str">
        <f>Billing!Q7</f>
        <v>Arshad</v>
      </c>
      <c r="B4" s="107">
        <f>Billing!AA7</f>
        <v>5702935</v>
      </c>
      <c r="C4" s="106">
        <f>Billing!AB7</f>
        <v>-723010.89612289611</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2182620</v>
      </c>
      <c r="C9" s="105">
        <f>Billing!AB12</f>
        <v>408983.87710314617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4925761</v>
      </c>
      <c r="C13" s="105">
        <f>Billing!AB16</f>
        <v>9490.4630577918142</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206064.88149231952</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871553.58449158724</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t="str">
        <f>Billing!Q26</f>
        <v>Hameed corporation</v>
      </c>
      <c r="B23" s="129">
        <f>Billing!AA26</f>
        <v>0</v>
      </c>
      <c r="C23" s="105">
        <f>Billing!AB26</f>
        <v>91578.273591806879</v>
      </c>
    </row>
    <row r="24" spans="1:3" ht="21" x14ac:dyDescent="0.4">
      <c r="A24" s="104" t="str">
        <f>Billing!Q27</f>
        <v>ibraheem behraam</v>
      </c>
      <c r="B24" s="129">
        <f>Billing!AA27</f>
        <v>300000</v>
      </c>
      <c r="C24" s="105">
        <f>Billing!AB27</f>
        <v>39383.686905632785</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2025-11-29T20:20:54Z</dcterms:modified>
  <cp:category/>
  <cp:contentStatus/>
</cp:coreProperties>
</file>