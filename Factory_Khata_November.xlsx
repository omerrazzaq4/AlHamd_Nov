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94" documentId="8_{475843C5-500E-4738-B9D9-47939CD7324F}" xr6:coauthVersionLast="47" xr6:coauthVersionMax="47" xr10:uidLastSave="{3B5E9034-3C4B-41E6-96BA-6FA333D49494}"/>
  <bookViews>
    <workbookView xWindow="-108" yWindow="-108" windowWidth="23256" windowHeight="12456" tabRatio="597" firstSheet="5"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6" l="1"/>
  <c r="H28" i="6"/>
  <c r="I28" i="6" s="1"/>
  <c r="H29" i="6"/>
  <c r="I29" i="6" s="1"/>
  <c r="G28" i="6"/>
  <c r="F14" i="15"/>
  <c r="F15" i="15"/>
  <c r="F16" i="15"/>
  <c r="F17" i="15"/>
  <c r="F18" i="15"/>
  <c r="F19" i="15"/>
  <c r="G14" i="15"/>
  <c r="H14" i="15" s="1"/>
  <c r="G15" i="15"/>
  <c r="H15" i="15" s="1"/>
  <c r="G16" i="15"/>
  <c r="H16" i="15" s="1"/>
  <c r="G17" i="15"/>
  <c r="H17" i="15" s="1"/>
  <c r="G18" i="15"/>
  <c r="H18" i="15" s="1"/>
  <c r="G19" i="15"/>
  <c r="H19" i="15" s="1"/>
  <c r="I159" i="1"/>
  <c r="J159" i="1" a="1"/>
  <c r="J159" i="1"/>
  <c r="I160" i="1"/>
  <c r="I161" i="1"/>
  <c r="J161" i="1" a="1"/>
  <c r="J161" i="1"/>
  <c r="I162" i="1"/>
  <c r="J162" i="1" a="1"/>
  <c r="J162" i="1"/>
  <c r="I163" i="1"/>
  <c r="J163" i="1" a="1"/>
  <c r="J163" i="1"/>
  <c r="I164" i="1"/>
  <c r="J164" i="1" a="1"/>
  <c r="J164" i="1"/>
  <c r="I165" i="1"/>
  <c r="J165" i="1" a="1"/>
  <c r="J165" i="1"/>
  <c r="I166" i="1"/>
  <c r="J166" i="1" a="1"/>
  <c r="J166" i="1"/>
  <c r="I167" i="1"/>
  <c r="J167" i="1" a="1"/>
  <c r="J167" i="1"/>
  <c r="I168" i="1"/>
  <c r="J168" i="1" a="1"/>
  <c r="J168" i="1"/>
  <c r="G162" i="1"/>
  <c r="G161" i="1"/>
  <c r="H160" i="1"/>
  <c r="H169" i="1"/>
  <c r="H170" i="1"/>
  <c r="H171" i="1"/>
  <c r="H172" i="1"/>
  <c r="H173" i="1"/>
  <c r="I149" i="1"/>
  <c r="J149" i="1" a="1"/>
  <c r="J149" i="1"/>
  <c r="I150" i="1"/>
  <c r="J150" i="1" a="1"/>
  <c r="J150" i="1"/>
  <c r="I151" i="1"/>
  <c r="J151" i="1" a="1"/>
  <c r="J151" i="1"/>
  <c r="I152" i="1"/>
  <c r="J152" i="1" a="1"/>
  <c r="J152" i="1"/>
  <c r="I153" i="1"/>
  <c r="J153" i="1" a="1"/>
  <c r="J153" i="1"/>
  <c r="I154" i="1"/>
  <c r="J154" i="1" a="1"/>
  <c r="J154" i="1"/>
  <c r="I155" i="1"/>
  <c r="J155" i="1" a="1"/>
  <c r="J155" i="1"/>
  <c r="I156" i="1"/>
  <c r="J156" i="1" a="1"/>
  <c r="J156" i="1"/>
  <c r="I157" i="1"/>
  <c r="J157" i="1" a="1"/>
  <c r="J157" i="1"/>
  <c r="I158" i="1"/>
  <c r="J158" i="1" a="1"/>
  <c r="J158" i="1"/>
  <c r="I136" i="1"/>
  <c r="J136" i="1" a="1"/>
  <c r="J136" i="1"/>
  <c r="I137" i="1"/>
  <c r="J137" i="1" a="1"/>
  <c r="J137" i="1"/>
  <c r="I138" i="1"/>
  <c r="J138" i="1" a="1"/>
  <c r="J138" i="1"/>
  <c r="I139" i="1"/>
  <c r="J139" i="1" a="1"/>
  <c r="J139" i="1"/>
  <c r="I140" i="1"/>
  <c r="J140" i="1" a="1"/>
  <c r="J140" i="1"/>
  <c r="I141" i="1"/>
  <c r="J141" i="1" a="1"/>
  <c r="J141" i="1"/>
  <c r="I142" i="1"/>
  <c r="J142" i="1" a="1"/>
  <c r="J142" i="1"/>
  <c r="I143" i="1"/>
  <c r="J143" i="1" a="1"/>
  <c r="J143" i="1"/>
  <c r="I144" i="1"/>
  <c r="J144" i="1" a="1"/>
  <c r="J144" i="1"/>
  <c r="I145" i="1"/>
  <c r="J145" i="1" a="1"/>
  <c r="J145" i="1"/>
  <c r="I146" i="1"/>
  <c r="J146" i="1" a="1"/>
  <c r="J146" i="1"/>
  <c r="I147" i="1"/>
  <c r="J147" i="1" a="1"/>
  <c r="J147" i="1"/>
  <c r="I148" i="1"/>
  <c r="J148" i="1" a="1"/>
  <c r="J148" i="1"/>
  <c r="H25" i="6"/>
  <c r="I25" i="6" s="1"/>
  <c r="H26" i="6"/>
  <c r="I26" i="6" s="1"/>
  <c r="H27" i="6"/>
  <c r="I27" i="6" s="1"/>
  <c r="G26" i="6"/>
  <c r="G27" i="6"/>
  <c r="G73" i="9" a="1"/>
  <c r="G73" i="9"/>
  <c r="G74" i="9" a="1"/>
  <c r="G74" i="9"/>
  <c r="G75" i="9" a="1"/>
  <c r="G75" i="9"/>
  <c r="G76" i="9" a="1"/>
  <c r="G76" i="9"/>
  <c r="G77" i="9" a="1"/>
  <c r="G77" i="9"/>
  <c r="G78" i="9" a="1"/>
  <c r="G78" i="9"/>
  <c r="H73" i="9" a="1"/>
  <c r="H73" i="9"/>
  <c r="H74" i="9" a="1"/>
  <c r="H74" i="9"/>
  <c r="H75" i="9" a="1"/>
  <c r="H75" i="9"/>
  <c r="H76" i="9" a="1"/>
  <c r="H76" i="9"/>
  <c r="H77" i="9" a="1"/>
  <c r="H77" i="9"/>
  <c r="H78" i="9" a="1"/>
  <c r="H78" i="9"/>
  <c r="I73" i="9" a="1"/>
  <c r="I73" i="9"/>
  <c r="I74" i="9" a="1"/>
  <c r="I74" i="9"/>
  <c r="I75" i="9" a="1"/>
  <c r="I75" i="9"/>
  <c r="I76" i="9" a="1"/>
  <c r="I76" i="9"/>
  <c r="I77" i="9" a="1"/>
  <c r="I77" i="9"/>
  <c r="I78" i="9" a="1"/>
  <c r="I78" i="9"/>
  <c r="J73" i="9" a="1"/>
  <c r="J73" i="9"/>
  <c r="J74" i="9" a="1"/>
  <c r="J74" i="9"/>
  <c r="J75" i="9" a="1"/>
  <c r="J75" i="9"/>
  <c r="J76" i="9" a="1"/>
  <c r="J76" i="9"/>
  <c r="J77" i="9" a="1"/>
  <c r="J77" i="9"/>
  <c r="J78" i="9" a="1"/>
  <c r="J78" i="9"/>
  <c r="B49" i="9" a="1"/>
  <c r="L53" i="9"/>
  <c r="M53" i="9" s="1"/>
  <c r="L73" i="9"/>
  <c r="M73" i="9" s="1"/>
  <c r="L74" i="9"/>
  <c r="M74" i="9" s="1"/>
  <c r="L75" i="9"/>
  <c r="M75" i="9" s="1"/>
  <c r="L76" i="9"/>
  <c r="M76" i="9" s="1"/>
  <c r="L77" i="9"/>
  <c r="M77" i="9" s="1"/>
  <c r="L78" i="9"/>
  <c r="M78" i="9" s="1"/>
  <c r="I131" i="1"/>
  <c r="J131" i="1" a="1"/>
  <c r="J131" i="1"/>
  <c r="H24" i="6"/>
  <c r="I24" i="6" s="1"/>
  <c r="G24" i="6"/>
  <c r="G25" i="6"/>
  <c r="C9" i="8"/>
  <c r="G11" i="7"/>
  <c r="H11" i="7" s="1"/>
  <c r="G12" i="7"/>
  <c r="H12" i="7" s="1"/>
  <c r="G13" i="7"/>
  <c r="H13" i="7" s="1"/>
  <c r="H22" i="6"/>
  <c r="I22" i="6" s="1"/>
  <c r="H23" i="6"/>
  <c r="I23" i="6" s="1"/>
  <c r="G22" i="6"/>
  <c r="G23" i="6"/>
  <c r="I128" i="1"/>
  <c r="J128" i="1" a="1"/>
  <c r="J128" i="1"/>
  <c r="I129" i="1"/>
  <c r="J129" i="1" a="1"/>
  <c r="J129" i="1"/>
  <c r="I130" i="1"/>
  <c r="J130" i="1" a="1"/>
  <c r="J130" i="1"/>
  <c r="I132" i="1"/>
  <c r="J132" i="1" a="1"/>
  <c r="J132" i="1"/>
  <c r="I133" i="1"/>
  <c r="J133" i="1" a="1"/>
  <c r="J133" i="1"/>
  <c r="I134" i="1"/>
  <c r="J134" i="1" a="1"/>
  <c r="J134" i="1"/>
  <c r="I135" i="1"/>
  <c r="J135" i="1" a="1"/>
  <c r="J135" i="1"/>
  <c r="G10" i="7"/>
  <c r="H10" i="7" s="1"/>
  <c r="G9" i="7"/>
  <c r="H9" i="7" s="1"/>
  <c r="G8" i="7"/>
  <c r="H8" i="7" s="1"/>
  <c r="H21" i="6"/>
  <c r="I21" i="6" s="1"/>
  <c r="H20" i="6"/>
  <c r="I20" i="6" s="1"/>
  <c r="G20" i="6"/>
  <c r="G21" i="6"/>
  <c r="F12" i="15"/>
  <c r="G12" i="15"/>
  <c r="H12" i="15" s="1"/>
  <c r="G13" i="15"/>
  <c r="H13" i="15" s="1"/>
  <c r="F8" i="15"/>
  <c r="G8" i="15"/>
  <c r="I120" i="1"/>
  <c r="J120" i="1" a="1"/>
  <c r="J120" i="1"/>
  <c r="I121" i="1"/>
  <c r="J121" i="1" a="1"/>
  <c r="J121" i="1"/>
  <c r="I122" i="1"/>
  <c r="J122" i="1" a="1"/>
  <c r="J122" i="1"/>
  <c r="I123" i="1"/>
  <c r="J123" i="1" a="1"/>
  <c r="J123" i="1"/>
  <c r="I124" i="1"/>
  <c r="J124" i="1" a="1"/>
  <c r="J124" i="1"/>
  <c r="I125" i="1"/>
  <c r="J125" i="1" a="1"/>
  <c r="J125" i="1"/>
  <c r="I126" i="1"/>
  <c r="J126" i="1" a="1"/>
  <c r="J126" i="1"/>
  <c r="I127" i="1"/>
  <c r="J127" i="1" a="1"/>
  <c r="J127" i="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a="1"/>
  <c r="J112" i="1"/>
  <c r="I113" i="1"/>
  <c r="J113" i="1" a="1"/>
  <c r="J113" i="1"/>
  <c r="I114" i="1"/>
  <c r="J114" i="1" a="1"/>
  <c r="J114" i="1"/>
  <c r="I115" i="1"/>
  <c r="J115" i="1" a="1"/>
  <c r="J115" i="1"/>
  <c r="I116" i="1"/>
  <c r="J116" i="1" a="1"/>
  <c r="J116" i="1"/>
  <c r="I117" i="1"/>
  <c r="J117" i="1" a="1"/>
  <c r="J117" i="1"/>
  <c r="I118" i="1"/>
  <c r="J118" i="1" a="1"/>
  <c r="J118" i="1"/>
  <c r="I119" i="1"/>
  <c r="J119" i="1" a="1"/>
  <c r="J119" i="1"/>
  <c r="I99" i="1"/>
  <c r="J99" i="1" a="1"/>
  <c r="J99" i="1"/>
  <c r="I100" i="1"/>
  <c r="J100" i="1" a="1"/>
  <c r="J100" i="1"/>
  <c r="I101" i="1"/>
  <c r="J101" i="1" a="1"/>
  <c r="J101" i="1"/>
  <c r="I102" i="1"/>
  <c r="J102" i="1" a="1"/>
  <c r="J102" i="1"/>
  <c r="I103" i="1"/>
  <c r="J103" i="1" a="1"/>
  <c r="J103" i="1"/>
  <c r="I104" i="1"/>
  <c r="J104" i="1" a="1"/>
  <c r="J104" i="1"/>
  <c r="I105" i="1"/>
  <c r="J105" i="1" a="1"/>
  <c r="J105" i="1"/>
  <c r="I106" i="1"/>
  <c r="J106" i="1" a="1"/>
  <c r="J106" i="1"/>
  <c r="I107" i="1"/>
  <c r="J107" i="1" a="1"/>
  <c r="J107" i="1"/>
  <c r="I108" i="1"/>
  <c r="J108" i="1" a="1"/>
  <c r="J108" i="1"/>
  <c r="I109" i="1"/>
  <c r="J109" i="1" a="1"/>
  <c r="J109" i="1"/>
  <c r="I110" i="1"/>
  <c r="J110" i="1" a="1"/>
  <c r="J110" i="1"/>
  <c r="I111" i="1"/>
  <c r="J111" i="1" a="1"/>
  <c r="J111" i="1"/>
  <c r="F11" i="15"/>
  <c r="F10" i="15"/>
  <c r="H12" i="6"/>
  <c r="I12" i="6" s="1"/>
  <c r="I36" i="12"/>
  <c r="H11" i="6"/>
  <c r="I11" i="6" s="1"/>
  <c r="G11" i="6"/>
  <c r="G12" i="6"/>
  <c r="I90" i="1"/>
  <c r="J90" i="1" a="1"/>
  <c r="J90" i="1"/>
  <c r="I91" i="1"/>
  <c r="J91" i="1" a="1"/>
  <c r="J91" i="1"/>
  <c r="I92" i="1"/>
  <c r="J92" i="1" a="1"/>
  <c r="J92" i="1"/>
  <c r="I93" i="1"/>
  <c r="J93" i="1" a="1"/>
  <c r="J93" i="1"/>
  <c r="I94" i="1"/>
  <c r="J94" i="1" a="1"/>
  <c r="J94" i="1"/>
  <c r="I95" i="1"/>
  <c r="J95" i="1" a="1"/>
  <c r="J95" i="1"/>
  <c r="I96" i="1"/>
  <c r="J96" i="1" a="1"/>
  <c r="J96" i="1"/>
  <c r="I97" i="1"/>
  <c r="J97" i="1" a="1"/>
  <c r="J97" i="1"/>
  <c r="I98" i="1"/>
  <c r="J98" i="1" a="1"/>
  <c r="J98" i="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a="1"/>
  <c r="J89" i="1"/>
  <c r="G9" i="15"/>
  <c r="H9" i="15" s="1"/>
  <c r="G10" i="15"/>
  <c r="H10" i="15" s="1"/>
  <c r="G11" i="15"/>
  <c r="J27" i="15"/>
  <c r="E43" i="7"/>
  <c r="E42" i="7"/>
  <c r="G5" i="7"/>
  <c r="H5" i="7" s="1"/>
  <c r="G4" i="7"/>
  <c r="H4" i="7" s="1"/>
  <c r="G7" i="6"/>
  <c r="X29" i="9" a="1"/>
  <c r="X29" i="9"/>
  <c r="Y29" i="9" a="1"/>
  <c r="Y29" i="9"/>
  <c r="V29" i="9" a="1"/>
  <c r="V29" i="9"/>
  <c r="W29" i="9" a="1"/>
  <c r="W29" i="9"/>
  <c r="V30" i="9" a="1"/>
  <c r="V30" i="9"/>
  <c r="W30" i="9" a="1"/>
  <c r="W30" i="9"/>
  <c r="X30" i="9" a="1"/>
  <c r="X30" i="9"/>
  <c r="Y30" i="9" a="1"/>
  <c r="Y30" i="9"/>
  <c r="V31" i="9" a="1"/>
  <c r="V31" i="9"/>
  <c r="W31" i="9" a="1"/>
  <c r="W31" i="9"/>
  <c r="X31" i="9" a="1"/>
  <c r="X31" i="9"/>
  <c r="Y31" i="9" a="1"/>
  <c r="Y31" i="9"/>
  <c r="V32" i="9" a="1"/>
  <c r="V32" i="9"/>
  <c r="W32" i="9" a="1"/>
  <c r="W32" i="9"/>
  <c r="X32" i="9" a="1"/>
  <c r="X32" i="9"/>
  <c r="Y32" i="9" a="1"/>
  <c r="Y32" i="9"/>
  <c r="V33" i="9" a="1"/>
  <c r="V33" i="9"/>
  <c r="W33" i="9" a="1"/>
  <c r="W33" i="9"/>
  <c r="X33" i="9" a="1"/>
  <c r="X33" i="9"/>
  <c r="Y33" i="9" a="1"/>
  <c r="Y33" i="9"/>
  <c r="V34" i="9" a="1"/>
  <c r="V34" i="9"/>
  <c r="W34" i="9" a="1"/>
  <c r="W34" i="9"/>
  <c r="X34" i="9" a="1"/>
  <c r="X34" i="9"/>
  <c r="Y34" i="9" a="1"/>
  <c r="Y34" i="9"/>
  <c r="V35" i="9" a="1"/>
  <c r="V35" i="9"/>
  <c r="W35" i="9" a="1"/>
  <c r="W35" i="9"/>
  <c r="X35" i="9" a="1"/>
  <c r="X35" i="9"/>
  <c r="Y35" i="9" a="1"/>
  <c r="Y35" i="9"/>
  <c r="I88" i="1"/>
  <c r="J88" i="1" a="1"/>
  <c r="J88" i="1"/>
  <c r="I87" i="1"/>
  <c r="J87" i="1" a="1"/>
  <c r="J87" i="1"/>
  <c r="I86" i="1"/>
  <c r="J86" i="1" a="1"/>
  <c r="J86" i="1"/>
  <c r="I85" i="1"/>
  <c r="J85" i="1" a="1"/>
  <c r="J85" i="1"/>
  <c r="I84" i="1"/>
  <c r="J84" i="1" a="1"/>
  <c r="J84" i="1"/>
  <c r="I83" i="1"/>
  <c r="J83" i="1" a="1"/>
  <c r="J83" i="1"/>
  <c r="I82" i="1"/>
  <c r="J82" i="1" a="1"/>
  <c r="J82" i="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29" i="9" a="1"/>
  <c r="R29" i="9"/>
  <c r="S29" i="9" a="1"/>
  <c r="S29" i="9"/>
  <c r="T29" i="9" a="1"/>
  <c r="T29" i="9"/>
  <c r="U29" i="9" a="1"/>
  <c r="U29" i="9"/>
  <c r="AA29" i="9"/>
  <c r="B26" i="20" s="1"/>
  <c r="R30" i="9" a="1"/>
  <c r="R30" i="9"/>
  <c r="S30" i="9" a="1"/>
  <c r="S30" i="9"/>
  <c r="T30" i="9" a="1"/>
  <c r="T30" i="9"/>
  <c r="U30" i="9" a="1"/>
  <c r="U30" i="9"/>
  <c r="AA30" i="9"/>
  <c r="B27" i="20" s="1"/>
  <c r="R31" i="9" a="1"/>
  <c r="R31" i="9"/>
  <c r="S31" i="9" a="1"/>
  <c r="S31" i="9"/>
  <c r="T31" i="9" a="1"/>
  <c r="T31" i="9"/>
  <c r="U31" i="9" a="1"/>
  <c r="U31" i="9"/>
  <c r="AA31" i="9"/>
  <c r="B28" i="20" s="1"/>
  <c r="R32" i="9" a="1"/>
  <c r="R32" i="9"/>
  <c r="S32" i="9" a="1"/>
  <c r="S32" i="9"/>
  <c r="T32" i="9" a="1"/>
  <c r="T32" i="9"/>
  <c r="U32" i="9" a="1"/>
  <c r="U32" i="9"/>
  <c r="AA32" i="9"/>
  <c r="AB32" i="9" s="1"/>
  <c r="R33" i="9" a="1"/>
  <c r="R33" i="9"/>
  <c r="S33" i="9" a="1"/>
  <c r="S33" i="9"/>
  <c r="T33" i="9" a="1"/>
  <c r="T33" i="9"/>
  <c r="U33" i="9" a="1"/>
  <c r="U33" i="9"/>
  <c r="AA33" i="9"/>
  <c r="AB33" i="9" s="1"/>
  <c r="R34" i="9" a="1"/>
  <c r="R34" i="9"/>
  <c r="S34" i="9" a="1"/>
  <c r="S34" i="9"/>
  <c r="T34" i="9" a="1"/>
  <c r="T34" i="9"/>
  <c r="U34" i="9" a="1"/>
  <c r="U34" i="9"/>
  <c r="AA34" i="9"/>
  <c r="AB34" i="9" s="1"/>
  <c r="R35" i="9" a="1"/>
  <c r="R35" i="9"/>
  <c r="S35" i="9" a="1"/>
  <c r="S35" i="9"/>
  <c r="T35" i="9" a="1"/>
  <c r="T35" i="9"/>
  <c r="U35" i="9" a="1"/>
  <c r="U35" i="9"/>
  <c r="AA35" i="9"/>
  <c r="AB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s="1"/>
  <c r="F6" i="15"/>
  <c r="B84" i="9" a="1"/>
  <c r="B84" i="9"/>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25" i="20"/>
  <c r="L64" i="9"/>
  <c r="M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H57" i="2"/>
  <c r="I57" i="2"/>
  <c r="D57" i="2"/>
  <c r="E58" i="2"/>
  <c r="F58" i="2"/>
  <c r="G58" i="2"/>
  <c r="F27" i="2"/>
  <c r="H27" i="2"/>
  <c r="I27" i="2"/>
  <c r="D27" i="2"/>
  <c r="E27" i="2"/>
  <c r="E59" i="2"/>
  <c r="F59" i="2"/>
  <c r="F28" i="2"/>
  <c r="H28" i="2"/>
  <c r="I28" i="2"/>
  <c r="D28" i="2"/>
  <c r="E28" i="2"/>
  <c r="G28" i="2"/>
  <c r="H118" i="1"/>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c r="I45" i="2"/>
  <c r="D45" i="2"/>
  <c r="E46" i="2"/>
  <c r="F46" i="2"/>
  <c r="H46" i="2"/>
  <c r="I46" i="2"/>
  <c r="D46" i="2"/>
  <c r="E47" i="2"/>
  <c r="F47" i="2"/>
  <c r="H47" i="2"/>
  <c r="I47" i="2"/>
  <c r="D47" i="2"/>
  <c r="E48" i="2"/>
  <c r="F48" i="2"/>
  <c r="F20" i="2"/>
  <c r="H20" i="2"/>
  <c r="I20" i="2"/>
  <c r="D20" i="2"/>
  <c r="E20" i="2"/>
  <c r="E49" i="2"/>
  <c r="F49" i="2"/>
  <c r="F21" i="2"/>
  <c r="H21" i="2"/>
  <c r="I21" i="2"/>
  <c r="D21" i="2"/>
  <c r="E21" i="2"/>
  <c r="E50" i="2"/>
  <c r="F50" i="2"/>
  <c r="E51" i="2"/>
  <c r="F51" i="2"/>
  <c r="H51" i="2"/>
  <c r="I51" i="2"/>
  <c r="D51" i="2"/>
  <c r="E52" i="2"/>
  <c r="F52" i="2"/>
  <c r="H52" i="2"/>
  <c r="I52" i="2"/>
  <c r="D52" i="2"/>
  <c r="E53" i="2"/>
  <c r="F53" i="2"/>
  <c r="H53" i="2"/>
  <c r="I53" i="2"/>
  <c r="D53" i="2"/>
  <c r="E54" i="2"/>
  <c r="F54" i="2"/>
  <c r="F24" i="2"/>
  <c r="H24" i="2"/>
  <c r="I24" i="2"/>
  <c r="D24" i="2"/>
  <c r="E24" i="2"/>
  <c r="E55" i="2"/>
  <c r="F55" i="2"/>
  <c r="G55" i="2"/>
  <c r="F25" i="2"/>
  <c r="H25" i="2"/>
  <c r="I25" i="2"/>
  <c r="D25" i="2"/>
  <c r="E25" i="2"/>
  <c r="G25" i="2"/>
  <c r="H111" i="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H6" i="2"/>
  <c r="I6" i="2"/>
  <c r="D6" i="2"/>
  <c r="E6" i="2"/>
  <c r="F5" i="2"/>
  <c r="H5" i="2"/>
  <c r="I5" i="2"/>
  <c r="D5" i="2"/>
  <c r="E5" i="2"/>
  <c r="E34" i="2"/>
  <c r="F34" i="2"/>
  <c r="G34" i="2"/>
  <c r="H131" i="1"/>
  <c r="F18" i="2"/>
  <c r="H18" i="2"/>
  <c r="I18" i="2"/>
  <c r="D18" i="2"/>
  <c r="E18" i="2"/>
  <c r="E35" i="2"/>
  <c r="F35" i="2"/>
  <c r="H35" i="2"/>
  <c r="I35" i="2"/>
  <c r="D35" i="2"/>
  <c r="E36" i="2"/>
  <c r="F36" i="2"/>
  <c r="G36" i="2"/>
  <c r="H135" i="1"/>
  <c r="F22" i="2"/>
  <c r="E22" i="2"/>
  <c r="F7" i="2"/>
  <c r="H7" i="2"/>
  <c r="I7" i="2"/>
  <c r="D7" i="2"/>
  <c r="E7" i="2"/>
  <c r="E37" i="2"/>
  <c r="F37" i="2"/>
  <c r="H37" i="2"/>
  <c r="I37" i="2"/>
  <c r="D37" i="2"/>
  <c r="E39" i="2"/>
  <c r="F39" i="2"/>
  <c r="H39" i="2"/>
  <c r="I39" i="2"/>
  <c r="D39" i="2"/>
  <c r="E40" i="2"/>
  <c r="F40" i="2"/>
  <c r="H40" i="2"/>
  <c r="I40" i="2"/>
  <c r="D40" i="2"/>
  <c r="E41" i="2"/>
  <c r="F41" i="2"/>
  <c r="G41" i="2"/>
  <c r="H143" i="1"/>
  <c r="E42" i="2"/>
  <c r="F42" i="2"/>
  <c r="E43" i="2"/>
  <c r="F43" i="2"/>
  <c r="H43" i="2"/>
  <c r="I43" i="2"/>
  <c r="D43" i="2"/>
  <c r="E44" i="2"/>
  <c r="F44" i="2"/>
  <c r="H44" i="2"/>
  <c r="I44" i="2"/>
  <c r="D44" i="2"/>
  <c r="F19" i="2"/>
  <c r="H19" i="2"/>
  <c r="I19" i="2"/>
  <c r="D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H15" i="2"/>
  <c r="I15" i="2"/>
  <c r="D15" i="2"/>
  <c r="E15" i="2"/>
  <c r="F16" i="2"/>
  <c r="E16" i="2"/>
  <c r="F26" i="2"/>
  <c r="H26" i="2"/>
  <c r="I26" i="2"/>
  <c r="D26" i="2"/>
  <c r="E26" i="2"/>
  <c r="F29" i="2"/>
  <c r="H29" i="2"/>
  <c r="I29" i="2"/>
  <c r="D29" i="2"/>
  <c r="E29" i="2"/>
  <c r="F30" i="2"/>
  <c r="F31" i="2"/>
  <c r="H31" i="2"/>
  <c r="I31" i="2"/>
  <c r="D31" i="2"/>
  <c r="E31" i="2"/>
  <c r="F32" i="2"/>
  <c r="H32" i="2"/>
  <c r="I32" i="2"/>
  <c r="D32" i="2"/>
  <c r="F14" i="2"/>
  <c r="H14" i="2"/>
  <c r="I14" i="2"/>
  <c r="D14" i="2"/>
  <c r="E14" i="2"/>
  <c r="E30" i="2"/>
  <c r="E32" i="2"/>
  <c r="N4" i="17"/>
  <c r="F12" i="2"/>
  <c r="E12" i="2"/>
  <c r="F11" i="2"/>
  <c r="H11" i="2"/>
  <c r="I11" i="2"/>
  <c r="E11" i="2"/>
  <c r="E17" i="2"/>
  <c r="F17" i="2"/>
  <c r="H17" i="2"/>
  <c r="I17" i="2"/>
  <c r="D17" i="2"/>
  <c r="F9" i="2"/>
  <c r="E9" i="2"/>
  <c r="E8" i="2"/>
  <c r="G8" i="2"/>
  <c r="H88" i="1"/>
  <c r="F8" i="2"/>
  <c r="H8" i="2"/>
  <c r="I8" i="2"/>
  <c r="D8" i="2"/>
  <c r="E10" i="2"/>
  <c r="E4" i="2"/>
  <c r="C8" i="8"/>
  <c r="F10" i="2"/>
  <c r="H10" i="2"/>
  <c r="I10" i="2"/>
  <c r="D10" i="2"/>
  <c r="F4" i="2"/>
  <c r="H4" i="2"/>
  <c r="I4" i="2"/>
  <c r="D4" i="2"/>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256" i="17"/>
  <c r="K4" i="17" s="1"/>
  <c r="C16" i="10"/>
  <c r="J30" i="15"/>
  <c r="G67" i="2"/>
  <c r="G71" i="2"/>
  <c r="G66" i="2"/>
  <c r="G65" i="2"/>
  <c r="G60" i="2"/>
  <c r="G69" i="2"/>
  <c r="G68" i="2"/>
  <c r="G63" i="2"/>
  <c r="G70" i="2"/>
  <c r="G59" i="2"/>
  <c r="G62" i="2"/>
  <c r="H60" i="2"/>
  <c r="I60" i="2"/>
  <c r="D60" i="2"/>
  <c r="H58" i="2"/>
  <c r="I58" i="2"/>
  <c r="D58" i="2"/>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D3" i="17"/>
  <c r="N6" i="17"/>
  <c r="D2" i="17"/>
  <c r="N5"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72" i="9" a="1"/>
  <c r="G72" i="9"/>
  <c r="L57" i="9"/>
  <c r="H166" i="1"/>
  <c r="H168" i="1"/>
  <c r="H55" i="2"/>
  <c r="I55" i="2"/>
  <c r="D55" i="2"/>
  <c r="G7" i="2"/>
  <c r="H83" i="1"/>
  <c r="G54" i="2"/>
  <c r="H165" i="1"/>
  <c r="G47" i="2"/>
  <c r="H150" i="1"/>
  <c r="G56" i="2"/>
  <c r="H167" i="1"/>
  <c r="G42" i="2"/>
  <c r="H144" i="1"/>
  <c r="G16" i="2"/>
  <c r="I61" i="9" a="1"/>
  <c r="I61" i="9"/>
  <c r="G45" i="2"/>
  <c r="H154" i="1"/>
  <c r="G37" i="2"/>
  <c r="H136" i="1"/>
  <c r="J56" i="9" a="1"/>
  <c r="J56" i="9"/>
  <c r="T28" i="9" a="1"/>
  <c r="T28" i="9"/>
  <c r="G22" i="2"/>
  <c r="H106" i="1"/>
  <c r="G53" i="2"/>
  <c r="H162" i="1"/>
  <c r="G9" i="2"/>
  <c r="H89" i="1"/>
  <c r="H42" i="2"/>
  <c r="I42" i="2"/>
  <c r="D42" i="2"/>
  <c r="G39" i="2"/>
  <c r="H141" i="1"/>
  <c r="G48" i="2"/>
  <c r="H151" i="1"/>
  <c r="G21" i="2"/>
  <c r="H108" i="1"/>
  <c r="G26" i="2"/>
  <c r="H114" i="1"/>
  <c r="H41" i="2"/>
  <c r="I41" i="2"/>
  <c r="D41" i="2"/>
  <c r="G14" i="2"/>
  <c r="H152" i="1"/>
  <c r="G19" i="2"/>
  <c r="H103" i="1"/>
  <c r="G52" i="2"/>
  <c r="H158" i="1"/>
  <c r="G31" i="2"/>
  <c r="H123" i="1"/>
  <c r="H54" i="2"/>
  <c r="I54" i="2"/>
  <c r="D54" i="2"/>
  <c r="G51" i="2"/>
  <c r="H157" i="1"/>
  <c r="G4" i="2"/>
  <c r="G43" i="2"/>
  <c r="H145" i="1"/>
  <c r="G29" i="2"/>
  <c r="H119" i="1"/>
  <c r="H22" i="2"/>
  <c r="I22" i="2"/>
  <c r="D22" i="2"/>
  <c r="G6" i="2"/>
  <c r="H82" i="1"/>
  <c r="G24" i="2"/>
  <c r="H110" i="1"/>
  <c r="G20" i="2"/>
  <c r="H104" i="1"/>
  <c r="G32" i="2"/>
  <c r="H124" i="1"/>
  <c r="H34" i="2"/>
  <c r="I34" i="2"/>
  <c r="D34" i="2"/>
  <c r="H36" i="2"/>
  <c r="I36" i="2"/>
  <c r="D36" i="2"/>
  <c r="G15" i="2"/>
  <c r="H97" i="1"/>
  <c r="G18" i="2"/>
  <c r="H102" i="1"/>
  <c r="G49" i="2"/>
  <c r="H155" i="1"/>
  <c r="K74" i="9"/>
  <c r="C102" i="9"/>
  <c r="R23" i="9" a="1"/>
  <c r="R23" i="9"/>
  <c r="H63" i="9" a="1"/>
  <c r="H63" i="9"/>
  <c r="G17" i="2"/>
  <c r="G33" i="2"/>
  <c r="H125" i="1"/>
  <c r="G50" i="2"/>
  <c r="H156" i="1"/>
  <c r="H87" i="1"/>
  <c r="G10" i="2"/>
  <c r="H90" i="1"/>
  <c r="G11" i="2"/>
  <c r="H91" i="1"/>
  <c r="G23" i="2"/>
  <c r="H107" i="1"/>
  <c r="H48" i="2"/>
  <c r="I48" i="2"/>
  <c r="D48" i="2"/>
  <c r="G46" i="2"/>
  <c r="H149" i="1"/>
  <c r="G12" i="2"/>
  <c r="H93" i="1"/>
  <c r="G30" i="2"/>
  <c r="H130" i="1"/>
  <c r="H30" i="2"/>
  <c r="I30" i="2"/>
  <c r="D30" i="2"/>
  <c r="G40" i="2"/>
  <c r="H142" i="1"/>
  <c r="H49" i="2"/>
  <c r="I49" i="2"/>
  <c r="D49" i="2"/>
  <c r="G27" i="2"/>
  <c r="H116" i="1"/>
  <c r="H139" i="1"/>
  <c r="H99" i="1"/>
  <c r="H127" i="1"/>
  <c r="G44" i="2"/>
  <c r="H163" i="1"/>
  <c r="G5" i="2"/>
  <c r="H98" i="1"/>
  <c r="H16" i="2"/>
  <c r="I16" i="2"/>
  <c r="D16" i="2"/>
  <c r="H50" i="2"/>
  <c r="I50" i="2"/>
  <c r="D50" i="2"/>
  <c r="H9" i="2"/>
  <c r="I9" i="2"/>
  <c r="D9" i="2"/>
  <c r="G38" i="2"/>
  <c r="H12" i="2"/>
  <c r="I12" i="2"/>
  <c r="D12" i="2"/>
  <c r="G35" i="2"/>
  <c r="H86" i="1"/>
  <c r="H122" i="1"/>
  <c r="H85" i="1"/>
  <c r="G13" i="2"/>
  <c r="H95" i="1"/>
  <c r="K75" i="9"/>
  <c r="H101" i="9"/>
  <c r="W22" i="9" a="1"/>
  <c r="W22" i="9"/>
  <c r="AA28" i="9"/>
  <c r="B25" i="20" s="1"/>
  <c r="G58" i="9" a="1"/>
  <c r="G58" i="9"/>
  <c r="F89" i="9"/>
  <c r="U10" i="9" a="1"/>
  <c r="U10" i="9"/>
  <c r="J95" i="9"/>
  <c r="Y16" i="9" a="1"/>
  <c r="Y16" i="9"/>
  <c r="L58" i="9"/>
  <c r="M58" i="9" s="1"/>
  <c r="S28" i="9" a="1"/>
  <c r="S28" i="9"/>
  <c r="L94" i="9"/>
  <c r="AA15" i="9"/>
  <c r="B12" i="20" s="1"/>
  <c r="F97" i="9"/>
  <c r="U18" i="9" a="1"/>
  <c r="U18" i="9"/>
  <c r="L72" i="9"/>
  <c r="M72" i="9" s="1"/>
  <c r="J50" i="9" a="1"/>
  <c r="J50" i="9"/>
  <c r="V28" i="9" a="1"/>
  <c r="V28" i="9"/>
  <c r="L54" i="9"/>
  <c r="M54" i="9" s="1"/>
  <c r="B9" i="9"/>
  <c r="E9" i="9"/>
  <c r="J93" i="9"/>
  <c r="Y14" i="9" a="1"/>
  <c r="Y14" i="9"/>
  <c r="I50" i="9" a="1"/>
  <c r="I50" i="9"/>
  <c r="G103" i="9"/>
  <c r="V24" i="9" a="1"/>
  <c r="V24" i="9"/>
  <c r="D90" i="9"/>
  <c r="S11" i="9" a="1"/>
  <c r="S11" i="9"/>
  <c r="Y28" i="9" a="1"/>
  <c r="Y28" i="9"/>
  <c r="G93" i="9"/>
  <c r="V14" i="9" a="1"/>
  <c r="V14" i="9"/>
  <c r="J72" i="9" a="1"/>
  <c r="J72" i="9"/>
  <c r="G50" i="9" a="1"/>
  <c r="G50" i="9"/>
  <c r="I72" i="9" a="1"/>
  <c r="I72" i="9"/>
  <c r="U28" i="9" a="1"/>
  <c r="U28" i="9"/>
  <c r="D99" i="9"/>
  <c r="S20" i="9" a="1"/>
  <c r="S20" i="9"/>
  <c r="C85" i="9"/>
  <c r="R6" i="9" a="1"/>
  <c r="R6" i="9"/>
  <c r="E88" i="9"/>
  <c r="T9" i="9" a="1"/>
  <c r="T9" i="9"/>
  <c r="W28" i="9" a="1"/>
  <c r="W28" i="9"/>
  <c r="H86" i="9"/>
  <c r="W7" i="9" a="1"/>
  <c r="W7" i="9"/>
  <c r="H72" i="9" a="1"/>
  <c r="H72" i="9"/>
  <c r="H55" i="9" a="1"/>
  <c r="H55" i="9"/>
  <c r="L102" i="9"/>
  <c r="AA23" i="9"/>
  <c r="B20" i="20" s="1"/>
  <c r="X28" i="9" a="1"/>
  <c r="X28" i="9"/>
  <c r="L51" i="9"/>
  <c r="M51" i="9" s="1"/>
  <c r="L55" i="9"/>
  <c r="F92" i="9"/>
  <c r="U13" i="9" a="1"/>
  <c r="U13" i="9"/>
  <c r="L67" i="9"/>
  <c r="M67" i="9" s="1"/>
  <c r="F88" i="9"/>
  <c r="U9" i="9" a="1"/>
  <c r="U9" i="9"/>
  <c r="L63" i="9"/>
  <c r="M63" i="9" s="1"/>
  <c r="R28" i="9" a="1"/>
  <c r="R28" i="9"/>
  <c r="H70" i="9" a="1"/>
  <c r="H70" i="9"/>
  <c r="I94" i="9"/>
  <c r="X15" i="9" a="1"/>
  <c r="X15" i="9"/>
  <c r="J61" i="9" a="1"/>
  <c r="J61" i="9"/>
  <c r="I68" i="9" a="1"/>
  <c r="I68" i="9"/>
  <c r="E90" i="9"/>
  <c r="T11" i="9" a="1"/>
  <c r="T11" i="9"/>
  <c r="Z29" i="9"/>
  <c r="A19" i="21"/>
  <c r="B19" i="21"/>
  <c r="A13" i="20"/>
  <c r="A5" i="20"/>
  <c r="A6" i="21"/>
  <c r="B6" i="21"/>
  <c r="A9" i="21"/>
  <c r="B9" i="21"/>
  <c r="A12" i="20"/>
  <c r="A13" i="21"/>
  <c r="B13" i="21"/>
  <c r="A10" i="20"/>
  <c r="A22" i="21"/>
  <c r="B22" i="21"/>
  <c r="A5" i="21"/>
  <c r="B5" i="21"/>
  <c r="AA26" i="9"/>
  <c r="B23" i="20" s="1"/>
  <c r="A17" i="20"/>
  <c r="A19" i="20"/>
  <c r="A11" i="21"/>
  <c r="B11" i="21"/>
  <c r="A21" i="21"/>
  <c r="B21" i="21"/>
  <c r="A7" i="21"/>
  <c r="B7" i="21"/>
  <c r="A9" i="20"/>
  <c r="A15" i="20"/>
  <c r="A22" i="20"/>
  <c r="A3" i="20"/>
  <c r="A6" i="20"/>
  <c r="AA25" i="9"/>
  <c r="B22" i="20" s="1"/>
  <c r="A21" i="20"/>
  <c r="A15" i="21"/>
  <c r="B15" i="21"/>
  <c r="A20" i="21"/>
  <c r="B20" i="21"/>
  <c r="A18" i="21"/>
  <c r="B18" i="21"/>
  <c r="A17" i="21"/>
  <c r="B17" i="21"/>
  <c r="AA27" i="9"/>
  <c r="B24" i="20" s="1"/>
  <c r="A18" i="20"/>
  <c r="A12" i="21"/>
  <c r="B12" i="21"/>
  <c r="A14" i="21"/>
  <c r="B14" i="21"/>
  <c r="A8" i="21"/>
  <c r="B8" i="21"/>
  <c r="A16" i="20"/>
  <c r="A8" i="20"/>
  <c r="A20" i="20"/>
  <c r="A7" i="20"/>
  <c r="A24" i="20"/>
  <c r="A4" i="21"/>
  <c r="B4" i="21"/>
  <c r="A14" i="20"/>
  <c r="A11" i="20"/>
  <c r="A3" i="21"/>
  <c r="B3" i="21"/>
  <c r="A23" i="20"/>
  <c r="A16" i="21"/>
  <c r="B16" i="21"/>
  <c r="Q5" i="9"/>
  <c r="A10" i="21"/>
  <c r="B10" i="21"/>
  <c r="A4" i="20"/>
  <c r="D101" i="9"/>
  <c r="S22" i="9" a="1"/>
  <c r="S22" i="9"/>
  <c r="L88" i="9"/>
  <c r="AA9" i="9"/>
  <c r="B6" i="20" s="1"/>
  <c r="I52" i="9" a="1"/>
  <c r="I52" i="9"/>
  <c r="F94" i="9"/>
  <c r="U15" i="9" a="1"/>
  <c r="U15" i="9"/>
  <c r="Y27" i="9" a="1"/>
  <c r="Y27" i="9"/>
  <c r="I93" i="9"/>
  <c r="X14" i="9" a="1"/>
  <c r="X14" i="9"/>
  <c r="E92" i="9"/>
  <c r="T13" i="9" a="1"/>
  <c r="T13" i="9"/>
  <c r="I53" i="9" a="1"/>
  <c r="I53" i="9"/>
  <c r="J51" i="9" a="1"/>
  <c r="J51" i="9"/>
  <c r="T26" i="9" a="1"/>
  <c r="T26" i="9"/>
  <c r="I62" i="9" a="1"/>
  <c r="I62" i="9"/>
  <c r="B5" i="9"/>
  <c r="I97" i="9"/>
  <c r="X18" i="9" a="1"/>
  <c r="X18" i="9"/>
  <c r="L96" i="9"/>
  <c r="AA17" i="9"/>
  <c r="AB17" i="9" s="1"/>
  <c r="C14" i="20" s="1"/>
  <c r="J52" i="9" a="1"/>
  <c r="J52" i="9"/>
  <c r="I59" i="9" a="1"/>
  <c r="I59" i="9"/>
  <c r="J53" i="9" a="1"/>
  <c r="J53" i="9"/>
  <c r="G95" i="9"/>
  <c r="V16" i="9" a="1"/>
  <c r="V16" i="9"/>
  <c r="I67" i="9" a="1"/>
  <c r="I67" i="9"/>
  <c r="J65" i="9" a="1"/>
  <c r="J65" i="9"/>
  <c r="H100" i="9"/>
  <c r="W21" i="9" a="1"/>
  <c r="W21" i="9"/>
  <c r="G101" i="9"/>
  <c r="V22" i="9" a="1"/>
  <c r="V22" i="9"/>
  <c r="F93" i="9"/>
  <c r="U14" i="9" a="1"/>
  <c r="U14" i="9"/>
  <c r="J67" i="9" a="1"/>
  <c r="J67" i="9"/>
  <c r="L101" i="9"/>
  <c r="AA22" i="9"/>
  <c r="B19" i="20" s="1"/>
  <c r="C99" i="9"/>
  <c r="R20" i="9" a="1"/>
  <c r="R20" i="9"/>
  <c r="H91" i="9"/>
  <c r="W12" i="9" a="1"/>
  <c r="W12" i="9"/>
  <c r="E97" i="9"/>
  <c r="T18" i="9" a="1"/>
  <c r="T18" i="9"/>
  <c r="H66" i="9" a="1"/>
  <c r="H66" i="9"/>
  <c r="E93" i="9"/>
  <c r="T14" i="9" a="1"/>
  <c r="T14" i="9"/>
  <c r="H87" i="9"/>
  <c r="W8" i="9" a="1"/>
  <c r="W8" i="9"/>
  <c r="J85" i="9"/>
  <c r="Y6" i="9" a="1"/>
  <c r="Y6" i="9"/>
  <c r="I69" i="9" a="1"/>
  <c r="I69" i="9"/>
  <c r="B13" i="9"/>
  <c r="B7" i="9"/>
  <c r="F95" i="9"/>
  <c r="U16" i="9" a="1"/>
  <c r="U16" i="9"/>
  <c r="L89" i="9"/>
  <c r="AA10" i="9"/>
  <c r="AB10" i="9" s="1"/>
  <c r="C7" i="20" s="1"/>
  <c r="I56" i="9" a="1"/>
  <c r="I56" i="9"/>
  <c r="G57" i="9" a="1"/>
  <c r="G57" i="9"/>
  <c r="J101" i="9"/>
  <c r="Y22" i="9" a="1"/>
  <c r="Y22" i="9"/>
  <c r="J92" i="9"/>
  <c r="Y13" i="9" a="1"/>
  <c r="Y13" i="9"/>
  <c r="L50" i="9"/>
  <c r="M50" i="9" s="1"/>
  <c r="J64" i="9" a="1"/>
  <c r="J64" i="9"/>
  <c r="L70" i="9"/>
  <c r="M70" i="9" s="1"/>
  <c r="L65" i="9"/>
  <c r="M65" i="9" s="1"/>
  <c r="H62" i="9" a="1"/>
  <c r="H62" i="9"/>
  <c r="C92" i="9"/>
  <c r="R13" i="9" a="1"/>
  <c r="R13" i="9"/>
  <c r="D88" i="9"/>
  <c r="S9" i="9" a="1"/>
  <c r="S9" i="9"/>
  <c r="R27" i="9" a="1"/>
  <c r="R27" i="9"/>
  <c r="B4" i="9"/>
  <c r="B17" i="9"/>
  <c r="H56" i="9" a="1"/>
  <c r="H56" i="9"/>
  <c r="B11" i="9"/>
  <c r="J96" i="9"/>
  <c r="Y17" i="9" a="1"/>
  <c r="Y17" i="9"/>
  <c r="L60" i="9"/>
  <c r="M60" i="9" s="1"/>
  <c r="F98" i="9"/>
  <c r="U19" i="9" a="1"/>
  <c r="U19" i="9"/>
  <c r="F99" i="9"/>
  <c r="U20" i="9" a="1"/>
  <c r="U20" i="9"/>
  <c r="G98" i="9"/>
  <c r="V19" i="9" a="1"/>
  <c r="V19" i="9"/>
  <c r="E87" i="9"/>
  <c r="T8" i="9" a="1"/>
  <c r="T8" i="9"/>
  <c r="J66" i="9" a="1"/>
  <c r="J66" i="9"/>
  <c r="H89" i="9"/>
  <c r="W10" i="9" a="1"/>
  <c r="W10" i="9"/>
  <c r="C100" i="9"/>
  <c r="R21" i="9" a="1"/>
  <c r="R21" i="9"/>
  <c r="J97" i="9"/>
  <c r="Y18" i="9" a="1"/>
  <c r="Y18" i="9"/>
  <c r="J54" i="9" a="1"/>
  <c r="J54" i="9"/>
  <c r="J71" i="9" a="1"/>
  <c r="J71" i="9"/>
  <c r="W26" i="9" a="1"/>
  <c r="W26" i="9"/>
  <c r="I96" i="9"/>
  <c r="X17" i="9" a="1"/>
  <c r="X17" i="9"/>
  <c r="U25" i="9" a="1"/>
  <c r="U25" i="9"/>
  <c r="B12" i="9"/>
  <c r="I86" i="9"/>
  <c r="X7" i="9" a="1"/>
  <c r="X7" i="9"/>
  <c r="W25" i="9" a="1"/>
  <c r="W25" i="9"/>
  <c r="J102" i="9"/>
  <c r="Y23" i="9" a="1"/>
  <c r="Y23" i="9"/>
  <c r="H88" i="9"/>
  <c r="W9" i="9" a="1"/>
  <c r="W9" i="9"/>
  <c r="B16" i="9"/>
  <c r="G66" i="9" a="1"/>
  <c r="G66" i="9"/>
  <c r="J91" i="9"/>
  <c r="Y12" i="9" a="1"/>
  <c r="Y12" i="9"/>
  <c r="C97" i="9"/>
  <c r="R18" i="9" a="1"/>
  <c r="R18" i="9"/>
  <c r="H52" i="9" a="1"/>
  <c r="H52" i="9"/>
  <c r="F103" i="9"/>
  <c r="U24" i="9" a="1"/>
  <c r="U24" i="9"/>
  <c r="L69" i="9"/>
  <c r="M69" i="9" s="1"/>
  <c r="I91" i="9"/>
  <c r="X12" i="9" a="1"/>
  <c r="X12" i="9"/>
  <c r="E95" i="9"/>
  <c r="T16" i="9" a="1"/>
  <c r="T16" i="9"/>
  <c r="G64" i="9" a="1"/>
  <c r="G64" i="9"/>
  <c r="C98" i="9"/>
  <c r="R19" i="9" a="1"/>
  <c r="R19" i="9"/>
  <c r="I66" i="9" a="1"/>
  <c r="I66" i="9"/>
  <c r="I65" i="9" a="1"/>
  <c r="I65" i="9"/>
  <c r="F85" i="9"/>
  <c r="U6" i="9" a="1"/>
  <c r="U6" i="9"/>
  <c r="J100" i="9"/>
  <c r="Y21" i="9" a="1"/>
  <c r="Y21" i="9"/>
  <c r="C88" i="9"/>
  <c r="R9" i="9" a="1"/>
  <c r="R9" i="9"/>
  <c r="I90" i="9"/>
  <c r="X11" i="9" a="1"/>
  <c r="X11" i="9"/>
  <c r="I57" i="9" a="1"/>
  <c r="I57" i="9"/>
  <c r="G91" i="9"/>
  <c r="V12" i="9" a="1"/>
  <c r="V12" i="9"/>
  <c r="L97" i="9"/>
  <c r="AA18" i="9"/>
  <c r="B15" i="20" s="1"/>
  <c r="G102" i="9"/>
  <c r="V23" i="9" a="1"/>
  <c r="V23" i="9"/>
  <c r="L100" i="9"/>
  <c r="AA21" i="9"/>
  <c r="B18" i="20" s="1"/>
  <c r="E99" i="9"/>
  <c r="T20" i="9" a="1"/>
  <c r="T20" i="9"/>
  <c r="V27" i="9" a="1"/>
  <c r="V27" i="9"/>
  <c r="E85" i="9"/>
  <c r="T6" i="9" a="1"/>
  <c r="T6" i="9"/>
  <c r="H71" i="9" a="1"/>
  <c r="H71" i="9"/>
  <c r="H99" i="9"/>
  <c r="B3" i="9"/>
  <c r="E101" i="9"/>
  <c r="T22" i="9" a="1"/>
  <c r="T22" i="9"/>
  <c r="E96" i="9"/>
  <c r="T17" i="9" a="1"/>
  <c r="T17" i="9"/>
  <c r="I95" i="9"/>
  <c r="X16" i="9" a="1"/>
  <c r="X16" i="9"/>
  <c r="H94" i="9"/>
  <c r="W15" i="9" a="1"/>
  <c r="W15" i="9"/>
  <c r="L95" i="9"/>
  <c r="AA16" i="9"/>
  <c r="B13" i="20" s="1"/>
  <c r="I58" i="9" a="1"/>
  <c r="I58" i="9"/>
  <c r="I60" i="9" a="1"/>
  <c r="I60" i="9"/>
  <c r="H65" i="9" a="1"/>
  <c r="H65" i="9"/>
  <c r="C101" i="9"/>
  <c r="R22" i="9" a="1"/>
  <c r="R22" i="9"/>
  <c r="C90" i="9"/>
  <c r="R11" i="9" a="1"/>
  <c r="R11" i="9"/>
  <c r="D92" i="9"/>
  <c r="S13" i="9" a="1"/>
  <c r="S13" i="9"/>
  <c r="U27" i="9" a="1"/>
  <c r="U27" i="9"/>
  <c r="G88" i="9"/>
  <c r="V9" i="9" a="1"/>
  <c r="V9" i="9"/>
  <c r="E98" i="9"/>
  <c r="T19" i="9" a="1"/>
  <c r="T19" i="9"/>
  <c r="J70" i="9" a="1"/>
  <c r="J70" i="9"/>
  <c r="E86" i="9"/>
  <c r="T7" i="9" a="1"/>
  <c r="T7" i="9"/>
  <c r="C86" i="9"/>
  <c r="R7" i="9" a="1"/>
  <c r="R7" i="9"/>
  <c r="C87" i="9"/>
  <c r="R8" i="9" a="1"/>
  <c r="R8" i="9"/>
  <c r="R26" i="9" a="1"/>
  <c r="R26" i="9"/>
  <c r="G89" i="9"/>
  <c r="D96" i="9"/>
  <c r="S17" i="9" a="1"/>
  <c r="S17" i="9"/>
  <c r="J99" i="9"/>
  <c r="Y20" i="9" a="1"/>
  <c r="Y20" i="9"/>
  <c r="S25" i="9" a="1"/>
  <c r="S25" i="9"/>
  <c r="D98" i="9"/>
  <c r="S19" i="9" a="1"/>
  <c r="S19" i="9"/>
  <c r="J59" i="9" a="1"/>
  <c r="J59" i="9"/>
  <c r="B14" i="9"/>
  <c r="C89" i="9"/>
  <c r="R10" i="9" a="1"/>
  <c r="R10" i="9"/>
  <c r="H95" i="9"/>
  <c r="W16" i="9" a="1"/>
  <c r="W16" i="9"/>
  <c r="I85" i="9"/>
  <c r="X6" i="9" a="1"/>
  <c r="X6" i="9"/>
  <c r="D100" i="9"/>
  <c r="S21" i="9" a="1"/>
  <c r="S21" i="9"/>
  <c r="H59" i="9" a="1"/>
  <c r="H59" i="9"/>
  <c r="L92" i="9"/>
  <c r="AA13" i="9"/>
  <c r="B10" i="20" s="1"/>
  <c r="H90" i="9"/>
  <c r="W11" i="9" a="1"/>
  <c r="W11" i="9"/>
  <c r="L98" i="9"/>
  <c r="AA19" i="9"/>
  <c r="AB19" i="9" s="1"/>
  <c r="C16" i="20" s="1"/>
  <c r="T25" i="9" a="1"/>
  <c r="T25" i="9"/>
  <c r="C94" i="9"/>
  <c r="R15" i="9" a="1"/>
  <c r="R15" i="9"/>
  <c r="X25" i="9" a="1"/>
  <c r="X25" i="9"/>
  <c r="J68" i="9" a="1"/>
  <c r="J68" i="9"/>
  <c r="G52" i="9" a="1"/>
  <c r="G52" i="9"/>
  <c r="U26" i="9" a="1"/>
  <c r="U26" i="9"/>
  <c r="H64" i="9" a="1"/>
  <c r="H64" i="9"/>
  <c r="B15" i="9"/>
  <c r="L61" i="9"/>
  <c r="M61" i="9" s="1"/>
  <c r="J89" i="9"/>
  <c r="Y10" i="9" a="1"/>
  <c r="Y10" i="9"/>
  <c r="G90" i="9"/>
  <c r="V11" i="9" a="1"/>
  <c r="V11" i="9"/>
  <c r="F101" i="9"/>
  <c r="U22" i="9" a="1"/>
  <c r="U22" i="9"/>
  <c r="E94" i="9"/>
  <c r="T15" i="9" a="1"/>
  <c r="T15" i="9"/>
  <c r="I89" i="9"/>
  <c r="X10" i="9" a="1"/>
  <c r="X10" i="9"/>
  <c r="G87" i="9"/>
  <c r="D102" i="9"/>
  <c r="S23" i="9" a="1"/>
  <c r="S23" i="9"/>
  <c r="X26" i="9" a="1"/>
  <c r="X26" i="9"/>
  <c r="H85" i="9"/>
  <c r="W6" i="9" a="1"/>
  <c r="W6" i="9"/>
  <c r="J62" i="9" a="1"/>
  <c r="J62" i="9"/>
  <c r="D85" i="9"/>
  <c r="S6" i="9" a="1"/>
  <c r="S6" i="9"/>
  <c r="B8" i="9"/>
  <c r="I92" i="9"/>
  <c r="X13" i="9" a="1"/>
  <c r="X13" i="9"/>
  <c r="H103" i="9"/>
  <c r="W24" i="9" a="1"/>
  <c r="W24" i="9"/>
  <c r="D89" i="9"/>
  <c r="S10" i="9" a="1"/>
  <c r="S10" i="9"/>
  <c r="D94" i="9"/>
  <c r="S15" i="9" a="1"/>
  <c r="S15" i="9"/>
  <c r="E89" i="9"/>
  <c r="T10" i="9" a="1"/>
  <c r="T10" i="9"/>
  <c r="J88" i="9"/>
  <c r="Y9" i="9" a="1"/>
  <c r="Y9" i="9"/>
  <c r="L87" i="9"/>
  <c r="AA8" i="9"/>
  <c r="B5" i="20" s="1"/>
  <c r="B10" i="9"/>
  <c r="G59" i="9" a="1"/>
  <c r="G59" i="9"/>
  <c r="H93" i="9"/>
  <c r="W14" i="9" a="1"/>
  <c r="W14" i="9"/>
  <c r="G61" i="9" a="1"/>
  <c r="G61" i="9"/>
  <c r="S27" i="9" a="1"/>
  <c r="S27" i="9"/>
  <c r="C95" i="9"/>
  <c r="R16" i="9" a="1"/>
  <c r="R16" i="9"/>
  <c r="J103" i="9"/>
  <c r="Y24" i="9" a="1"/>
  <c r="Y24" i="9"/>
  <c r="I99" i="9"/>
  <c r="X20" i="9" a="1"/>
  <c r="X20" i="9"/>
  <c r="T27" i="9" a="1"/>
  <c r="T27" i="9"/>
  <c r="I98" i="9"/>
  <c r="X19" i="9" a="1"/>
  <c r="X19" i="9"/>
  <c r="D97" i="9"/>
  <c r="S18" i="9" a="1"/>
  <c r="S18" i="9"/>
  <c r="L86" i="9"/>
  <c r="AA7" i="9"/>
  <c r="AB7" i="9" s="1"/>
  <c r="C4" i="20" s="1"/>
  <c r="H97" i="9"/>
  <c r="W18" i="9" a="1"/>
  <c r="W18" i="9"/>
  <c r="G96" i="9"/>
  <c r="V17" i="9" a="1"/>
  <c r="V17" i="9"/>
  <c r="L103" i="9"/>
  <c r="AA24" i="9"/>
  <c r="AB24" i="9" s="1"/>
  <c r="C21" i="20" s="1"/>
  <c r="J90" i="9"/>
  <c r="Y11" i="9" a="1"/>
  <c r="Y11" i="9"/>
  <c r="L90" i="9"/>
  <c r="AA11" i="9"/>
  <c r="B8" i="20" s="1"/>
  <c r="G65" i="9" a="1"/>
  <c r="G65" i="9"/>
  <c r="G68" i="9" a="1"/>
  <c r="G68" i="9"/>
  <c r="I71" i="9" a="1"/>
  <c r="I71" i="9"/>
  <c r="E100" i="9"/>
  <c r="T21" i="9" a="1"/>
  <c r="T21" i="9"/>
  <c r="C93" i="9"/>
  <c r="R14" i="9" a="1"/>
  <c r="R14" i="9"/>
  <c r="I55" i="9" a="1"/>
  <c r="I55" i="9"/>
  <c r="E103" i="9"/>
  <c r="T24" i="9" a="1"/>
  <c r="T24" i="9"/>
  <c r="C91" i="9"/>
  <c r="R12" i="9" a="1"/>
  <c r="R12" i="9"/>
  <c r="G94" i="9"/>
  <c r="V15" i="9" a="1"/>
  <c r="V15" i="9"/>
  <c r="F91" i="9"/>
  <c r="U12" i="9" a="1"/>
  <c r="U12" i="9"/>
  <c r="L71" i="9"/>
  <c r="M71" i="9" s="1"/>
  <c r="J57" i="9" a="1"/>
  <c r="J57" i="9"/>
  <c r="L91" i="9"/>
  <c r="AA12" i="9"/>
  <c r="AB12" i="9" s="1"/>
  <c r="C9" i="20" s="1"/>
  <c r="G63" i="9" a="1"/>
  <c r="G63" i="9"/>
  <c r="Y26" i="9" a="1"/>
  <c r="Y26" i="9"/>
  <c r="G92" i="9"/>
  <c r="V13" i="9" a="1"/>
  <c r="V13" i="9"/>
  <c r="D95" i="9"/>
  <c r="S16" i="9" a="1"/>
  <c r="S16" i="9"/>
  <c r="L66" i="9"/>
  <c r="M66" i="9" s="1"/>
  <c r="I70" i="9" a="1"/>
  <c r="I70" i="9"/>
  <c r="L52" i="9"/>
  <c r="M52" i="9" s="1"/>
  <c r="E91" i="9"/>
  <c r="T12" i="9" a="1"/>
  <c r="T12" i="9"/>
  <c r="D91" i="9"/>
  <c r="S12" i="9" a="1"/>
  <c r="S12" i="9"/>
  <c r="F90" i="9"/>
  <c r="U11" i="9" a="1"/>
  <c r="U11" i="9"/>
  <c r="C96" i="9"/>
  <c r="R17" i="9" a="1"/>
  <c r="R17" i="9"/>
  <c r="L99" i="9"/>
  <c r="AA20" i="9"/>
  <c r="AB20" i="9" s="1"/>
  <c r="C17" i="20" s="1"/>
  <c r="F100" i="9"/>
  <c r="U21" i="9" a="1"/>
  <c r="U21" i="9"/>
  <c r="I51" i="9" a="1"/>
  <c r="I51" i="9"/>
  <c r="F102" i="9"/>
  <c r="U23" i="9" a="1"/>
  <c r="U23" i="9"/>
  <c r="G62" i="9" a="1"/>
  <c r="G62" i="9"/>
  <c r="L93" i="9"/>
  <c r="AA14" i="9"/>
  <c r="B11" i="20" s="1"/>
  <c r="L68" i="9"/>
  <c r="M68" i="9" s="1"/>
  <c r="E102" i="9"/>
  <c r="T23" i="9" a="1"/>
  <c r="T23" i="9"/>
  <c r="I54" i="9" a="1"/>
  <c r="I54" i="9"/>
  <c r="J55" i="9" a="1"/>
  <c r="J55" i="9"/>
  <c r="I103" i="9"/>
  <c r="X24" i="9" a="1"/>
  <c r="X24" i="9"/>
  <c r="I101" i="9"/>
  <c r="X22" i="9" a="1"/>
  <c r="X22" i="9"/>
  <c r="J87" i="9"/>
  <c r="Y8" i="9" a="1"/>
  <c r="Y8" i="9"/>
  <c r="J98" i="9"/>
  <c r="Y19" i="9" a="1"/>
  <c r="Y19" i="9"/>
  <c r="H67" i="9" a="1"/>
  <c r="H67" i="9"/>
  <c r="J69" i="9" a="1"/>
  <c r="J69" i="9"/>
  <c r="D93" i="9"/>
  <c r="S14" i="9" a="1"/>
  <c r="S14" i="9"/>
  <c r="D86" i="9"/>
  <c r="S7" i="9" a="1"/>
  <c r="S7" i="9"/>
  <c r="L85" i="9"/>
  <c r="AA6" i="9"/>
  <c r="B3" i="20" s="1"/>
  <c r="B18" i="9"/>
  <c r="I63" i="9" a="1"/>
  <c r="I63" i="9"/>
  <c r="F96" i="9"/>
  <c r="U17" i="9" a="1"/>
  <c r="U17" i="9"/>
  <c r="J94" i="9"/>
  <c r="Y15" i="9" a="1"/>
  <c r="Y15" i="9"/>
  <c r="H92" i="9"/>
  <c r="W13" i="9" a="1"/>
  <c r="W13" i="9"/>
  <c r="G53" i="9" a="1"/>
  <c r="G53" i="9"/>
  <c r="H54" i="9" a="1"/>
  <c r="H54" i="9"/>
  <c r="F87" i="9"/>
  <c r="U8" i="9" a="1"/>
  <c r="U8" i="9"/>
  <c r="H57" i="9" a="1"/>
  <c r="H57" i="9"/>
  <c r="Y25" i="9" a="1"/>
  <c r="Y25" i="9"/>
  <c r="H58" i="9" a="1"/>
  <c r="H58" i="9"/>
  <c r="H53" i="9" a="1"/>
  <c r="H53" i="9"/>
  <c r="B49" i="9"/>
  <c r="E49" i="9" a="1"/>
  <c r="E49" i="9"/>
  <c r="J60" i="9" a="1"/>
  <c r="J60" i="9"/>
  <c r="I88" i="9"/>
  <c r="X9" i="9" a="1"/>
  <c r="X9" i="9"/>
  <c r="J58" i="9" a="1"/>
  <c r="J58" i="9"/>
  <c r="I100" i="9"/>
  <c r="X21" i="9" a="1"/>
  <c r="X21" i="9"/>
  <c r="L59" i="9"/>
  <c r="M59" i="9" s="1"/>
  <c r="H96" i="9"/>
  <c r="W17" i="9" a="1"/>
  <c r="W17" i="9"/>
  <c r="G71" i="9" a="1"/>
  <c r="G71" i="9"/>
  <c r="G99" i="9"/>
  <c r="V20" i="9" a="1"/>
  <c r="V20" i="9"/>
  <c r="X27" i="9" a="1"/>
  <c r="X27" i="9"/>
  <c r="I102" i="9"/>
  <c r="X23" i="9" a="1"/>
  <c r="X23" i="9"/>
  <c r="C103" i="9"/>
  <c r="R24" i="9" a="1"/>
  <c r="R24" i="9"/>
  <c r="H102" i="9"/>
  <c r="W23" i="9" a="1"/>
  <c r="W23" i="9"/>
  <c r="G97" i="9"/>
  <c r="I64" i="9" a="1"/>
  <c r="I64" i="9"/>
  <c r="H98" i="9"/>
  <c r="W19" i="9" a="1"/>
  <c r="W19" i="9"/>
  <c r="J63" i="9" a="1"/>
  <c r="J63" i="9"/>
  <c r="L62" i="9"/>
  <c r="M62" i="9" s="1"/>
  <c r="G60" i="9" a="1"/>
  <c r="G60" i="9"/>
  <c r="H69" i="9" a="1"/>
  <c r="H69" i="9"/>
  <c r="C104" i="9"/>
  <c r="R25" i="9" a="1"/>
  <c r="R25" i="9"/>
  <c r="D103" i="9"/>
  <c r="S24" i="9" a="1"/>
  <c r="S24" i="9"/>
  <c r="L56" i="9"/>
  <c r="M56" i="9" s="1"/>
  <c r="G100" i="9"/>
  <c r="H61" i="9" a="1"/>
  <c r="H61" i="9"/>
  <c r="B6" i="9"/>
  <c r="S26" i="9" a="1"/>
  <c r="S26" i="9"/>
  <c r="I87" i="9"/>
  <c r="X8" i="9" a="1"/>
  <c r="X8" i="9"/>
  <c r="G86" i="9"/>
  <c r="G85" i="9"/>
  <c r="D87" i="9"/>
  <c r="S8" i="9" a="1"/>
  <c r="S8" i="9"/>
  <c r="F86" i="9"/>
  <c r="U7" i="9" a="1"/>
  <c r="U7" i="9"/>
  <c r="J86" i="9"/>
  <c r="Y7" i="9" a="1"/>
  <c r="Y7" i="9"/>
  <c r="K174" i="1"/>
  <c r="K77" i="9"/>
  <c r="W27" i="9" a="1"/>
  <c r="W27" i="9"/>
  <c r="Z34" i="9"/>
  <c r="J174" i="1" a="1"/>
  <c r="J174" i="1" s="1"/>
  <c r="G55" i="9" a="1"/>
  <c r="G55" i="9"/>
  <c r="Z35" i="9"/>
  <c r="H51" i="9" a="1"/>
  <c r="H51" i="9"/>
  <c r="H60" i="9" a="1"/>
  <c r="H60" i="9"/>
  <c r="D256" i="17"/>
  <c r="K5" i="17"/>
  <c r="C12" i="10"/>
  <c r="G51" i="9" a="1"/>
  <c r="G51" i="9"/>
  <c r="K73" i="9"/>
  <c r="G56" i="9" a="1"/>
  <c r="G56" i="9"/>
  <c r="Z32" i="9"/>
  <c r="V25" i="9" a="1"/>
  <c r="V25" i="9"/>
  <c r="G69" i="9" a="1"/>
  <c r="G69" i="9"/>
  <c r="G70" i="9" a="1"/>
  <c r="G70" i="9"/>
  <c r="V26" i="9" a="1"/>
  <c r="V26" i="9"/>
  <c r="Z31" i="9"/>
  <c r="H68" i="9" a="1"/>
  <c r="H68" i="9"/>
  <c r="V8" i="9" a="1"/>
  <c r="V8" i="9"/>
  <c r="H50" i="9" a="1"/>
  <c r="H50" i="9"/>
  <c r="G54" i="9" a="1"/>
  <c r="G54" i="9"/>
  <c r="G67" i="9" a="1"/>
  <c r="G67" i="9"/>
  <c r="K78" i="9"/>
  <c r="Z33" i="9"/>
  <c r="Z30" i="9"/>
  <c r="I174" i="1" a="1"/>
  <c r="I174" i="1" s="1"/>
  <c r="K76" i="9"/>
  <c r="H120" i="1"/>
  <c r="H100" i="1"/>
  <c r="H147" i="1"/>
  <c r="H140" i="1"/>
  <c r="H137" i="1"/>
  <c r="H164" i="1"/>
  <c r="H115" i="1"/>
  <c r="H112" i="1"/>
  <c r="H105" i="1"/>
  <c r="H117" i="1"/>
  <c r="H84" i="1"/>
  <c r="H126" i="1"/>
  <c r="H161" i="1"/>
  <c r="H96" i="1"/>
  <c r="H148" i="1"/>
  <c r="H132" i="1"/>
  <c r="H138" i="1"/>
  <c r="H129" i="1"/>
  <c r="H113" i="1"/>
  <c r="H94" i="1"/>
  <c r="H109" i="1"/>
  <c r="H92" i="1"/>
  <c r="C9" i="9"/>
  <c r="Z25" i="9"/>
  <c r="C14" i="19" a="1"/>
  <c r="C14" i="19" s="1"/>
  <c r="E14" i="19" s="1"/>
  <c r="H121" i="1"/>
  <c r="H101" i="1"/>
  <c r="H159" i="1"/>
  <c r="H128" i="1"/>
  <c r="H146" i="1"/>
  <c r="H153" i="1"/>
  <c r="H133" i="1"/>
  <c r="H134" i="1"/>
  <c r="Z28" i="9"/>
  <c r="Z24" i="9"/>
  <c r="Z15" i="9"/>
  <c r="K72" i="9"/>
  <c r="K54" i="9"/>
  <c r="K97" i="9"/>
  <c r="M97" i="9"/>
  <c r="D49" i="9" a="1"/>
  <c r="D49" i="9"/>
  <c r="K99" i="9"/>
  <c r="M99" i="9"/>
  <c r="K50" i="9"/>
  <c r="Z12" i="9"/>
  <c r="Z27" i="9"/>
  <c r="K103" i="9"/>
  <c r="M103" i="9"/>
  <c r="Z26" i="9"/>
  <c r="K70" i="9"/>
  <c r="K68" i="9"/>
  <c r="W20" i="9" a="1"/>
  <c r="W20" i="9"/>
  <c r="Z20" i="9"/>
  <c r="K86" i="9"/>
  <c r="M86" i="9"/>
  <c r="K101" i="9"/>
  <c r="M101" i="9"/>
  <c r="Z22" i="9"/>
  <c r="K65" i="9"/>
  <c r="K64" i="9"/>
  <c r="K90" i="9"/>
  <c r="M90" i="9"/>
  <c r="K93" i="9"/>
  <c r="M93" i="9"/>
  <c r="K52" i="9"/>
  <c r="K100" i="9"/>
  <c r="M100" i="9"/>
  <c r="K94" i="9"/>
  <c r="M94" i="9"/>
  <c r="K91" i="9"/>
  <c r="M91" i="9"/>
  <c r="K89" i="9"/>
  <c r="M89" i="9"/>
  <c r="Z11" i="9"/>
  <c r="K53" i="9"/>
  <c r="K56" i="9"/>
  <c r="Z17" i="9"/>
  <c r="K71" i="9"/>
  <c r="K61" i="9"/>
  <c r="K51" i="9"/>
  <c r="K60" i="9"/>
  <c r="K55" i="9"/>
  <c r="M55" i="9"/>
  <c r="K58" i="9"/>
  <c r="Z16" i="9"/>
  <c r="Z19" i="9"/>
  <c r="K69" i="9"/>
  <c r="C18" i="9"/>
  <c r="E18" i="9"/>
  <c r="K59" i="9"/>
  <c r="Z9" i="9"/>
  <c r="V7" i="9" a="1"/>
  <c r="V7" i="9"/>
  <c r="Z7" i="9"/>
  <c r="K67" i="9"/>
  <c r="K102" i="9"/>
  <c r="M102" i="9"/>
  <c r="C11" i="9"/>
  <c r="E11" i="9"/>
  <c r="C7" i="9"/>
  <c r="E7" i="9" a="1"/>
  <c r="E7" i="9" s="1"/>
  <c r="A2" i="20"/>
  <c r="A2" i="21"/>
  <c r="B2" i="21"/>
  <c r="Z14" i="9"/>
  <c r="K96" i="9"/>
  <c r="M96" i="9"/>
  <c r="C8" i="9"/>
  <c r="E8" i="9"/>
  <c r="V10" i="9" a="1"/>
  <c r="V10" i="9"/>
  <c r="Z10" i="9"/>
  <c r="V6" i="9" a="1"/>
  <c r="V6" i="9"/>
  <c r="Z6" i="9"/>
  <c r="K85" i="9"/>
  <c r="M85" i="9"/>
  <c r="K62" i="9"/>
  <c r="E10" i="9"/>
  <c r="C10" i="9"/>
  <c r="C15" i="9"/>
  <c r="E15" i="9"/>
  <c r="C16" i="9"/>
  <c r="E16" i="9"/>
  <c r="C13" i="9"/>
  <c r="E13" i="9"/>
  <c r="C5" i="9"/>
  <c r="E5" i="9"/>
  <c r="K87" i="9"/>
  <c r="M87" i="9"/>
  <c r="E6" i="9"/>
  <c r="C6" i="9"/>
  <c r="V18" i="9" a="1"/>
  <c r="V18" i="9"/>
  <c r="Z18" i="9"/>
  <c r="L49" i="9"/>
  <c r="M49" i="9" s="1"/>
  <c r="H84" i="9"/>
  <c r="W5" i="9" a="1"/>
  <c r="W5" i="9"/>
  <c r="G49" i="9" a="1"/>
  <c r="G49" i="9"/>
  <c r="I84" i="9"/>
  <c r="X5" i="9" a="1"/>
  <c r="X5" i="9"/>
  <c r="G84" i="9"/>
  <c r="D84" i="9"/>
  <c r="S5" i="9" a="1"/>
  <c r="S5" i="9"/>
  <c r="D10" i="19" a="1"/>
  <c r="D10" i="19"/>
  <c r="J84" i="9"/>
  <c r="Y5" i="9" a="1"/>
  <c r="Y5" i="9"/>
  <c r="H49" i="9" a="1"/>
  <c r="H49" i="9"/>
  <c r="L84" i="9"/>
  <c r="AA5" i="9"/>
  <c r="AB5" i="9" s="1"/>
  <c r="B2" i="9"/>
  <c r="E84" i="9"/>
  <c r="T5" i="9" a="1"/>
  <c r="T5" i="9"/>
  <c r="D12" i="19" a="1"/>
  <c r="D12" i="19"/>
  <c r="F84" i="9"/>
  <c r="U5" i="9" a="1"/>
  <c r="U5" i="9"/>
  <c r="D14" i="19" a="1"/>
  <c r="D14" i="19"/>
  <c r="C84" i="9"/>
  <c r="R5" i="9" a="1"/>
  <c r="R5" i="9"/>
  <c r="D8" i="19" a="1"/>
  <c r="D8" i="19"/>
  <c r="I49" i="9" a="1"/>
  <c r="I49" i="9"/>
  <c r="J49" i="9" a="1"/>
  <c r="J49" i="9"/>
  <c r="C49" i="9" a="1"/>
  <c r="C49" i="9"/>
  <c r="F49" i="9" a="1"/>
  <c r="F49" i="9"/>
  <c r="C12" i="19" a="1"/>
  <c r="C12" i="19" s="1"/>
  <c r="E12" i="19" s="1"/>
  <c r="K57" i="9"/>
  <c r="M57" i="9"/>
  <c r="C3" i="9"/>
  <c r="E3" i="9"/>
  <c r="Z13" i="9"/>
  <c r="V21" i="9" a="1"/>
  <c r="V21" i="9"/>
  <c r="Z21" i="9"/>
  <c r="Z8" i="9"/>
  <c r="C12" i="9"/>
  <c r="E12" i="9"/>
  <c r="K98" i="9"/>
  <c r="M98" i="9"/>
  <c r="K66" i="9"/>
  <c r="C17" i="9"/>
  <c r="E17" i="9"/>
  <c r="Z23" i="9"/>
  <c r="E4" i="9"/>
  <c r="C4" i="9"/>
  <c r="K88" i="9"/>
  <c r="M88" i="9"/>
  <c r="K92" i="9"/>
  <c r="M92" i="9"/>
  <c r="K63" i="9"/>
  <c r="C14" i="9"/>
  <c r="E14" i="9"/>
  <c r="K95" i="9"/>
  <c r="M95" i="9"/>
  <c r="K84" i="9"/>
  <c r="M84" i="9"/>
  <c r="K49" i="9"/>
  <c r="C2" i="9"/>
  <c r="E2" i="9"/>
  <c r="V5" i="9" a="1"/>
  <c r="V5" i="9"/>
  <c r="Z5" i="9"/>
  <c r="C23" i="9"/>
  <c r="C3" i="10"/>
  <c r="C11" i="10" s="1"/>
  <c r="C13" i="10" s="1"/>
  <c r="C21" i="9"/>
  <c r="C2" i="2"/>
  <c r="AB31" i="9" l="1"/>
  <c r="C28" i="20" s="1"/>
  <c r="AB29" i="9"/>
  <c r="C26" i="20" s="1"/>
  <c r="G30" i="6"/>
  <c r="K6" i="6"/>
  <c r="C4" i="8" s="1"/>
  <c r="H11" i="15"/>
  <c r="B14" i="20"/>
  <c r="K6" i="17"/>
  <c r="AB15" i="9"/>
  <c r="C12" i="20" s="1"/>
  <c r="AB9" i="9"/>
  <c r="C6" i="20" s="1"/>
  <c r="AB28" i="9"/>
  <c r="C25" i="20" s="1"/>
  <c r="AB25" i="9"/>
  <c r="C22" i="20" s="1"/>
  <c r="AB18" i="9"/>
  <c r="C15" i="20" s="1"/>
  <c r="B17" i="20"/>
  <c r="AB22" i="9"/>
  <c r="C19" i="20" s="1"/>
  <c r="AB23" i="9"/>
  <c r="C20" i="20" s="1"/>
  <c r="AB8" i="9"/>
  <c r="C5" i="20" s="1"/>
  <c r="B9" i="20"/>
  <c r="AB16" i="9"/>
  <c r="C13" i="20" s="1"/>
  <c r="B21" i="20"/>
  <c r="AB26" i="9"/>
  <c r="C23" i="20" s="1"/>
  <c r="AB13" i="9"/>
  <c r="C10" i="20" s="1"/>
  <c r="AB30" i="9"/>
  <c r="C27" i="20" s="1"/>
  <c r="F256" i="17"/>
  <c r="E18" i="19" a="1"/>
  <c r="E18" i="19" s="1"/>
  <c r="AB11" i="9"/>
  <c r="C8" i="20" s="1"/>
  <c r="B7" i="20"/>
  <c r="AB21" i="9"/>
  <c r="C18" i="20" s="1"/>
  <c r="B2" i="20"/>
  <c r="AB14" i="9"/>
  <c r="C11" i="20" s="1"/>
  <c r="AB27" i="9"/>
  <c r="C24" i="20" s="1"/>
  <c r="E38" i="18"/>
  <c r="G20" i="15"/>
  <c r="I37" i="12"/>
  <c r="C43" i="12"/>
  <c r="H30" i="6"/>
  <c r="N7" i="17"/>
  <c r="P7" i="17" s="1"/>
  <c r="J37" i="14"/>
  <c r="C12" i="8" s="1"/>
  <c r="D38" i="18"/>
  <c r="D37" i="14"/>
  <c r="C10" i="8" s="1"/>
  <c r="H14" i="7"/>
  <c r="I30" i="6"/>
  <c r="E20" i="19" a="1"/>
  <c r="E20" i="19" s="1"/>
  <c r="C2" i="20"/>
  <c r="H20" i="15"/>
  <c r="B4" i="20"/>
  <c r="B16" i="20"/>
  <c r="AB6" i="9"/>
  <c r="C3" i="20" s="1"/>
  <c r="E16" i="19"/>
  <c r="D2" i="2"/>
  <c r="C19" i="10" l="1"/>
  <c r="F38" i="18"/>
  <c r="C11" i="8"/>
  <c r="C14" i="8" s="1"/>
  <c r="C4" i="10" s="1"/>
  <c r="C15" i="10" s="1"/>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<sst xmlns="http://schemas.openxmlformats.org/spreadsheetml/2006/main" count="1645" uniqueCount="347">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</sst>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65" fontId="0" fillId="0" borderId="0" xfId="1" applyNumberFormat="1" applyFont="1"/>
    <xf numFmtId="0" fontId="0" fillId="0" borderId="0" xfId="0" applyNumberFormat="1"/>
  </cellXfs>
  <cellStyles count="2">
    <cellStyle name="Comma" xfId="1" builtinId="3"/>
    <cellStyle name="Normal" xfId="0" builtinId="0"/>
  </cellStyles>
  <dxfs count="132">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279</xdr:row>
      <xdr:rowOff>87338</xdr:rowOff>
    </xdr:from>
    <xdr:to>
      <xdr:col>15</xdr:col>
      <xdr:colOff>842364</xdr:colOff>
      <xdr:row>286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339</xdr:row>
      <xdr:rowOff>13217</xdr:rowOff>
    </xdr:from>
    <xdr:to>
      <xdr:col>2</xdr:col>
      <xdr:colOff>305918</xdr:colOff>
      <xdr:row>347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98464</xdr:rowOff>
    </xdr:from>
    <xdr:to>
      <xdr:col>10</xdr:col>
      <xdr:colOff>923422</xdr:colOff>
      <xdr:row>40</xdr:row>
      <xdr:rowOff>135035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401387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537130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-653115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784722" createdVersion="8" refreshedVersion="8" minRefreshableVersion="3" recordCount="172" xr:uid="{46CBB50D-3613-4E5B-8212-DD0313DCD05A}">
  <cacheSource type="worksheet">
    <worksheetSource name="Table1"/>
  </cacheSource>
  <cacheFields count="14">
    <cacheField name="Date" numFmtId="0">
      <sharedItems containsSemiMixedTypes="0" containsNonDate="0" containsDate="1" containsString="0" minDate="2025-11-18T00:00:00" maxDate="2025-12-03T00:00:00"/>
    </cacheField>
    <cacheField name="Party Name" numFmtId="0">
      <sharedItems containsBlank="1" count="30">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m/>
        <s v="YING" u="1"/>
        <s v="Meow" u="1"/>
        <s v="Umer Sb" u="1"/>
        <s v="-" u="1"/>
        <s v="Sajjad" u="1"/>
        <s v="Haji Ejaz" u="1"/>
      </sharedItems>
    </cacheField>
    <cacheField name="Bill Number" numFmtId="0">
      <sharedItems containsMixedTypes="1" containsNumber="1" containsInteger="1" minValue="1091" maxValue="1182"/>
    </cacheField>
    <cacheField name="Quality" numFmtId="0">
      <sharedItems containsBlank="1"/>
    </cacheField>
    <cacheField name="Shipment Number" numFmtId="164">
      <sharedItems containsBlank="1" containsMixedTypes="1" containsNumber="1" containsInteger="1" minValue="1558" maxValue="17000" count="297">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8425928"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1-18T00:00:00" maxDate="2025-12-02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2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8657405" createdVersion="8" refreshedVersion="8" minRefreshableVersion="3" recordCount="26" xr:uid="{3E5C2981-ACF5-44A9-8567-B1D65DB3A8D2}">
  <cacheSource type="worksheet">
    <worksheetSource name="Table3"/>
  </cacheSource>
  <cacheFields count="9">
    <cacheField name="Date" numFmtId="14">
      <sharedItems containsNonDate="0" containsDate="1" containsString="0" containsBlank="1" minDate="2025-05-02T00:00:00" maxDate="2025-12-02T00:00:00" count="120">
        <d v="2025-10-17T00:00:00"/>
        <d v="2025-11-18T00:00:00"/>
        <d v="2025-11-19T00:00:00"/>
        <d v="2025-11-20T00:00:00"/>
        <d v="2025-11-21T00:00:00"/>
        <d v="2025-11-23T00:00:00"/>
        <d v="2025-11-24T00:00:00"/>
        <d v="2025-11-25T00:00:00"/>
        <d v="2025-11-26T00:00:00"/>
        <d v="2025-11-27T00:00:00"/>
        <d v="2025-11-28T00:00:00"/>
        <d v="2025-11-29T00:00:00"/>
        <d v="2025-12-01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888889"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2-03T00:00:00" count="44">
        <d v="2025-10-17T00:00:00"/>
        <d v="2025-11-18T00:00:00"/>
        <d v="2025-11-20T00:00:00"/>
        <d v="2025-11-22T00:00:00"/>
        <d v="2025-11-25T00:00:00"/>
        <d v="2025-11-26T00:00:00"/>
        <d v="2025-11-27T00:00:00"/>
        <d v="2025-11-29T00:00:00"/>
        <d v="2025-12-02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912036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40778.16386247257"/>
    </cacheField>
    <cacheField name="Rate" numFmtId="0">
      <sharedItems containsString="0" containsBlank="1" containsNumber="1" minValue="10" maxValue="12"/>
    </cacheField>
    <cacheField name="Total" numFmtId="164">
      <sharedItems containsSemiMixedTypes="0" containsString="0" containsNumber="1" minValue="0" maxValue="1596494.147768837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4.048339351852" createdVersion="8" refreshedVersion="8" minRefreshableVersion="3" recordCount="254" xr:uid="{B5BDFB73-D93A-4A7A-8149-666BC190B09B}">
  <cacheSource type="worksheet">
    <worksheetSource name="Table14"/>
  </cacheSource>
  <cacheFields count="7">
    <cacheField name="Date" numFmtId="14">
      <sharedItems containsSemiMixedTypes="0" containsNonDate="0" containsDate="1" containsString="0" minDate="2025-10-17T00:00:00" maxDate="2025-12-03T00:00:00"/>
    </cacheField>
    <cacheField name="Party" numFmtId="0">
      <sharedItems containsBlank="1" count="69">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Ubaidullah"/>
        <s v="shahid Qasayi"/>
        <s v="Closing September CF" u="1"/>
        <s v="Temp" u="1"/>
        <s v="copper" u="1"/>
        <s v="sunsuper theka" u="1"/>
        <s v="Dyes" u="1"/>
        <s v="electric bill" u="1"/>
        <s v="Shafique Ansari" u="1"/>
        <s v="Chain Acc"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5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41.375000977540111"/>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10.032275739292146"/>
    <n v="35198.427212874914"/>
    <n v="351984.27212874917"/>
    <m/>
  </r>
  <r>
    <d v="2025-11-25T00:00:00"/>
    <x v="0"/>
    <n v="1133"/>
    <s v="Chamki"/>
    <x v="28"/>
    <n v="38741"/>
    <n v="9822"/>
    <n v="50.874684120890848"/>
    <n v="8981.3460131675201"/>
    <n v="89813.460131675209"/>
    <m/>
  </r>
  <r>
    <d v="2025-11-25T00:00:00"/>
    <x v="10"/>
    <n v="1134"/>
    <s v="Chamki"/>
    <x v="29"/>
    <n v="21089"/>
    <n v="22527"/>
    <n v="2.3237740855342395"/>
    <n v="20598.939283101685"/>
    <n v="205989.39283101686"/>
    <m/>
  </r>
  <r>
    <d v="2025-11-25T00:00:00"/>
    <x v="0"/>
    <n v="1135"/>
    <s v="Chamki"/>
    <x v="28"/>
    <n v="38741"/>
    <n v="8240"/>
    <n v="50.874684120890848"/>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50.874684120890848"/>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4611"/>
    <n v="41.375000977540111"/>
    <n v="4216.3496708119974"/>
    <n v="54812.545720555965"/>
    <m/>
  </r>
  <r>
    <d v="2025-12-02T00:00:00"/>
    <x v="16"/>
    <n v="1169"/>
    <m/>
    <x v="0"/>
    <m/>
    <m/>
    <e v="#DIV/0!"/>
    <m/>
    <m/>
    <m/>
  </r>
  <r>
    <d v="2025-12-02T00:00:00"/>
    <x v="1"/>
    <n v="1170"/>
    <s v="Silky"/>
    <x v="45"/>
    <n v="12099"/>
    <n v="6334"/>
    <n v="3.0644101548714104"/>
    <m/>
    <m/>
    <m/>
  </r>
  <r>
    <d v="2025-12-02T00:00:00"/>
    <x v="21"/>
    <n v="1171"/>
    <s v="Chamki"/>
    <x v="49"/>
    <n v="34339"/>
    <n v="36389"/>
    <n v="3.0999556830553843"/>
    <m/>
    <m/>
    <m/>
  </r>
  <r>
    <d v="2025-12-02T00:00:00"/>
    <x v="1"/>
    <n v="1172"/>
    <s v="Silky"/>
    <x v="40"/>
    <n v="20458"/>
    <n v="3204"/>
    <n v="14.606391470011204"/>
    <m/>
    <m/>
    <m/>
  </r>
  <r>
    <d v="2025-12-02T00:00:00"/>
    <x v="11"/>
    <n v="1173"/>
    <s v="Silky"/>
    <x v="34"/>
    <n v="8049"/>
    <n v="3546"/>
    <n v="3.9465025075472653"/>
    <m/>
    <m/>
    <m/>
  </r>
  <r>
    <d v="2025-12-02T00:00:00"/>
    <x v="18"/>
    <n v="1174"/>
    <s v="Chamki"/>
    <x v="50"/>
    <n v="6327"/>
    <n v="6375"/>
    <n v="7.865166980402023"/>
    <m/>
    <m/>
    <m/>
  </r>
  <r>
    <d v="2025-12-02T00:00:00"/>
    <x v="0"/>
    <n v="1175"/>
    <s v="Chamki"/>
    <x v="51"/>
    <n v="54197"/>
    <n v="6304"/>
    <s v="NF"/>
    <m/>
    <m/>
    <m/>
  </r>
  <r>
    <d v="2025-12-02T00:00:00"/>
    <x v="20"/>
    <n v="1176"/>
    <s v="Chamki"/>
    <x v="52"/>
    <n v="28367"/>
    <n v="3396"/>
    <s v="NF"/>
    <m/>
    <m/>
    <m/>
  </r>
  <r>
    <d v="2025-12-02T00:00:00"/>
    <x v="0"/>
    <n v="1177"/>
    <s v="Chamki"/>
    <x v="51"/>
    <n v="54197"/>
    <n v="2197"/>
    <s v="NF"/>
    <m/>
    <m/>
    <m/>
  </r>
  <r>
    <d v="2025-12-02T00:00:00"/>
    <x v="23"/>
    <n v="1178"/>
    <m/>
    <x v="0"/>
    <m/>
    <m/>
    <e v="#DIV/0!"/>
    <m/>
    <m/>
    <m/>
  </r>
  <r>
    <d v="2025-12-02T00:00:00"/>
    <x v="23"/>
    <n v="1179"/>
    <m/>
    <x v="0"/>
    <m/>
    <m/>
    <e v="#DIV/0!"/>
    <m/>
    <m/>
    <m/>
  </r>
  <r>
    <d v="2025-12-02T00:00:00"/>
    <x v="23"/>
    <n v="1180"/>
    <m/>
    <x v="0"/>
    <m/>
    <m/>
    <e v="#DIV/0!"/>
    <m/>
    <m/>
    <m/>
  </r>
  <r>
    <d v="2025-12-02T00:00:00"/>
    <x v="23"/>
    <n v="1181"/>
    <m/>
    <x v="0"/>
    <m/>
    <m/>
    <e v="#DIV/0!"/>
    <m/>
    <m/>
    <m/>
  </r>
  <r>
    <d v="2025-12-02T00:00:00"/>
    <x v="23"/>
    <n v="1182"/>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d v="2025-12-01T00:00:00"/>
    <x v="4"/>
    <s v="BP26 x4"/>
    <m/>
    <m/>
    <n v="52000"/>
    <n v="520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6"/>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40778.16386247257"/>
    <n v="10"/>
    <n v="1596494.1477688372"/>
  </r>
  <r>
    <x v="1"/>
    <n v="55855.888807607902"/>
    <n v="10"/>
    <n v="670270.66569129482"/>
  </r>
  <r>
    <x v="2"/>
    <n v="119321.50694952451"/>
    <n v="10"/>
    <n v="1319851.8653986834"/>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64923.189465983909"/>
    <m/>
    <n v="750839.42940746166"/>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4">
  <r>
    <d v="2025-10-17T00:00:00"/>
    <x v="0"/>
    <m/>
    <n v="-65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r>
    <d v="2025-12-02T00:00:00"/>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3" firstHeaderRow="0" firstDataRow="1" firstDataCol="1" rowPageCount="1" colPageCount="1"/>
  <pivotFields count="9">
    <pivotField axis="axisRow" numFmtId="14" showAll="0">
      <items count="121">
        <item m="1" x="104"/>
        <item m="1" x="105"/>
        <item m="1" x="106"/>
        <item m="1" x="107"/>
        <item m="1" x="108"/>
        <item m="1" x="109"/>
        <item m="1" x="110"/>
        <item m="1" x="119"/>
        <item m="1" x="100"/>
        <item m="1" x="111"/>
        <item m="1" x="112"/>
        <item m="1" x="113"/>
        <item m="1" x="114"/>
        <item m="1" x="115"/>
        <item m="1" x="116"/>
        <item m="1" x="117"/>
        <item m="1" x="71"/>
        <item m="1" x="72"/>
        <item m="1" x="118"/>
        <item m="1" x="73"/>
        <item m="1" x="70"/>
        <item m="1" x="74"/>
        <item m="1" x="76"/>
        <item m="1" x="77"/>
        <item m="1" x="78"/>
        <item m="1" x="80"/>
        <item m="1" x="81"/>
        <item m="1" x="82"/>
        <item m="1" x="75"/>
        <item m="1" x="79"/>
        <item m="1" x="83"/>
        <item m="1" x="84"/>
        <item m="1" x="85"/>
        <item m="1" x="86"/>
        <item m="1" x="69"/>
        <item m="1" x="87"/>
        <item m="1" x="101"/>
        <item m="1" x="102"/>
        <item m="1" x="103"/>
        <item m="1" x="88"/>
        <item m="1" x="89"/>
        <item m="1" x="90"/>
        <item m="1" x="91"/>
        <item m="1" x="92"/>
        <item m="1" x="93"/>
        <item m="1" x="94"/>
        <item m="1" x="95"/>
        <item m="1" x="96"/>
        <item m="1" x="97"/>
        <item m="1" x="98"/>
        <item m="1" x="99"/>
        <item m="1" x="40"/>
        <item m="1" x="41"/>
        <item m="1" x="42"/>
        <item m="1" x="43"/>
        <item m="1" x="44"/>
        <item m="1" x="45"/>
        <item m="1" x="46"/>
        <item m="1" x="47"/>
        <item m="1" x="49"/>
        <item m="1" x="50"/>
        <item m="1" x="51"/>
        <item m="1" x="48"/>
        <item m="1" x="52"/>
        <item m="1" x="53"/>
        <item m="1" x="54"/>
        <item m="1" x="55"/>
        <item m="1" x="56"/>
        <item m="1" x="57"/>
        <item m="1" x="58"/>
        <item m="1" x="59"/>
        <item m="1" x="60"/>
        <item m="1" x="61"/>
        <item m="1" x="62"/>
        <item m="1" x="63"/>
        <item m="1" x="64"/>
        <item m="1" x="65"/>
        <item m="1" x="66"/>
        <item m="1" x="67"/>
        <item m="1" x="68"/>
        <item x="0"/>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1"/>
        <item x="4"/>
        <item x="2"/>
        <item x="3"/>
        <item x="5"/>
        <item x="6"/>
        <item x="7"/>
        <item x="8"/>
        <item x="9"/>
        <item x="10"/>
        <item x="13"/>
        <item x="11"/>
        <item x="12"/>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5">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4"/>
    </i>
    <i>
      <x v="119"/>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3" firstHeaderRow="0" firstDataRow="1" firstDataCol="1"/>
  <pivotFields count="7">
    <pivotField numFmtId="14" showAll="0"/>
    <pivotField axis="axisRow" showAll="0">
      <items count="70">
        <item x="13"/>
        <item x="9"/>
        <item x="7"/>
        <item m="1" x="55"/>
        <item m="1" x="59"/>
        <item x="12"/>
        <item x="5"/>
        <item x="25"/>
        <item x="6"/>
        <item x="10"/>
        <item x="8"/>
        <item m="1" x="67"/>
        <item m="1" x="54"/>
        <item x="11"/>
        <item m="1" x="50"/>
        <item m="1" x="65"/>
        <item x="2"/>
        <item m="1" x="40"/>
        <item x="1"/>
        <item x="15"/>
        <item x="36"/>
        <item x="27"/>
        <item m="1" x="68"/>
        <item m="1" x="49"/>
        <item x="29"/>
        <item m="1" x="66"/>
        <item m="1" x="58"/>
        <item x="32"/>
        <item m="1" x="60"/>
        <item m="1" x="61"/>
        <item m="1" x="62"/>
        <item m="1" x="63"/>
        <item x="37"/>
        <item m="1" x="64"/>
        <item m="1" x="51"/>
        <item x="26"/>
        <item m="1" x="43"/>
        <item x="17"/>
        <item m="1" x="53"/>
        <item m="1" x="46"/>
        <item x="18"/>
        <item x="3"/>
        <item x="31"/>
        <item m="1" x="56"/>
        <item x="22"/>
        <item m="1" x="57"/>
        <item m="1" x="39"/>
        <item x="24"/>
        <item x="14"/>
        <item m="1" x="41"/>
        <item m="1" x="42"/>
        <item m="1" x="44"/>
        <item m="1" x="45"/>
        <item m="1" x="47"/>
        <item x="19"/>
        <item x="20"/>
        <item m="1" x="48"/>
        <item m="1" x="52"/>
        <item x="4"/>
        <item x="23"/>
        <item x="0"/>
        <item x="16"/>
        <item x="21"/>
        <item x="28"/>
        <item x="30"/>
        <item x="33"/>
        <item x="34"/>
        <item x="35"/>
        <item x="38"/>
        <item t="default"/>
      </items>
    </pivotField>
    <pivotField dataField="1" showAll="0"/>
    <pivotField dataField="1" showAll="0"/>
    <pivotField showAll="0"/>
    <pivotField showAll="0"/>
    <pivotField showAll="0"/>
  </pivotFields>
  <rowFields count="1">
    <field x="1"/>
  </rowFields>
  <rowItems count="40">
    <i>
      <x/>
    </i>
    <i>
      <x v="1"/>
    </i>
    <i>
      <x v="2"/>
    </i>
    <i>
      <x v="5"/>
    </i>
    <i>
      <x v="6"/>
    </i>
    <i>
      <x v="7"/>
    </i>
    <i>
      <x v="8"/>
    </i>
    <i>
      <x v="9"/>
    </i>
    <i>
      <x v="10"/>
    </i>
    <i>
      <x v="13"/>
    </i>
    <i>
      <x v="16"/>
    </i>
    <i>
      <x v="18"/>
    </i>
    <i>
      <x v="19"/>
    </i>
    <i>
      <x v="20"/>
    </i>
    <i>
      <x v="21"/>
    </i>
    <i>
      <x v="24"/>
    </i>
    <i>
      <x v="27"/>
    </i>
    <i>
      <x v="32"/>
    </i>
    <i>
      <x v="35"/>
    </i>
    <i>
      <x v="37"/>
    </i>
    <i>
      <x v="40"/>
    </i>
    <i>
      <x v="41"/>
    </i>
    <i>
      <x v="42"/>
    </i>
    <i>
      <x v="44"/>
    </i>
    <i>
      <x v="47"/>
    </i>
    <i>
      <x v="48"/>
    </i>
    <i>
      <x v="54"/>
    </i>
    <i>
      <x v="55"/>
    </i>
    <i>
      <x v="58"/>
    </i>
    <i>
      <x v="59"/>
    </i>
    <i>
      <x v="60"/>
    </i>
    <i>
      <x v="61"/>
    </i>
    <i>
      <x v="62"/>
    </i>
    <i>
      <x v="63"/>
    </i>
    <i>
      <x v="64"/>
    </i>
    <i>
      <x v="65"/>
    </i>
    <i>
      <x v="66"/>
    </i>
    <i>
      <x v="67"/>
    </i>
    <i>
      <x v="68"/>
    </i>
    <i t="grand">
      <x/>
    </i>
  </rowItems>
  <colFields count="1">
    <field x="-2"/>
  </colFields>
  <colItems count="2">
    <i>
      <x/>
    </i>
    <i i="1">
      <x v="1"/>
    </i>
  </colItems>
  <dataFields count="2">
    <dataField name="Sum of Credit" fld="3" baseField="0" baseItem="0"/>
    <dataField name="Sum of Debit" fld="2" baseField="0" baseItem="0"/>
  </dataFields>
  <formats count="1">
    <format dxfId="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45">
        <item m="1" x="39"/>
        <item m="1" x="40"/>
        <item m="1" x="41"/>
        <item m="1" x="42"/>
        <item m="1" x="43"/>
        <item m="1" x="38"/>
        <item m="1" x="26"/>
        <item m="1" x="27"/>
        <item m="1" x="31"/>
        <item m="1" x="32"/>
        <item m="1" x="28"/>
        <item m="1" x="33"/>
        <item m="1" x="34"/>
        <item m="1" x="35"/>
        <item m="1" x="36"/>
        <item m="1" x="37"/>
        <item m="1" x="25"/>
        <item m="1" x="29"/>
        <item m="1" x="30"/>
        <item m="1" x="18"/>
        <item m="1" x="19"/>
        <item m="1" x="20"/>
        <item m="1" x="21"/>
        <item m="1" x="22"/>
        <item m="1" x="23"/>
        <item m="1" x="24"/>
        <item x="0"/>
        <item m="1" x="10"/>
        <item m="1" x="11"/>
        <item m="1" x="12"/>
        <item m="1" x="13"/>
        <item m="1" x="14"/>
        <item m="1" x="15"/>
        <item m="1" x="16"/>
        <item m="1" x="17"/>
        <item x="1"/>
        <item x="2"/>
        <item x="3"/>
        <item x="4"/>
        <item x="5"/>
        <item x="9"/>
        <item x="6"/>
        <item x="7"/>
        <item x="8"/>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1">
    <i>
      <x v="26"/>
    </i>
    <i>
      <x v="35"/>
    </i>
    <i>
      <x v="36"/>
    </i>
    <i>
      <x v="37"/>
    </i>
    <i>
      <x v="38"/>
    </i>
    <i>
      <x v="39"/>
    </i>
    <i>
      <x v="40"/>
    </i>
    <i>
      <x v="41"/>
    </i>
    <i>
      <x v="42"/>
    </i>
    <i>
      <x v="4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7" firstHeaderRow="0" firstDataRow="1" firstDataCol="1" rowPageCount="1" colPageCount="1"/>
  <pivotFields count="14">
    <pivotField showAll="0"/>
    <pivotField axis="axisPage" multipleItemSelectionAllowed="1" showAll="0">
      <items count="31">
        <item m="1" x="27"/>
        <item x="2"/>
        <item x="0"/>
        <item x="1"/>
        <item m="1" x="29"/>
        <item m="1" x="25"/>
        <item x="6"/>
        <item m="1" x="28"/>
        <item x="3"/>
        <item x="4"/>
        <item m="1" x="26"/>
        <item m="1" x="24"/>
        <item x="23"/>
        <item x="5"/>
        <item x="10"/>
        <item x="8"/>
        <item x="9"/>
        <item x="7"/>
        <item x="11"/>
        <item x="12"/>
        <item x="13"/>
        <item x="14"/>
        <item x="15"/>
        <item x="16"/>
        <item x="17"/>
        <item x="18"/>
        <item x="19"/>
        <item x="20"/>
        <item x="21"/>
        <item x="22"/>
        <item t="default"/>
      </items>
    </pivotField>
    <pivotField showAll="0"/>
    <pivotField showAll="0"/>
    <pivotField axis="axisRow" showAll="0">
      <items count="298">
        <item m="1" x="280"/>
        <item m="1" x="281"/>
        <item m="1" x="279"/>
        <item m="1" x="278"/>
        <item m="1" x="282"/>
        <item m="1" x="284"/>
        <item m="1" x="283"/>
        <item m="1" x="285"/>
        <item m="1" x="286"/>
        <item m="1" x="287"/>
        <item m="1" x="288"/>
        <item m="1" x="289"/>
        <item m="1" x="290"/>
        <item m="1" x="291"/>
        <item m="1" x="216"/>
        <item m="1" x="238"/>
        <item m="1" x="292"/>
        <item m="1" x="293"/>
        <item m="1" x="294"/>
        <item m="1" x="246"/>
        <item m="1" x="245"/>
        <item m="1" x="295"/>
        <item m="1" x="296"/>
        <item m="1" x="255"/>
        <item m="1" x="247"/>
        <item m="1" x="248"/>
        <item m="1" x="249"/>
        <item m="1" x="250"/>
        <item m="1" x="251"/>
        <item m="1" x="252"/>
        <item m="1" x="253"/>
        <item m="1" x="254"/>
        <item m="1" x="256"/>
        <item m="1" x="276"/>
        <item m="1" x="257"/>
        <item m="1" x="277"/>
        <item m="1" x="258"/>
        <item m="1" x="259"/>
        <item m="1" x="260"/>
        <item m="1" x="261"/>
        <item m="1" x="262"/>
        <item m="1" x="192"/>
        <item m="1" x="263"/>
        <item m="1" x="264"/>
        <item m="1" x="265"/>
        <item m="1" x="266"/>
        <item m="1" x="267"/>
        <item m="1" x="268"/>
        <item m="1" x="269"/>
        <item m="1" x="270"/>
        <item m="1" x="271"/>
        <item m="1" x="272"/>
        <item m="1" x="273"/>
        <item m="1" x="274"/>
        <item m="1" x="275"/>
        <item x="0"/>
        <item m="1" x="191"/>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9"/>
        <item m="1" x="240"/>
        <item m="1" x="241"/>
        <item m="1" x="242"/>
        <item m="1" x="243"/>
        <item m="1" x="244"/>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90"/>
        <item m="1" x="171"/>
        <item m="1" x="172"/>
        <item m="1" x="173"/>
        <item m="1" x="174"/>
        <item m="1" x="175"/>
        <item m="1" x="176"/>
        <item m="1" x="177"/>
        <item m="1" x="178"/>
        <item m="1" x="179"/>
        <item m="1" x="180"/>
        <item m="1" x="181"/>
        <item m="1" x="182"/>
        <item m="1" x="183"/>
        <item m="1" x="184"/>
        <item m="1" x="185"/>
        <item m="1" x="186"/>
        <item m="1" x="187"/>
        <item m="1" x="188"/>
        <item m="1" x="189"/>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x="11"/>
        <item m="1" x="108"/>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4">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5">
      <pivotArea type="all" dataOnly="0" outline="0" fieldPosition="0"/>
    </format>
    <format dxfId="34">
      <pivotArea outline="0" collapsedLevelsAreSubtotals="1" fieldPosition="0"/>
    </format>
    <format dxfId="33">
      <pivotArea field="4" type="button" dataOnly="0" labelOnly="1" outline="0" axis="axisRow" fieldPosition="0"/>
    </format>
    <format dxfId="32">
      <pivotArea dataOnly="0" labelOnly="1" fieldPosition="0">
        <references count="1">
          <reference field="4" count="0"/>
        </references>
      </pivotArea>
    </format>
    <format dxfId="31">
      <pivotArea dataOnly="0" labelOnly="1" grandRow="1" outline="0" fieldPosition="0"/>
    </format>
    <format dxfId="30">
      <pivotArea dataOnly="0" labelOnly="1" outline="0" fieldPosition="0">
        <references count="1">
          <reference field="4294967294" count="2">
            <x v="0"/>
            <x v="1"/>
          </reference>
        </references>
      </pivotArea>
    </format>
    <format dxfId="29">
      <pivotArea grandRow="1" outline="0" collapsedLevelsAreSubtotals="1" fieldPosition="0"/>
    </format>
    <format dxfId="28">
      <pivotArea field="4" type="button" dataOnly="0" labelOnly="1" outline="0" axis="axisRow" fieldPosition="0"/>
    </format>
    <format dxfId="2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97">
        <i x="50" s="1"/>
        <i x="29" s="1"/>
        <i x="22" s="1"/>
        <i x="2" s="1"/>
        <i x="46" s="1"/>
        <i x="11" s="1"/>
        <i x="8" s="1"/>
        <i x="21" s="1"/>
        <i x="4" s="1"/>
        <i x="1" s="1"/>
        <i x="19" s="1"/>
        <i x="12" s="1"/>
        <i x="25" s="1"/>
        <i x="43" s="1"/>
        <i x="17" s="1"/>
        <i x="31" s="1"/>
        <i x="23" s="1"/>
        <i x="20" s="1"/>
        <i x="33" s="1"/>
        <i x="34" s="1"/>
        <i x="5" s="1"/>
        <i x="7" s="1"/>
        <i x="41" s="1"/>
        <i x="14" s="1"/>
        <i x="27" s="1"/>
        <i x="10" s="1"/>
        <i x="44" s="1"/>
        <i x="52" s="1"/>
        <i x="16" s="1"/>
        <i x="39" s="1"/>
        <i x="38" s="1"/>
        <i x="40" s="1"/>
        <i x="13" s="1"/>
        <i x="9" s="1"/>
        <i x="42" s="1"/>
        <i x="6" s="1"/>
        <i x="47" s="1"/>
        <i x="48" s="1"/>
        <i x="32" s="1"/>
        <i x="26" s="1"/>
        <i x="15" s="1"/>
        <i x="49" s="1"/>
        <i x="28" s="1"/>
        <i x="30" s="1"/>
        <i x="35" s="1"/>
        <i x="36" s="1"/>
        <i x="45" s="1"/>
        <i x="37" s="1"/>
        <i x="51" s="1"/>
        <i x="18" s="1"/>
        <i x="24" s="1"/>
        <i x="3" s="1"/>
        <i x="251" s="1" nd="1"/>
        <i x="280" s="1" nd="1"/>
        <i x="281" s="1" nd="1"/>
        <i x="289" s="1" nd="1"/>
        <i x="279" s="1" nd="1"/>
        <i x="278" s="1" nd="1"/>
        <i x="282" s="1" nd="1"/>
        <i x="293" s="1" nd="1"/>
        <i x="285" s="1" nd="1"/>
        <i x="286" s="1" nd="1"/>
        <i x="283" s="1" nd="1"/>
        <i x="284" s="1" nd="1"/>
        <i x="294" s="1" nd="1"/>
        <i x="287" s="1" nd="1"/>
        <i x="288" s="1" nd="1"/>
        <i x="291" s="1" nd="1"/>
        <i x="292" s="1" nd="1"/>
        <i x="290" s="1" nd="1"/>
        <i x="246" s="1" nd="1"/>
        <i x="296" s="1" nd="1"/>
        <i x="245" s="1" nd="1"/>
        <i x="295" s="1" nd="1"/>
        <i x="248" s="1" nd="1"/>
        <i x="209" s="1" nd="1"/>
        <i x="247" s="1" nd="1"/>
        <i x="249" s="1" nd="1"/>
        <i x="255" s="1" nd="1"/>
        <i x="250" s="1" nd="1"/>
        <i x="252" s="1" nd="1"/>
        <i x="268" s="1" nd="1"/>
        <i x="191" s="1" nd="1"/>
        <i x="256" s="1" nd="1"/>
        <i x="196" s="1" nd="1"/>
        <i x="262" s="1" nd="1"/>
        <i x="257" s="1" nd="1"/>
        <i x="260" s="1" nd="1"/>
        <i x="265" s="1" nd="1"/>
        <i x="276" s="1" nd="1"/>
        <i x="258" s="1" nd="1"/>
        <i x="270" s="1" nd="1"/>
        <i x="273" s="1" nd="1"/>
        <i x="264" s="1" nd="1"/>
        <i x="253" s="1" nd="1"/>
        <i x="261" s="1" nd="1"/>
        <i x="254" s="1" nd="1"/>
        <i x="259" s="1" nd="1"/>
        <i x="192" s="1" nd="1"/>
        <i x="263" s="1" nd="1"/>
        <i x="269" s="1" nd="1"/>
        <i x="206" s="1" nd="1"/>
        <i x="266" s="1" nd="1"/>
        <i x="271" s="1" nd="1"/>
        <i x="267" s="1" nd="1"/>
        <i x="233" s="1" nd="1"/>
        <i x="272" s="1" nd="1"/>
        <i x="274" s="1" nd="1"/>
        <i x="194" s="1" nd="1"/>
        <i x="201" s="1" nd="1"/>
        <i x="275" s="1" nd="1"/>
        <i x="198" s="1" nd="1"/>
        <i x="199" s="1" nd="1"/>
        <i x="193" s="1" nd="1"/>
        <i x="197" s="1" nd="1"/>
        <i x="84" s="1" nd="1"/>
        <i x="195" s="1" nd="1"/>
        <i x="204" s="1" nd="1"/>
        <i x="200" s="1" nd="1"/>
        <i x="202" s="1" nd="1"/>
        <i x="205" s="1" nd="1"/>
        <i x="213" s="1" nd="1"/>
        <i x="203" s="1" nd="1"/>
        <i x="212" s="1" nd="1"/>
        <i x="217" s="1" nd="1"/>
        <i x="211" s="1" nd="1"/>
        <i x="214" s="1" nd="1"/>
        <i x="224" s="1" nd="1"/>
        <i x="210" s="1" nd="1"/>
        <i x="207" s="1" nd="1"/>
        <i x="208" s="1" nd="1"/>
        <i x="223" s="1" nd="1"/>
        <i x="80" s="1" nd="1"/>
        <i x="216" s="1" nd="1"/>
        <i x="227" s="1" nd="1"/>
        <i x="222" s="1" nd="1"/>
        <i x="215" s="1" nd="1"/>
        <i x="239" s="1" nd="1"/>
        <i x="220" s="1" nd="1"/>
        <i x="230" s="1" nd="1"/>
        <i x="228" s="1" nd="1"/>
        <i x="218" s="1" nd="1"/>
        <i x="226" s="1" nd="1"/>
        <i x="225" s="1" nd="1"/>
        <i x="221" s="1" nd="1"/>
        <i x="231" s="1" nd="1"/>
        <i x="229" s="1" nd="1"/>
        <i x="232" s="1" nd="1"/>
        <i x="219" s="1" nd="1"/>
        <i x="160" s="1" nd="1"/>
        <i x="234" s="1" nd="1"/>
        <i x="235" s="1" nd="1"/>
        <i x="118" s="1" nd="1"/>
        <i x="120" s="1" nd="1"/>
        <i x="242" s="1" nd="1"/>
        <i x="114" s="1" nd="1"/>
        <i x="161" s="1" nd="1"/>
        <i x="236" s="1" nd="1"/>
        <i x="237" s="1" nd="1"/>
        <i x="117" s="1" nd="1"/>
        <i x="244" s="1" nd="1"/>
        <i x="116" s="1" nd="1"/>
        <i x="131" s="1" nd="1"/>
        <i x="243" s="1" nd="1"/>
        <i x="238" s="1" nd="1"/>
        <i x="135" s="1" nd="1"/>
        <i x="241" s="1" nd="1"/>
        <i x="240" s="1" nd="1"/>
        <i x="156" s="1" nd="1"/>
        <i x="109" s="1" nd="1"/>
        <i x="121" s="1" nd="1"/>
        <i x="157" s="1" nd="1"/>
        <i x="155" s="1" nd="1"/>
        <i x="113" s="1" nd="1"/>
        <i x="115" s="1" nd="1"/>
        <i x="119" s="1" nd="1"/>
        <i x="110" s="1" nd="1"/>
        <i x="145" s="1" nd="1"/>
        <i x="150" s="1" nd="1"/>
        <i x="111" s="1" nd="1"/>
        <i x="112" s="1" nd="1"/>
        <i x="122" s="1" nd="1"/>
        <i x="125" s="1" nd="1"/>
        <i x="132" s="1" nd="1"/>
        <i x="124" s="1" nd="1"/>
        <i x="127" s="1" nd="1"/>
        <i x="126" s="1" nd="1"/>
        <i x="169" s="1" nd="1"/>
        <i x="123" s="1" nd="1"/>
        <i x="148" s="1" nd="1"/>
        <i x="164" s="1" nd="1"/>
        <i x="128" s="1" nd="1"/>
        <i x="153" s="1" nd="1"/>
        <i x="166" s="1" nd="1"/>
        <i x="137" s="1" nd="1"/>
        <i x="178" s="1" nd="1"/>
        <i x="136" s="1" nd="1"/>
        <i x="133" s="1" nd="1"/>
        <i x="129" s="1" nd="1"/>
        <i x="130" s="1" nd="1"/>
        <i x="149" s="1" nd="1"/>
        <i x="138" s="1" nd="1"/>
        <i x="61" s="1" nd="1"/>
        <i x="139" s="1" nd="1"/>
        <i x="134" s="1" nd="1"/>
        <i x="141" s="1" nd="1"/>
        <i x="142" s="1" nd="1"/>
        <i x="171" s="1" nd="1"/>
        <i x="140" s="1" nd="1"/>
        <i x="158" s="1" nd="1"/>
        <i x="146" s="1" nd="1"/>
        <i x="143" s="1" nd="1"/>
        <i x="147" s="1" nd="1"/>
        <i x="144" s="1" nd="1"/>
        <i x="151" s="1" nd="1"/>
        <i x="170" s="1" nd="1"/>
        <i x="165" s="1" nd="1"/>
        <i x="184" s="1" nd="1"/>
        <i x="152" s="1" nd="1"/>
        <i x="54" s="1" nd="1"/>
        <i x="163" s="1" nd="1"/>
        <i x="154" s="1" nd="1"/>
        <i x="179" s="1" nd="1"/>
        <i x="162" s="1" nd="1"/>
        <i x="177" s="1" nd="1"/>
        <i x="62" s="1" nd="1"/>
        <i x="168" s="1" nd="1"/>
        <i x="167" s="1" nd="1"/>
        <i x="183" s="1" nd="1"/>
        <i x="180" s="1" nd="1"/>
        <i x="73" s="1" nd="1"/>
        <i x="188" s="1" nd="1"/>
        <i x="172" s="1" nd="1"/>
        <i x="181" s="1" nd="1"/>
        <i x="186" s="1" nd="1"/>
        <i x="64" s="1" nd="1"/>
        <i x="90" s="1" nd="1"/>
        <i x="190" s="1" nd="1"/>
        <i x="187" s="1" nd="1"/>
        <i x="55" s="1" nd="1"/>
        <i x="75" s="1" nd="1"/>
        <i x="182" s="1" nd="1"/>
        <i x="57" s="1" nd="1"/>
        <i x="173" s="1" nd="1"/>
        <i x="176" s="1" nd="1"/>
        <i x="72" s="1" nd="1"/>
        <i x="185" s="1" nd="1"/>
        <i x="174" s="1" nd="1"/>
        <i x="175" s="1" nd="1"/>
        <i x="59" s="1" nd="1"/>
        <i x="77" s="1" nd="1"/>
        <i x="78" s="1" nd="1"/>
        <i x="91" s="1" nd="1"/>
        <i x="189" s="1" nd="1"/>
        <i x="53" s="1" nd="1"/>
        <i x="76" s="1" nd="1"/>
        <i x="69" s="1" nd="1"/>
        <i x="56" s="1" nd="1"/>
        <i x="60" s="1" nd="1"/>
        <i x="66" s="1" nd="1"/>
        <i x="58" s="1" nd="1"/>
        <i x="82" s="1" nd="1"/>
        <i x="86" s="1" nd="1"/>
        <i x="87" s="1" nd="1"/>
        <i x="79" s="1" nd="1"/>
        <i x="63" s="1" nd="1"/>
        <i x="65" s="1" nd="1"/>
        <i x="67" s="1" nd="1"/>
        <i x="70" s="1" nd="1"/>
        <i x="83" s="1" nd="1"/>
        <i x="68" s="1" nd="1"/>
        <i x="89" s="1" nd="1"/>
        <i x="104" s="1" nd="1"/>
        <i x="71" s="1" nd="1"/>
        <i x="92" s="1" nd="1"/>
        <i x="88" s="1" nd="1"/>
        <i x="74" s="1" nd="1"/>
        <i x="96" s="1" nd="1"/>
        <i x="81" s="1" nd="1"/>
        <i x="105" s="1" nd="1"/>
        <i x="85" s="1" nd="1"/>
        <i x="108" s="1" nd="1"/>
        <i x="95" s="1" nd="1"/>
        <i x="100" s="1" nd="1"/>
        <i x="97" s="1" nd="1"/>
        <i x="99" s="1" nd="1"/>
        <i x="94" s="1" nd="1"/>
        <i x="93" s="1" nd="1"/>
        <i x="98" s="1" nd="1"/>
        <i x="106" s="1" nd="1"/>
        <i x="102" s="1" nd="1"/>
        <i x="101" s="1" nd="1"/>
        <i x="107" s="1" nd="1"/>
        <i x="103" s="1" nd="1"/>
        <i x="159" s="1" nd="1"/>
        <i x="27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74" totalsRowCount="1" headerRowDxfId="107" dataDxfId="106" headerRowCellStyle="Comma" dataCellStyle="Comma">
  <autoFilter ref="A1:K173" xr:uid="{11DACEC6-751B-4B1D-817F-5C5BCD38EF6D}">
    <filterColumn colId="4">
      <filters>
        <filter val="1,917"/>
      </filters>
    </filterColumn>
  </autoFilter>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0" totalsRowCount="1" headerRowDxfId="85" headerRowBorderDxfId="84" tableBorderDxfId="83">
  <autoFilter ref="A1:I29" xr:uid="{F8E8C957-ABE7-4E4F-8D4E-7D44E26B334F}"/>
  <tableColumns count="9">
    <tableColumn id="1" xr3:uid="{C2E817D6-AB98-4DDD-8890-736B27F261CD}" name="Date" dataDxfId="82" totalsRowDxfId="13"/>
    <tableColumn id="2" xr3:uid="{CFB51890-CCDC-463C-81C9-3F8BD7469CB9}" name="Party Name"/>
    <tableColumn id="3" xr3:uid="{A113D971-1C9D-4733-99C4-BD0CC4333209}" name="Vehicle Number"/>
    <tableColumn id="4" xr3:uid="{49780304-3DD1-4AE9-98EE-2BC7EB8F3B57}" name="Weight" dataDxfId="81" totalsRowDxfId="12" dataCellStyle="Comma"/>
    <tableColumn id="5" xr3:uid="{FCAF1BC6-1D8C-42AD-8BBC-F924BF2DC7FE}" name="Rate" dataDxfId="80" totalsRowDxfId="11" dataCellStyle="Comma"/>
    <tableColumn id="6" xr3:uid="{8C70A624-4134-410C-9C45-9FDEB51D51BF}" name="Rent" dataDxfId="79" totalsRowDxfId="10" dataCellStyle="Comma"/>
    <tableColumn id="7" xr3:uid="{EBCE10AE-9634-4982-9C95-37ABC8A7078C}" name="Total" totalsRowFunction="sum" dataDxfId="78" totalsRowDxfId="9" dataCellStyle="Comma">
      <calculatedColumnFormula>D2*E2</calculatedColumnFormula>
    </tableColumn>
    <tableColumn id="9" xr3:uid="{D4788559-C94A-44D9-B9AE-E72B214355AC}" name="Paid" totalsRowFunction="sum" dataDxfId="77" totalsRowDxfId="8" dataCellStyle="Comma"/>
    <tableColumn id="8" xr3:uid="{E26F5BF0-1875-4FC6-994D-49F202ED562B}" name="balance" totalsRowFunction="sum" dataDxfId="76" totalsRowDxfId="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56" totalsRowCount="1">
  <autoFilter ref="A1:G255" xr:uid="{CB032221-B416-47A8-9A76-693DE76CFD04}"/>
  <tableColumns count="7">
    <tableColumn id="1" xr3:uid="{554B1EED-65B6-4E9A-B646-82727FAC40DE}" name="Date" dataDxfId="74" totalsRowDxfId="6"/>
    <tableColumn id="2" xr3:uid="{32259059-42CF-4947-83DE-115AA430BE2B}" name="Party"/>
    <tableColumn id="3" xr3:uid="{A1320223-D55D-483C-91C3-AB19B95CC9D8}" name="Debit" totalsRowFunction="sum" dataDxfId="73" totalsRowDxfId="5" dataCellStyle="Comma"/>
    <tableColumn id="4" xr3:uid="{E9745767-9FF0-4B1C-9052-FF335D1D7588}" name="Credit" totalsRowFunction="sum" dataDxfId="72" totalsRowDxfId="4" dataCellStyle="Comma"/>
    <tableColumn id="5" xr3:uid="{5C88A48E-2467-4E6D-B626-2442B7FD0BE4}" name="Description"/>
    <tableColumn id="6" xr3:uid="{63CA4666-144E-4BE6-8B7C-7CB992BD3041}" name="Mode" totalsRowFunction="custom" dataDxfId="71" totalsRowDxfId="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0" tableBorderDxfId="69" totalsRowBorderDxfId="68">
  <autoFilter ref="J3:K6" xr:uid="{DCE01694-23ED-48BF-8B92-4186B9ED10A8}"/>
  <tableColumns count="2">
    <tableColumn id="1" xr3:uid="{C8484DAF-2989-4C2F-9AEC-A6917E1C57F6}" name="Type" dataDxfId="67"/>
    <tableColumn id="2" xr3:uid="{B07B7A2A-4D4E-4654-BED6-FE2F0A7BEC34}" name="Amount" dataDxfId="6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5" headerRowBorderDxfId="64" tableBorderDxfId="63" totalsRowBorderDxfId="62">
  <autoFilter ref="M3:O6" xr:uid="{D166BDD1-ACD7-45D7-8AE9-7350373F8CEB}"/>
  <tableColumns count="3">
    <tableColumn id="1" xr3:uid="{64F0205E-DEA7-4571-BA86-E4374A5FEE28}" name="Type" totalsRowLabel="Total" dataDxfId="61" totalsRowDxfId="60"/>
    <tableColumn id="2" xr3:uid="{15FA05F9-789C-4459-9BE0-5C1EC84D3365}" name="amount" totalsRowFunction="custom" dataDxfId="59" totalsRowDxfId="58">
      <totalsRowFormula>SUM(N5:N6)</totalsRowFormula>
    </tableColumn>
    <tableColumn id="3" xr3:uid="{3681D409-90C6-44D0-BDE2-4B5943A516F0}" name="Actual" totalsRowFunction="custom" totalsRowDxfId="5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6" totalsRowDxfId="55"/>
    <tableColumn id="2" xr3:uid="{5B9D0FEE-4304-4C5C-A05C-5B27CF7841D3}" name="Type"/>
    <tableColumn id="3" xr3:uid="{6A91CA0D-C802-4C6F-9F39-CA53687E8EDE}" name="Description"/>
    <tableColumn id="4" xr3:uid="{A251D40C-AB87-4BB4-85F8-444B20E32FDF}" name="Total" totalsRowFunction="custom" dataDxfId="54" totalsRowDxfId="5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52" headerRowBorderDxfId="51">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0"/>
    <tableColumn id="4" xr3:uid="{1889A312-9B41-4EC4-BD8F-05252F27084A}" name="Price" totalsRowFunction="sum"/>
    <tableColumn id="6" xr3:uid="{8B974B20-F003-4E67-8660-024FA4F324A9}" name="Party"/>
    <tableColumn id="7" xr3:uid="{0A5A5C21-FD61-47DA-9F54-66A6479FA557}" name="Paid" dataDxfId="49">
      <calculatedColumnFormula>SUMIFS(Table14[Debit], Table14[Date], Table8[[#This Row],[Date]], Table14[Party], Table8[[#This Row],[Party]])</calculatedColumnFormula>
    </tableColumn>
    <tableColumn id="8" xr3:uid="{8DCB3B43-2161-4081-82EC-CDB0F4DE4E6F}" name="Balance" totalsRowFunction="sum" dataDxfId="4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7" headerRowBorderDxfId="46">
  <autoFilter ref="A4:H19" xr:uid="{A4C80688-A8BA-4BA7-90B4-791CD99446B4}"/>
  <sortState xmlns:xlrd2="http://schemas.microsoft.com/office/spreadsheetml/2017/richdata2" ref="A5:H6">
    <sortCondition ref="A4:A6"/>
  </sortState>
  <tableColumns count="8">
    <tableColumn id="1" xr3:uid="{4A818912-918E-4111-ACFC-BC93FEF7C1AD}" name="Date" dataDxfId="45" totalsRowDxfId="19"/>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2"/>
    <tableColumn id="2" xr3:uid="{053BFC14-4828-417C-9F9F-95B6E232A945}" name="Amount" totalsRowFunction="custom" dataDxfId="37" totalsRowDxfId="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26" totalsRowDxfId="2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4" totalsRowDxfId="2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2">
      <calculatedColumnFormula>Billing!Q5</calculatedColumnFormula>
    </tableColumn>
    <tableColumn id="2" xr3:uid="{7093A59E-B58F-487D-888A-9AA8156B5F9A}" name="Amount Paid" dataDxfId="2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20"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7"/>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140778.16386247257</v>
      </c>
      <c r="D2">
        <v>10</v>
      </c>
      <c r="E2" s="14">
        <f>(SUMIFS(ledger!G:G, ledger!B:B, B2, ledger!E:E, "&lt;&gt;*RD*",ledger!D:D, "Silky") / 1.0936)*12 + (SUMIFS(ledger!G:G, ledger!B:B, B2, ledger!E:E, "&lt;&gt;*RD*",ledger!D:D, "Chamki") / 1.0936)*10</f>
        <v>1596494.1477688372</v>
      </c>
      <c r="Q2" t="s">
        <v>1</v>
      </c>
    </row>
    <row r="3" spans="2:30"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0" x14ac:dyDescent="0.3">
      <c r="B4" t="str">
        <f t="shared" si="0"/>
        <v>Arshad</v>
      </c>
      <c r="C4" s="18">
        <f>SUMIFS(ledger!G:G, ledger!B:B, B4, ledger!E:E, "&lt;&gt;*RD*") / 1.0936</f>
        <v>119321.50694952451</v>
      </c>
      <c r="D4">
        <v>10</v>
      </c>
      <c r="E4" s="14">
        <f>(SUMIFS(ledger!G:G, ledger!B:B, B4, ledger!E:E, "&lt;&gt;*RD*",ledger!D:D, "Silky") / 1.0936)*12 + (SUMIFS(ledger!G:G, ledger!B:B, B4, ledger!E:E, "&lt;&gt;*RD*",ledger!D:D, "Chamki") / 1.0936)*10</f>
        <v>1319851.8653986834</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2359363</v>
      </c>
      <c r="S5" s="22" cm="1">
        <f t="array" ref="S5">_xlfn.BYROW(B49, _xlfn.LAMBDA(_xlpm.party, SUMIFS(ledger!G:G, ledger!B:B, _xlpm.party, ledger!E:E, "&lt;&gt;*RD*") / 1.0936 ))+_xlfn.IFNA(D84,0)</f>
        <v>2157427.7615215802</v>
      </c>
      <c r="T5" s="22" cm="1">
        <f t="array" ref="T5">(_xlfn.BYROW(B49,_xlfn.LAMBDA(_xlpm.party,SUMIFS(ledger!G:G,ledger!B:B,_xlpm.party,ledger!E:E,"&lt;&gt;*RD*",ledger!D:D,"Chamki")+SUMIFS(ledger!G:G, ledger!B:B, _xlpm.party, ledger!E:E, "&lt;&gt;*RD*", ledger!D:D, "Crinkle")))/1.0936)+_xlfn.IFNA(E84,0)</f>
        <v>1941824.2501828822</v>
      </c>
      <c r="U5" s="70" cm="1">
        <f t="array" ref="U5">(_xlfn.BYROW(B49,_xlfn.LAMBDA(_xlpm.party,SUMIFS(ledger!G:G,ledger!B:B,_xlpm.party,ledger!E:E,"&lt;&gt;*RD*",ledger!D:D,"Silky")))/1.0936)+_xlfn.IFNA(F84,0)</f>
        <v>215603.51133869792</v>
      </c>
      <c r="V5" s="22" cm="1">
        <f t="array" ref="V5">(_xlfn.BYROW(B49,_xlfn.LAMBDA(_xlpm.party,
(SUMIFS(ledger!J:J,ledger!B:B,_xlpm.party,ledger!E:E,"&lt;&gt;*RD*",ledger!D:D,"Chamki",ledger!C:C,"&lt;&gt;October Closing CF")+
SUMIFS(ledger!J:J,ledger!B:B,_xlpm.party,ledger!E:E,"&lt;&gt;*RD*",ledger!D:D,"Crinkle",ledger!C:C,"&lt;&gt;October Closing CF")
)+_xlfn.IFNA(G84,0))))</f>
        <v>19418242.501828827</v>
      </c>
      <c r="W5" s="70" cm="1">
        <f t="array" ref="W5">_xlfn.BYROW(B49, _xlfn.LAMBDA(_xlpm.party,
   SUMIFS(ledger!J:J, ledger!B:B, _xlpm.party, ledger!E:E, "&lt;&gt;*RD*", ledger!D:D, "Silky", ledger!C:C, "&lt;&gt;October Closing CF")
)) + _xlfn.IFNA(H84, 0)</f>
        <v>2714489.7585954648</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22132732.260424294</v>
      </c>
      <c r="AA5" s="22">
        <f>(SUMIF(Table14[Party],Q5,Table14[Credit]))+_xlfn.IFNA(L84,0)</f>
        <v>19734434</v>
      </c>
      <c r="AB5" s="33">
        <f>Z5-AA5</f>
        <v>2398298.2604242936</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3525337.4177029994</v>
      </c>
      <c r="AA6" s="22">
        <f>(SUMIF(Table14[Party],Q6,Table14[Credit]))+_xlfn.IFNA(L85,0)</f>
        <v>3663904</v>
      </c>
      <c r="AB6" s="33">
        <f>Z6-AA6</f>
        <v>-138566.58229700057</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575996</v>
      </c>
      <c r="S7" s="22" cm="1">
        <f t="array" ref="S7">_xlfn.BYROW(B51, _xlfn.LAMBDA(_xlpm.party, SUMIFS(ledger!G:G, ledger!B:B, _xlpm.party, ledger!E:E, "&lt;&gt;*RD*") / 1.0936 ))+_xlfn.IFNA(D86,0)</f>
        <v>526697.14703730796</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5486515.1792245805</v>
      </c>
      <c r="AA7" s="22">
        <f>(SUMIF(Table14[Party],Q7,Table14[Credit]))+_xlfn.IFNA(L86,0)</f>
        <v>5702935</v>
      </c>
      <c r="AB7" s="33">
        <f>Z7-AA7</f>
        <v>-216419.82077541947</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2572620</v>
      </c>
      <c r="AB12" s="33">
        <f t="shared" si="2"/>
        <v>18983.877103146166</v>
      </c>
      <c r="AC12" s="21">
        <v>10</v>
      </c>
      <c r="AD12" s="21">
        <v>13</v>
      </c>
    </row>
    <row r="13" spans="2:30"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640190</v>
      </c>
      <c r="AB13" s="33">
        <f t="shared" si="2"/>
        <v>1084.6891002196353</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4977403.9868324809</v>
      </c>
      <c r="AA16" s="22">
        <f>(SUMIF(Table14[Party],Q16,Table14[Credit]))+_xlfn.IFNA(L95,0)</f>
        <v>4925761</v>
      </c>
      <c r="AB16" s="33">
        <f t="shared" si="2"/>
        <v>51642.986832480878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11226559.070958305</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11226559.070958305</v>
      </c>
      <c r="D23" t="s">
        <v>32</v>
      </c>
      <c r="Q23" s="21" t="str">
        <v>Amjad sohail</v>
      </c>
      <c r="R23" s="22" cm="1">
        <f t="array" ref="R23">_xlfn.BYROW(B67,_xlfn.LAMBDA(_xlpm.party,SUMIFS(ledger!G:G,ledger!B:B,_xlpm.party,ledger!E:E,"&lt;&gt;*RD*")))+_xlfn.IFNA(C102,0)</f>
        <v>229475</v>
      </c>
      <c r="S23" s="22" cm="1">
        <f t="array" ref="S23">_xlfn.BYROW(B67, _xlfn.LAMBDA(_xlpm.party, SUMIFS(ledger!G:G, ledger!B:B, _xlpm.party, ledger!E:E, "&lt;&gt;*RD*") / 1.0936 ))+_xlfn.IFNA(D102,0)</f>
        <v>209834.49158741772</v>
      </c>
      <c r="T23" s="22" cm="1">
        <f t="array" ref="T23">(_xlfn.BYROW(B67,_xlfn.LAMBDA(_xlpm.party,SUMIFS(ledger!G:G,ledger!B:B,_xlpm.party,ledger!E:E,"&lt;&gt;*RD*",ledger!D:D,"Chamki")+SUMIFS(ledger!G:G, ledger!B:B, _xlpm.party, ledger!E:E, "&lt;&gt;*RD*", ledger!D:D, "Crinkle")))/1.0936)+_xlfn.IFNA(E102,0)</f>
        <v>166000.36576444772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1660003.6576444772</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2229847.2933430877</v>
      </c>
      <c r="AA23" s="22">
        <f>(SUMIF(Table14[Party],Q23,Table14[Credit]))+_xlfn.IFNA(L102,0)</f>
        <v>2300000</v>
      </c>
      <c r="AB23" s="33">
        <f t="shared" si="4"/>
        <v>-70152.706656912342</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46957</v>
      </c>
      <c r="S25" s="22" cm="1">
        <f t="array" ref="S25">_xlfn.BYROW(B69, _xlfn.LAMBDA(_xlpm.party, SUMIFS(ledger!G:G, ledger!B:B, _xlpm.party, ledger!E:E, "&lt;&gt;*RD*") / 1.0936 ))+_xlfn.IFNA(D104,0)</f>
        <v>42938.002926115587</v>
      </c>
      <c r="T25" s="22" cm="1">
        <f t="array" ref="T25">(_xlfn.BYROW(B69,_xlfn.LAMBDA(_xlpm.party,SUMIFS(ledger!G:G,ledger!B:B,_xlpm.party,ledger!E:E,"&lt;&gt;*RD*",ledger!D:D,"Chamki")+SUMIFS(ledger!G:G, ledger!B:B, _xlpm.party, ledger!E:E, "&lt;&gt;*RD*", ledger!D:D, "Crinkle")))/1.0936)+_xlfn.IFNA(E104,0)</f>
        <v>42938.002926115587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429380.02926115581</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429380.02926115581</v>
      </c>
      <c r="AA25" s="22">
        <f>(SUMIF(Table14[Party],Q25,Table14[Credit]))+_xlfn.IFNA(L104,0)</f>
        <v>398325</v>
      </c>
      <c r="AB25" s="33">
        <f t="shared" si="4"/>
        <v>31055.029261155811</v>
      </c>
      <c r="AC25" s="21">
        <v>10</v>
      </c>
      <c r="AD25" s="21">
        <v>13</v>
      </c>
    </row>
    <row r="26" spans="2:30"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424323.335771763</v>
      </c>
      <c r="AA26" s="22">
        <f>(SUMIF(Table14[Party],Q26,Table14[Credit]))+_xlfn.IFNA(L105,0)</f>
        <v>0</v>
      </c>
      <c r="AB26" s="33">
        <f t="shared" si="4"/>
        <v>424323.335771763</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337000</v>
      </c>
      <c r="AB27" s="33">
        <f t="shared" si="4"/>
        <v>2383.6869056327851</v>
      </c>
      <c r="AC27" s="21">
        <v>10</v>
      </c>
      <c r="AD27" s="21">
        <v>13</v>
      </c>
    </row>
    <row r="28" spans="2:30" x14ac:dyDescent="0.3">
      <c r="Q28">
        <v>0</v>
      </c>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2">_xlfn.UNIQUE(Table1[Party Name])</f>
        <v>BSC</v>
      </c>
      <c r="C49" s="22" cm="1">
        <f t="array" ref="C49:C72">_xlfn.BYROW(_xlfn.ANCHORARRAY(B49),_xlfn.LAMBDA(_xlpm.party,SUMIFS(ledger!G:G,ledger!B:B,_xlpm.party,ledger!E:E,"&lt;&gt;*RD*")))</f>
        <v>153955</v>
      </c>
      <c r="D49" s="22" cm="1">
        <f t="array" ref="D49:D72">_xlfn.BYROW(_xlfn.ANCHORARRAY(B49), _xlfn.LAMBDA(_xlpm.party, SUMIFS(ledger!G:G, ledger!B:B, _xlpm.party, ledger!E:E, "&lt;&gt;*RD*") / 1.0936 ))</f>
        <v>140778.16386247257</v>
      </c>
      <c r="E49" s="63" cm="1">
        <f t="array" ref="E49:E72">(_xlfn.BYROW(_xlfn.ANCHORARRAY(B49),_xlfn.LAMBDA(_xlpm.party,SUMIFS(ledger!G:G,ledger!B:B,_xlpm.party,ledger!E:E,"&lt;&gt;*RD*",ledger!D:D,"Chamki")+SUMIFS(ledger!G:G, ledger!B:B, _xlpm.party, ledger!E:E, "&lt;&gt;*RD*", ledger!D:D, "Crinkle")))/1.0936)</f>
        <v>46421.909290416974</v>
      </c>
      <c r="F49" s="63" cm="1">
        <f t="array" ref="F49:F72">(_xlfn.BYROW(_xlfn.ANCHORARRAY(B49),_xlfn.LAMBDA(_xlpm.party,SUMIFS(ledger!G:G,ledger!B:B,_xlpm.party,ledger!E:E,"&lt;&gt;*RD*",ledger!D:D,"Silky")))/1.0936)</f>
        <v>94356.254572055608</v>
      </c>
      <c r="G49" s="22" cm="1">
        <f t="array" ref="G49">(_xlfn.BYROW(B49,_xlfn.LAMBDA(_xlpm.party,
(SUMIFS(ledger!J:J,ledger!B:B,_xlpm.party,ledger!E:E,"&lt;&gt;*RD*",ledger!D:D,"Chamki",ledger!C:C,"&lt;&gt;October Closing CF")+
SUMIFS(ledger!J:J,ledger!B:B,_xlpm.party,ledger!E:E,"&lt;&gt;*RD*",ledger!D:D,"Crinkle",ledger!C:C,"&lt;&gt;October Closing CF")
))))</f>
        <v>464219.09290416981</v>
      </c>
      <c r="H49" s="22" cm="1">
        <f t="array" ref="H49">_xlfn.BYROW(B49, _xlfn.LAMBDA(_xlpm.party,
   SUMIFS(ledger!J:J, ledger!B:B, _xlpm.party, ledger!E:E, "&lt;&gt;*RD*", ledger!D:D, "Silky", ledger!C:C, "&lt;&gt;October Closing CF")
))</f>
        <v>1226631.3094367229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1690850.4023408927</v>
      </c>
      <c r="L49" s="22">
        <f>(SUMIF(Table14[Party],B49,Table14[Credit]))</f>
        <v>1322758</v>
      </c>
      <c r="M49" s="37">
        <f>K49-L49</f>
        <v>368092.4023408927</v>
      </c>
      <c r="N49" s="21">
        <v>10</v>
      </c>
      <c r="O49" s="21">
        <v>12</v>
      </c>
    </row>
    <row r="50" spans="1:26"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726126.55449890287</v>
      </c>
      <c r="L50" s="22">
        <f>(SUMIF(Table14[Party],B50,Table14[Credit]))</f>
        <v>500000</v>
      </c>
      <c r="M50" s="37">
        <f>K50-L50</f>
        <v>226126.55449890287</v>
      </c>
      <c r="N50" s="21">
        <v>10</v>
      </c>
      <c r="O50" s="21">
        <v>12</v>
      </c>
    </row>
    <row r="51" spans="1:26" x14ac:dyDescent="0.3">
      <c r="B51" s="24" t="str">
        <v>Arshad</v>
      </c>
      <c r="C51" s="22">
        <v>130490</v>
      </c>
      <c r="D51" s="22">
        <v>119321.50694952451</v>
      </c>
      <c r="E51" s="63">
        <v>56003.108997805415</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1383170.2633504025</v>
      </c>
      <c r="L51" s="22">
        <f>(SUMIF(Table14[Party],B51,Table14[Credit]))</f>
        <v>1600000</v>
      </c>
      <c r="M51" s="37">
        <f>K51-L51</f>
        <v>-216829.73664959753</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955000</v>
      </c>
      <c r="M56" s="37">
        <f t="shared" ref="M56:M78" si="8">K56-L56</f>
        <v>-308931.9678127286</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10040</v>
      </c>
      <c r="M57" s="37">
        <f t="shared" si="8"/>
        <v>-10040</v>
      </c>
      <c r="N57" s="21">
        <v>10</v>
      </c>
      <c r="O57" s="21">
        <v>12</v>
      </c>
      <c r="X57" s="4" t="s">
        <v>21</v>
      </c>
      <c r="Y57" s="5">
        <v>140778.16386247257</v>
      </c>
      <c r="Z57" s="18">
        <v>1596494.1477688372</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55855.888807607902</v>
      </c>
      <c r="Z58" s="18">
        <v>670270.66569129482</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119321.50694952451</v>
      </c>
      <c r="Z59" s="18">
        <v>1319851.8653986834</v>
      </c>
    </row>
    <row r="60" spans="1:26"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801643.19678127288</v>
      </c>
      <c r="L60" s="22">
        <f>SUMIF(Table14[Party], B60, Table14[Credit])</f>
        <v>925217</v>
      </c>
      <c r="M60" s="37">
        <f t="shared" si="8"/>
        <v>-123573.80321872712</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121126</v>
      </c>
      <c r="D67" s="22">
        <v>110758.96122896856</v>
      </c>
      <c r="E67" s="63">
        <v>110758.96122896856</v>
      </c>
      <c r="F67" s="63">
        <v>0</v>
      </c>
      <c r="G67" s="22" cm="1">
        <f t="array" ref="G67">(_xlfn.BYROW(B67,_xlfn.LAMBDA(_xlpm.party,
(SUMIFS(ledger!J:J,ledger!B:B,_xlpm.party,ledger!E:E,"&lt;&gt;*RD*",ledger!D:D,"Chamki",ledger!C:C,"&lt;&gt;October Closing CF")+
SUMIFS(ledger!J:J,ledger!B:B,_xlpm.party,ledger!E:E,"&lt;&gt;*RD*",ledger!D:D,"Crinkle",ledger!C:C,"&lt;&gt;October Closing CF")
))))</f>
        <v>1107589.6122896855</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1107589.6122896855</v>
      </c>
      <c r="L67" s="22">
        <f>SUMIF(Table14[Party], B67, Table14[Credit])</f>
        <v>1500000</v>
      </c>
      <c r="M67" s="37">
        <f t="shared" si="8"/>
        <v>-392410.38771031448</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64923.189465983909</v>
      </c>
      <c r="Z68" s="18">
        <v>750839.42940746166</v>
      </c>
    </row>
    <row r="69" spans="2:26" x14ac:dyDescent="0.3">
      <c r="B69" t="str">
        <v>Shahid Qasayi</v>
      </c>
      <c r="C69" s="22">
        <v>46957</v>
      </c>
      <c r="D69" s="22">
        <v>42938.002926115587</v>
      </c>
      <c r="E69" s="63">
        <v>42938.002926115587</v>
      </c>
      <c r="F69" s="21">
        <v>0</v>
      </c>
      <c r="G69" s="22" cm="1">
        <f t="array" ref="G69">(_xlfn.BYROW(B69,_xlfn.LAMBDA(_xlpm.party,
(SUMIFS(ledger!J:J,ledger!B:B,_xlpm.party,ledger!E:E,"&lt;&gt;*RD*",ledger!D:D,"Chamki",ledger!C:C,"&lt;&gt;October Closing CF")+
SUMIFS(ledger!J:J,ledger!B:B,_xlpm.party,ledger!E:E,"&lt;&gt;*RD*",ledger!D:D,"Crinkle",ledger!C:C,"&lt;&gt;October Closing CF")
))))</f>
        <v>429380.02926115581</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429380.02926115581</v>
      </c>
      <c r="L69" s="22">
        <f>SUMIF(Table14[Party], B69, Table14[Credit])</f>
        <v>398325</v>
      </c>
      <c r="M69" s="37">
        <f t="shared" si="8"/>
        <v>31055.029261155811</v>
      </c>
      <c r="N69" s="21">
        <v>10</v>
      </c>
      <c r="O69" s="21">
        <v>12</v>
      </c>
      <c r="X69" s="4" t="s">
        <v>169</v>
      </c>
      <c r="Y69" s="5">
        <v>0</v>
      </c>
      <c r="Z69" s="18">
        <v>0</v>
      </c>
    </row>
    <row r="70" spans="2:26"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424323.335771763</v>
      </c>
      <c r="L70" s="22">
        <f>SUMIF(Table14[Party], B70, Table14[Credit])</f>
        <v>0</v>
      </c>
      <c r="M70" s="37">
        <f t="shared" si="8"/>
        <v>424323.335771763</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337000</v>
      </c>
      <c r="M71" s="37">
        <f t="shared" si="8"/>
        <v>2383.6869056327851</v>
      </c>
      <c r="X71" s="4" t="s">
        <v>177</v>
      </c>
      <c r="Y71" s="5">
        <v>0</v>
      </c>
      <c r="Z71" s="18">
        <v>0</v>
      </c>
    </row>
    <row r="72" spans="2:26" x14ac:dyDescent="0.3">
      <c r="B72">
        <v>0</v>
      </c>
      <c r="C72">
        <v>0</v>
      </c>
      <c r="D72">
        <v>0</v>
      </c>
      <c r="E72">
        <v>0</v>
      </c>
      <c r="F72">
        <v>0</v>
      </c>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738429.04169714707</v>
      </c>
      <c r="Z74" s="14">
        <v>8139806.1448427234</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2359363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2157427.7615215802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1941824.2501828822</v>
      </c>
      <c r="E12" s="92">
        <f ca="1">Table21[[#This Row],[gazana]]*Table21[[#This Row],[Rate]]</f>
        <v>19418242.501828823</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215603.51133869792</v>
      </c>
      <c r="E14" s="66">
        <f ca="1">Table21[[#This Row],[gazana]]*Table21[[#This Row],[Rate]]</f>
        <v>2587242.1360643748</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22005484.6378932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19734434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2398298.2604242936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v>0</v>
      </c>
    </row>
  </sheetData>
  <conditionalFormatting sqref="E20">
    <cfRule type="cellIs" dxfId="18" priority="1" operator="lessThan">
      <formula>20000</formula>
    </cfRule>
    <cfRule type="cellIs" dxfId="1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3715990</v>
      </c>
      <c r="D4" t="s">
        <v>219</v>
      </c>
    </row>
    <row r="5" spans="1:4" x14ac:dyDescent="0.3">
      <c r="B5" t="s">
        <v>48</v>
      </c>
      <c r="C5" s="11">
        <f>SUM(Table8[Price])+Table2325[[#Totals],[total]]</f>
        <v>1185770</v>
      </c>
    </row>
    <row r="6" spans="1:4" x14ac:dyDescent="0.3">
      <c r="B6" t="s">
        <v>49</v>
      </c>
      <c r="C6" s="11">
        <f>SUM(Table2[Price])+Finish!J30</f>
        <v>852000</v>
      </c>
      <c r="D6" t="s">
        <v>218</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226000</v>
      </c>
    </row>
    <row r="10" spans="1:4" x14ac:dyDescent="0.3">
      <c r="B10" t="s">
        <v>53</v>
      </c>
      <c r="C10" s="11">
        <f>Table5[[#Totals],[Amount]]</f>
        <v>75990</v>
      </c>
    </row>
    <row r="11" spans="1:4" x14ac:dyDescent="0.3">
      <c r="B11" t="s">
        <v>54</v>
      </c>
      <c r="C11" s="11">
        <f>Table13[[#Totals],[Debit]]</f>
        <v>116750</v>
      </c>
    </row>
    <row r="12" spans="1:4" x14ac:dyDescent="0.3">
      <c r="B12" t="s">
        <v>55</v>
      </c>
      <c r="C12" s="11">
        <f>Table15[[#Totals],[Amount]]</f>
        <v>176420</v>
      </c>
    </row>
    <row r="13" spans="1:4" x14ac:dyDescent="0.3">
      <c r="C13" s="11"/>
    </row>
    <row r="14" spans="1:4" x14ac:dyDescent="0.3">
      <c r="C14" s="14">
        <f>SUM(Table12[Amount])</f>
        <v>6358240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11226559.070958305</v>
      </c>
    </row>
    <row r="4" spans="1:3" x14ac:dyDescent="0.3">
      <c r="B4" s="11" t="s">
        <v>44</v>
      </c>
      <c r="C4" s="11">
        <f>Table12[[#Totals],[Amount]]</f>
        <v>6358240</v>
      </c>
    </row>
    <row r="5" spans="1:3" x14ac:dyDescent="0.3">
      <c r="A5" s="6"/>
      <c r="B5" s="15" t="s">
        <v>68</v>
      </c>
      <c r="C5" s="15">
        <f>C3-C4</f>
        <v>4868319.0709583052</v>
      </c>
    </row>
    <row r="10" spans="1:3" ht="15" thickBot="1" x14ac:dyDescent="0.35">
      <c r="B10" t="s">
        <v>66</v>
      </c>
      <c r="C10" s="14" t="s">
        <v>67</v>
      </c>
    </row>
    <row r="11" spans="1:3" x14ac:dyDescent="0.3">
      <c r="B11" s="56" t="s">
        <v>0</v>
      </c>
      <c r="C11" s="57">
        <f>C3</f>
        <v>11226559.070958305</v>
      </c>
    </row>
    <row r="12" spans="1:3" x14ac:dyDescent="0.3">
      <c r="B12" s="58" t="s">
        <v>69</v>
      </c>
      <c r="C12" s="59">
        <f>SUM(Table14[Credit])</f>
        <v>11559347</v>
      </c>
    </row>
    <row r="13" spans="1:3" ht="15" thickBot="1" x14ac:dyDescent="0.35">
      <c r="B13" s="74" t="s">
        <v>94</v>
      </c>
      <c r="C13" s="73">
        <f>(C11-C12)</f>
        <v>-332787.92904169485</v>
      </c>
    </row>
    <row r="14" spans="1:3" ht="15" thickBot="1" x14ac:dyDescent="0.35">
      <c r="B14" s="58"/>
      <c r="C14" s="59"/>
    </row>
    <row r="15" spans="1:3" x14ac:dyDescent="0.3">
      <c r="B15" s="56" t="s">
        <v>44</v>
      </c>
      <c r="C15" s="57">
        <f>C4</f>
        <v>6358240</v>
      </c>
    </row>
    <row r="16" spans="1:3" x14ac:dyDescent="0.3">
      <c r="B16" s="58" t="s">
        <v>70</v>
      </c>
      <c r="C16" s="59">
        <f>SUM(Table14[Debit])</f>
        <v>11534311</v>
      </c>
    </row>
    <row r="17" spans="2:6" ht="15" thickBot="1" x14ac:dyDescent="0.35">
      <c r="B17" s="74" t="s">
        <v>71</v>
      </c>
      <c r="C17" s="73">
        <f>C15-C16</f>
        <v>-5176071</v>
      </c>
    </row>
    <row r="18" spans="2:6" ht="15" thickBot="1" x14ac:dyDescent="0.35">
      <c r="B18" s="58"/>
      <c r="C18" s="59"/>
    </row>
    <row r="19" spans="2:6" ht="15" thickBot="1" x14ac:dyDescent="0.35">
      <c r="B19" s="75" t="s">
        <v>72</v>
      </c>
      <c r="C19" s="76">
        <f>Table18[[#Totals],[amount]]</f>
        <v>25036</v>
      </c>
    </row>
    <row r="20" spans="2:6" ht="15" thickBot="1" x14ac:dyDescent="0.35">
      <c r="B20" s="71"/>
      <c r="C20" s="72"/>
    </row>
    <row r="21" spans="2:6" ht="15" thickBot="1" x14ac:dyDescent="0.35">
      <c r="B21" s="60" t="s">
        <v>73</v>
      </c>
      <c r="C21" s="61">
        <f>(C13-C17)+C19</f>
        <v>4868319.0709583052</v>
      </c>
      <c r="E21" s="79" t="s">
        <v>74</v>
      </c>
      <c r="F21" s="80">
        <f>C5*0.05</f>
        <v>243415.95354791527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116750</v>
      </c>
      <c r="E38">
        <f>SUBTOTAL(109,Table13[Credit])</f>
        <v>0</v>
      </c>
      <c r="F38">
        <f>Table13[[#Totals],[Debit]]-Table13[[#Totals],[Credit]]</f>
        <v>116750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zoomScale="91" zoomScaleNormal="82" workbookViewId="0">
      <selection activeCell="C179" sqref="C17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hidden="1"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hidden="1"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hidden="1"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hidden="1"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hidden="1"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hidden="1"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hidden="1"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hidden="1"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hidden="1"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hidden="1"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hidden="1"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hidden="1"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hidden="1"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hidden="1"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hidden="1"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hidden="1"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hidden="1"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hidden="1"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hidden="1"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hidden="1"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hidden="1"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hidden="1"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hidden="1"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hidden="1"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hidden="1"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hidden="1"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hidden="1"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hidden="1"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hidden="1"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hidden="1"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hidden="1"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hidden="1"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hidden="1"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hidden="1"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hidden="1"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hidden="1"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hidden="1"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hidden="1"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hidden="1"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hidden="1"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hidden="1"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hidden="1"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hidden="1"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hidden="1"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hidden="1"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hidden="1"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hidden="1"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hidden="1"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hidden="1"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hidden="1"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hidden="1"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hidden="1"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hidden="1"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hidden="1"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hidden="1"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hidden="1"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hidden="1"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hidden="1"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hidden="1"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hidden="1"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hidden="1"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hidden="1"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hidden="1"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hidden="1"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hidden="1"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hidden="1"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hidden="1"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hidden="1"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hidden="1"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hidden="1"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hidden="1"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hidden="1"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hidden="1"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hidden="1"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hidden="1"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hidden="1"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hidden="1"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hidden="1"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hidden="1"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hidden="1"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hidden="1"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hidden="1"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hidden="1"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hidden="1"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hidden="1"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hidden="1"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hidden="1"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hidden="1"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hidden="1"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hidden="1"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hidden="1"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hidden="1"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hidden="1"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hidden="1"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hidden="1"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hidden="1"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hidden="1"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hidden="1"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hidden="1"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41.375000977540111</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hidden="1"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hidden="1"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hidden="1"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hidden="1"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hidden="1"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hidden="1"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hidden="1"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hidden="1"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hidden="1"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hidden="1"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hidden="1"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hidden="1"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hidden="1"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hidden="1"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hidden="1"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hidden="1"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hidden="1"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hidden="1"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hidden="1" x14ac:dyDescent="0.3">
      <c r="A120" s="127">
        <v>45985</v>
      </c>
      <c r="B120" s="126" t="s">
        <v>188</v>
      </c>
      <c r="C120" s="126">
        <v>1129</v>
      </c>
      <c r="D120" s="126" t="s">
        <v>85</v>
      </c>
      <c r="E120" s="11">
        <v>1926</v>
      </c>
      <c r="F120" s="11">
        <v>79388</v>
      </c>
      <c r="G120" s="11">
        <v>21877</v>
      </c>
      <c r="H120" s="133">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hidden="1"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hidden="1"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hidden="1" x14ac:dyDescent="0.3">
      <c r="A123" s="127">
        <v>45986</v>
      </c>
      <c r="B123" s="126" t="s">
        <v>9</v>
      </c>
      <c r="C123" s="126">
        <v>1132</v>
      </c>
      <c r="D123" s="126" t="s">
        <v>85</v>
      </c>
      <c r="E123" s="11">
        <v>1905</v>
      </c>
      <c r="F123" s="11">
        <v>62248</v>
      </c>
      <c r="G123" s="11">
        <v>38493</v>
      </c>
      <c r="H123" s="133">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hidden="1" x14ac:dyDescent="0.3">
      <c r="A124" s="127">
        <v>45986</v>
      </c>
      <c r="B124" s="126" t="s">
        <v>21</v>
      </c>
      <c r="C124" s="126">
        <v>1133</v>
      </c>
      <c r="D124" s="126" t="s">
        <v>85</v>
      </c>
      <c r="E124" s="11">
        <v>1934</v>
      </c>
      <c r="F124" s="11">
        <v>38741</v>
      </c>
      <c r="G124" s="11">
        <v>9822</v>
      </c>
      <c r="H124" s="133">
        <f>_xlfn.XLOOKUP(Table1[[#This Row],[Shipment Number]], 'pivot '!A:A,'pivot '!G:G, "NF")</f>
        <v>50.874684120890848</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hidden="1"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hidden="1" x14ac:dyDescent="0.3">
      <c r="A126" s="130">
        <v>45986</v>
      </c>
      <c r="B126" s="126" t="s">
        <v>21</v>
      </c>
      <c r="C126" s="126">
        <v>1135</v>
      </c>
      <c r="D126" s="126" t="s">
        <v>85</v>
      </c>
      <c r="E126" s="11">
        <v>1934</v>
      </c>
      <c r="F126" s="11">
        <v>38741</v>
      </c>
      <c r="G126" s="11">
        <v>8240</v>
      </c>
      <c r="H126" s="133">
        <f>_xlfn.XLOOKUP(Table1[[#This Row],[Shipment Number]], 'pivot '!A:A,'pivot '!G:G, "NF")</f>
        <v>50.874684120890848</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hidden="1" x14ac:dyDescent="0.3">
      <c r="A127" s="127">
        <v>45986</v>
      </c>
      <c r="B127" s="126" t="s">
        <v>188</v>
      </c>
      <c r="C127" s="126">
        <v>1136</v>
      </c>
      <c r="D127" s="126" t="s">
        <v>85</v>
      </c>
      <c r="E127" s="11">
        <v>1926</v>
      </c>
      <c r="F127" s="11">
        <v>79388</v>
      </c>
      <c r="G127" s="11">
        <v>8891</v>
      </c>
      <c r="H127" s="133">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hidden="1" x14ac:dyDescent="0.3">
      <c r="A128" s="127">
        <v>45987</v>
      </c>
      <c r="B128" s="126" t="s">
        <v>188</v>
      </c>
      <c r="C128" s="126">
        <v>1137</v>
      </c>
      <c r="D128" s="126" t="s">
        <v>85</v>
      </c>
      <c r="E128" s="11">
        <v>1926</v>
      </c>
      <c r="F128" s="11">
        <v>79388</v>
      </c>
      <c r="G128" s="11">
        <v>35579</v>
      </c>
      <c r="H128" s="133">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hidden="1" x14ac:dyDescent="0.3">
      <c r="A129" s="127">
        <v>45987</v>
      </c>
      <c r="B129" s="126" t="s">
        <v>9</v>
      </c>
      <c r="C129" s="126">
        <v>1138</v>
      </c>
      <c r="D129" s="126" t="s">
        <v>85</v>
      </c>
      <c r="E129" s="11">
        <v>1905</v>
      </c>
      <c r="F129" s="11">
        <v>62248</v>
      </c>
      <c r="G129" s="11">
        <v>6313</v>
      </c>
      <c r="H129" s="133">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hidden="1" x14ac:dyDescent="0.3">
      <c r="A130" s="127">
        <v>45987</v>
      </c>
      <c r="B130" s="126" t="s">
        <v>188</v>
      </c>
      <c r="C130" s="126">
        <v>1139</v>
      </c>
      <c r="D130" s="126" t="s">
        <v>85</v>
      </c>
      <c r="E130" s="11">
        <v>1926</v>
      </c>
      <c r="F130" s="11">
        <v>79388</v>
      </c>
      <c r="G130" s="11">
        <v>11064</v>
      </c>
      <c r="H130" s="133">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hidden="1" x14ac:dyDescent="0.3">
      <c r="A131" s="127">
        <v>45988</v>
      </c>
      <c r="B131" s="126" t="s">
        <v>300</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hidden="1" x14ac:dyDescent="0.3">
      <c r="A132" s="127">
        <v>45988</v>
      </c>
      <c r="B132" s="126" t="s">
        <v>9</v>
      </c>
      <c r="C132" s="126">
        <v>1141</v>
      </c>
      <c r="D132" s="126" t="s">
        <v>85</v>
      </c>
      <c r="E132" s="11">
        <v>1905</v>
      </c>
      <c r="F132" s="11">
        <v>62248</v>
      </c>
      <c r="G132" s="11">
        <v>16439</v>
      </c>
      <c r="H132" s="133">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hidden="1"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hidden="1"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hidden="1"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hidden="1"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hidden="1"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hidden="1"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hidden="1"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hidden="1"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hidden="1"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hidden="1"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hidden="1"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hidden="1" x14ac:dyDescent="0.3">
      <c r="A144" s="127">
        <v>45990</v>
      </c>
      <c r="B144" s="126" t="s">
        <v>298</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hidden="1" x14ac:dyDescent="0.3">
      <c r="A145" s="127">
        <v>45990</v>
      </c>
      <c r="B145" s="126" t="s">
        <v>298</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hidden="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hidden="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hidden="1" x14ac:dyDescent="0.3">
      <c r="A148" s="127">
        <v>45990</v>
      </c>
      <c r="B148" s="126" t="s">
        <v>21</v>
      </c>
      <c r="C148" s="126">
        <v>1157</v>
      </c>
      <c r="D148" s="126" t="s">
        <v>85</v>
      </c>
      <c r="E148" s="11">
        <v>1934</v>
      </c>
      <c r="F148" s="11">
        <v>38741</v>
      </c>
      <c r="G148" s="11">
        <v>2751</v>
      </c>
      <c r="H148" s="133">
        <f>_xlfn.XLOOKUP(Table1[[#This Row],[Shipment Number]], 'pivot '!A:A,'pivot '!G:G, "NF")</f>
        <v>50.874684120890848</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hidden="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hidden="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hidden="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hidden="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hidden="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hidden="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hidden="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hidden="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hidden="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hidden="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v>4611</v>
      </c>
      <c r="H159" s="133">
        <f>_xlfn.XLOOKUP(Table1[[#This Row],[Shipment Number]], 'pivot '!A:A,'pivot '!G:G, "NF")</f>
        <v>41.375000977540111</v>
      </c>
      <c r="I159" s="111">
        <f>Table1[[#This Row],[Tiyaar/gaz]]/1.0936</f>
        <v>4216.3496708119974</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54812.545720555965</v>
      </c>
      <c r="K159" s="126"/>
    </row>
    <row r="160" spans="1:11" hidden="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hidden="1"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hidden="1" x14ac:dyDescent="0.3">
      <c r="A162" s="127">
        <v>45993</v>
      </c>
      <c r="B162" s="126" t="s">
        <v>300</v>
      </c>
      <c r="C162" s="126">
        <v>1171</v>
      </c>
      <c r="D162" s="126" t="s">
        <v>85</v>
      </c>
      <c r="E162" s="11">
        <v>1933</v>
      </c>
      <c r="F162" s="11">
        <v>34339</v>
      </c>
      <c r="G162" s="11">
        <f>31700+4689</f>
        <v>36389</v>
      </c>
      <c r="H162" s="133">
        <f>_xlfn.XLOOKUP(Table1[[#This Row],[Shipment Number]], 'pivot '!A:A,'pivot '!G:G, "NF")</f>
        <v>3.0999556830553843</v>
      </c>
      <c r="I162" s="111">
        <f>Table1[[#This Row],[Tiyaar/gaz]]/1.0936</f>
        <v>33274.506217995615</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332745.06217995612</v>
      </c>
      <c r="K162" s="126"/>
    </row>
    <row r="163" spans="1:12" hidden="1"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hidden="1"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hidden="1" x14ac:dyDescent="0.3">
      <c r="A165" s="127">
        <v>45993</v>
      </c>
      <c r="B165" s="126" t="s">
        <v>188</v>
      </c>
      <c r="C165" s="126">
        <v>1174</v>
      </c>
      <c r="D165" s="126" t="s">
        <v>85</v>
      </c>
      <c r="E165" s="11">
        <v>1842</v>
      </c>
      <c r="F165" s="11">
        <v>6327</v>
      </c>
      <c r="G165" s="11">
        <v>6375</v>
      </c>
      <c r="H165" s="133">
        <f>_xlfn.XLOOKUP(Table1[[#This Row],[Shipment Number]], 'pivot '!A:A,'pivot '!G:G, "NF")</f>
        <v>7.865166980402023</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hidden="1" x14ac:dyDescent="0.3">
      <c r="A166" s="127">
        <v>45993</v>
      </c>
      <c r="B166" s="126" t="s">
        <v>21</v>
      </c>
      <c r="C166" s="126">
        <v>1175</v>
      </c>
      <c r="D166" s="126" t="s">
        <v>85</v>
      </c>
      <c r="E166" s="11">
        <v>1958</v>
      </c>
      <c r="F166" s="11">
        <v>54197</v>
      </c>
      <c r="G166" s="11">
        <v>6304</v>
      </c>
      <c r="H166" s="133">
        <f>_xlfn.XLOOKUP(Table1[[#This Row],[Shipment Number]], 'pivot '!A:A,'pivot '!G:G, "NF")</f>
        <v>85.657123227018985</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hidden="1" x14ac:dyDescent="0.3">
      <c r="A167" s="127">
        <v>45993</v>
      </c>
      <c r="B167" s="126" t="s">
        <v>242</v>
      </c>
      <c r="C167" s="126">
        <v>1176</v>
      </c>
      <c r="D167" s="126" t="s">
        <v>85</v>
      </c>
      <c r="E167" s="11">
        <v>1910</v>
      </c>
      <c r="F167" s="11">
        <v>28367</v>
      </c>
      <c r="G167" s="11">
        <v>3396</v>
      </c>
      <c r="H167" s="133">
        <f>_xlfn.XLOOKUP(Table1[[#This Row],[Shipment Number]], 'pivot '!A:A,'pivot '!G:G, "NF")</f>
        <v>89.052983533907863</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hidden="1" x14ac:dyDescent="0.3">
      <c r="A168" s="127">
        <v>45993</v>
      </c>
      <c r="B168" s="126" t="s">
        <v>21</v>
      </c>
      <c r="C168" s="126">
        <v>1177</v>
      </c>
      <c r="D168" s="126" t="s">
        <v>85</v>
      </c>
      <c r="E168" s="11">
        <v>1958</v>
      </c>
      <c r="F168" s="11">
        <v>54197</v>
      </c>
      <c r="G168" s="11">
        <v>2197</v>
      </c>
      <c r="H168" s="133">
        <f>_xlfn.XLOOKUP(Table1[[#This Row],[Shipment Number]], 'pivot '!A:A,'pivot '!G:G, "NF")</f>
        <v>85.657123227018985</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hidden="1" x14ac:dyDescent="0.3">
      <c r="A169" s="127">
        <v>45993</v>
      </c>
      <c r="B169" s="126"/>
      <c r="C169" s="126">
        <v>1178</v>
      </c>
      <c r="D169" s="126"/>
      <c r="E169" s="11"/>
      <c r="F169" s="11"/>
      <c r="G169" s="11"/>
      <c r="H169" s="133" t="e">
        <f>_xlfn.XLOOKUP(Table1[[#This Row],[Shipment Number]], 'pivot '!A:A,'pivot '!G:G, "NF")</f>
        <v>#DIV/0!</v>
      </c>
      <c r="I169" s="134"/>
      <c r="J169" s="134"/>
      <c r="K169" s="126"/>
    </row>
    <row r="170" spans="1:12" hidden="1" x14ac:dyDescent="0.3">
      <c r="A170" s="127">
        <v>45993</v>
      </c>
      <c r="B170" s="126"/>
      <c r="C170" s="126">
        <v>1179</v>
      </c>
      <c r="D170" s="126"/>
      <c r="E170" s="11"/>
      <c r="F170" s="11"/>
      <c r="G170" s="11"/>
      <c r="H170" s="133" t="e">
        <f>_xlfn.XLOOKUP(Table1[[#This Row],[Shipment Number]], 'pivot '!A:A,'pivot '!G:G, "NF")</f>
        <v>#DIV/0!</v>
      </c>
      <c r="I170" s="134"/>
      <c r="J170" s="134"/>
      <c r="K170" s="126"/>
    </row>
    <row r="171" spans="1:12" hidden="1" x14ac:dyDescent="0.3">
      <c r="A171" s="127">
        <v>45993</v>
      </c>
      <c r="B171" s="126"/>
      <c r="C171" s="126">
        <v>1180</v>
      </c>
      <c r="D171" s="126"/>
      <c r="E171" s="11"/>
      <c r="F171" s="11"/>
      <c r="G171" s="11"/>
      <c r="H171" s="133" t="e">
        <f>_xlfn.XLOOKUP(Table1[[#This Row],[Shipment Number]], 'pivot '!A:A,'pivot '!G:G, "NF")</f>
        <v>#DIV/0!</v>
      </c>
      <c r="I171" s="134"/>
      <c r="J171" s="134"/>
      <c r="K171" s="126"/>
    </row>
    <row r="172" spans="1:12" hidden="1" x14ac:dyDescent="0.3">
      <c r="A172" s="127">
        <v>45993</v>
      </c>
      <c r="B172" s="126"/>
      <c r="C172" s="126">
        <v>1181</v>
      </c>
      <c r="D172" s="126"/>
      <c r="E172" s="11"/>
      <c r="F172" s="11"/>
      <c r="G172" s="11"/>
      <c r="H172" s="133" t="e">
        <f>_xlfn.XLOOKUP(Table1[[#This Row],[Shipment Number]], 'pivot '!A:A,'pivot '!G:G, "NF")</f>
        <v>#DIV/0!</v>
      </c>
      <c r="I172" s="134"/>
      <c r="J172" s="134"/>
      <c r="K172" s="126"/>
    </row>
    <row r="173" spans="1:12" hidden="1" x14ac:dyDescent="0.3">
      <c r="A173" s="127">
        <v>45993</v>
      </c>
      <c r="B173" s="126"/>
      <c r="C173" s="126">
        <v>1182</v>
      </c>
      <c r="D173" s="126"/>
      <c r="E173" s="11"/>
      <c r="F173" s="11"/>
      <c r="G173" s="11"/>
      <c r="H173" s="133" t="e">
        <f>_xlfn.XLOOKUP(Table1[[#This Row],[Shipment Number]], 'pivot '!A:A,'pivot '!G:G, "NF")</f>
        <v>#DIV/0!</v>
      </c>
      <c r="I173" s="134"/>
      <c r="J173" s="134"/>
      <c r="K173" s="126"/>
    </row>
    <row r="174" spans="1:12" x14ac:dyDescent="0.3">
      <c r="A174"/>
      <c r="B174"/>
      <c r="C174"/>
      <c r="D174"/>
      <c r="E174" s="14"/>
      <c r="F174" s="14"/>
      <c r="G174" s="14"/>
      <c r="H174" s="43"/>
      <c r="I174" s="94" cm="1">
        <f t="array" aca="1" ref="I174" ca="1">SUMPRODUCT( SUBTOTAL(109, OFFSET(Table1[tiyar/meters], ROW(Table1[tiyar/meters])-MIN(ROW(Table1[tiyar/meters])), 0, 1)), --(Table1[Bill Number]&lt;&gt;"October Closing CF") )</f>
        <v>5867.7761521580105</v>
      </c>
      <c r="J174" s="43" cm="1">
        <f t="array" aca="1" ref="J174" ca="1">SUMPRODUCT( SUBTOTAL(109, OFFSET(Table1[billing], ROW(Table1[billing])-MIN(ROW(Table1[billing])), 0, 1)), --(Table1[Bill Number]&lt;&gt;"October Closing CF") )</f>
        <v>76281.089978054137</v>
      </c>
      <c r="K174" s="14">
        <f>SUMIFS(Table1[billing], Table1[Bill Number], "&lt;&gt;October Closing CF")</f>
        <v>11226559.070958305</v>
      </c>
    </row>
    <row r="175" spans="1:12" x14ac:dyDescent="0.3">
      <c r="D175"/>
      <c r="E175"/>
      <c r="F175"/>
      <c r="G175"/>
      <c r="I175"/>
      <c r="J175"/>
      <c r="K175"/>
    </row>
    <row r="176" spans="1:12" x14ac:dyDescent="0.3">
      <c r="D176"/>
      <c r="E176"/>
      <c r="F176"/>
      <c r="G176"/>
      <c r="I176"/>
      <c r="J176"/>
      <c r="K176"/>
    </row>
    <row r="177" spans="4:11" x14ac:dyDescent="0.3">
      <c r="D177"/>
      <c r="E177"/>
      <c r="F177"/>
      <c r="G177"/>
      <c r="I177"/>
      <c r="J177"/>
      <c r="K177"/>
    </row>
    <row r="178" spans="4:11" x14ac:dyDescent="0.3">
      <c r="D178"/>
      <c r="E178"/>
      <c r="F178"/>
      <c r="G178"/>
    </row>
    <row r="179" spans="4:11" x14ac:dyDescent="0.3">
      <c r="D179"/>
      <c r="E179"/>
      <c r="F179"/>
      <c r="G179"/>
    </row>
    <row r="180" spans="4:11" x14ac:dyDescent="0.3">
      <c r="D180"/>
      <c r="E180"/>
      <c r="F180"/>
      <c r="G180"/>
    </row>
    <row r="181" spans="4:11" x14ac:dyDescent="0.3">
      <c r="D181"/>
      <c r="E181"/>
      <c r="F181"/>
      <c r="G181"/>
    </row>
    <row r="182" spans="4:11" x14ac:dyDescent="0.3">
      <c r="D182"/>
      <c r="E182"/>
      <c r="F182"/>
      <c r="G182"/>
    </row>
    <row r="183" spans="4:11" x14ac:dyDescent="0.3">
      <c r="D183"/>
      <c r="E183"/>
      <c r="F183"/>
      <c r="G183"/>
    </row>
    <row r="184" spans="4:11" x14ac:dyDescent="0.3">
      <c r="D184"/>
      <c r="E184"/>
      <c r="F184"/>
      <c r="G184"/>
    </row>
    <row r="185" spans="4:11" x14ac:dyDescent="0.3">
      <c r="D185"/>
      <c r="E185"/>
      <c r="F185"/>
      <c r="G185"/>
    </row>
    <row r="186" spans="4:11" x14ac:dyDescent="0.3">
      <c r="D186"/>
      <c r="E186"/>
      <c r="F186"/>
      <c r="G186"/>
    </row>
    <row r="187" spans="4:11" x14ac:dyDescent="0.3">
      <c r="D187"/>
      <c r="E187"/>
      <c r="F187"/>
      <c r="G187"/>
    </row>
    <row r="188" spans="4:11" x14ac:dyDescent="0.3">
      <c r="D188"/>
      <c r="E188"/>
      <c r="F188"/>
      <c r="G188"/>
    </row>
    <row r="189" spans="4:11" x14ac:dyDescent="0.3">
      <c r="D189"/>
      <c r="E189"/>
      <c r="F189"/>
      <c r="G189"/>
    </row>
    <row r="190" spans="4:11" x14ac:dyDescent="0.3">
      <c r="D190"/>
      <c r="E190"/>
      <c r="F190"/>
      <c r="G190"/>
    </row>
    <row r="191" spans="4:11" x14ac:dyDescent="0.3">
      <c r="D191"/>
      <c r="E191"/>
      <c r="F191"/>
      <c r="G191"/>
    </row>
    <row r="192" spans="4:11"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conditionalFormatting sqref="H2:H173">
    <cfRule type="cellIs" dxfId="1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3"/>
  <sheetViews>
    <sheetView topLeftCell="A21" zoomScale="145" zoomScaleNormal="90" workbookViewId="0">
      <selection activeCell="A30" sqref="A3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1093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3148990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285</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281</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293</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311</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345</v>
      </c>
      <c r="C29" t="s">
        <v>343</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c r="D30" s="14"/>
      <c r="E30" s="14"/>
      <c r="F30" s="14"/>
      <c r="G30" s="14">
        <f>SUBTOTAL(109,Table3[Total])</f>
        <v>3148990</v>
      </c>
      <c r="H30" s="14">
        <f>SUBTOTAL(109,Table3[Paid])</f>
        <v>3260665</v>
      </c>
      <c r="I30" s="14">
        <f>SUBTOTAL(109,Table3[balance])</f>
        <v>3212778</v>
      </c>
      <c r="L30" s="42" t="s">
        <v>285</v>
      </c>
      <c r="M30" s="14">
        <v>281</v>
      </c>
      <c r="N30" s="14">
        <v>227610</v>
      </c>
      <c r="O30" s="14">
        <v>347823</v>
      </c>
      <c r="P30" s="14">
        <v>-120213</v>
      </c>
    </row>
    <row r="31" spans="1:16" x14ac:dyDescent="0.3">
      <c r="L31" s="42" t="s">
        <v>281</v>
      </c>
      <c r="M31" s="14">
        <v>384</v>
      </c>
      <c r="N31" s="14">
        <v>299520</v>
      </c>
      <c r="O31" s="14">
        <v>100000</v>
      </c>
      <c r="P31" s="14">
        <v>199520</v>
      </c>
    </row>
    <row r="32" spans="1:16" x14ac:dyDescent="0.3">
      <c r="L32" s="26">
        <v>45988</v>
      </c>
      <c r="M32" s="14">
        <v>496</v>
      </c>
      <c r="N32" s="14">
        <v>401760</v>
      </c>
      <c r="O32" s="14">
        <v>281000</v>
      </c>
      <c r="P32" s="14">
        <v>120760</v>
      </c>
    </row>
    <row r="33" spans="12:16" x14ac:dyDescent="0.3">
      <c r="L33" s="42" t="s">
        <v>104</v>
      </c>
      <c r="M33" s="14"/>
      <c r="N33" s="14">
        <v>0</v>
      </c>
      <c r="O33" s="14">
        <v>175000</v>
      </c>
      <c r="P33" s="14">
        <v>-175000</v>
      </c>
    </row>
    <row r="34" spans="12:16" x14ac:dyDescent="0.3">
      <c r="L34" s="42" t="s">
        <v>293</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311</v>
      </c>
      <c r="M36" s="14">
        <v>287</v>
      </c>
      <c r="N36" s="14">
        <v>232470</v>
      </c>
      <c r="O36" s="14">
        <v>46100</v>
      </c>
      <c r="P36" s="14">
        <v>186370</v>
      </c>
    </row>
    <row r="37" spans="12:16" x14ac:dyDescent="0.3">
      <c r="L37" s="26" t="s">
        <v>104</v>
      </c>
      <c r="M37" s="14"/>
      <c r="N37" s="14">
        <v>0</v>
      </c>
      <c r="O37" s="14">
        <v>0</v>
      </c>
      <c r="P37" s="14">
        <v>0</v>
      </c>
    </row>
    <row r="38" spans="12:16" x14ac:dyDescent="0.3">
      <c r="L38" s="42" t="s">
        <v>104</v>
      </c>
      <c r="M38" s="14"/>
      <c r="N38" s="14">
        <v>0</v>
      </c>
      <c r="O38" s="14">
        <v>0</v>
      </c>
      <c r="P38" s="14">
        <v>0</v>
      </c>
    </row>
    <row r="39" spans="12:16" x14ac:dyDescent="0.3">
      <c r="L39" s="26">
        <v>45990</v>
      </c>
      <c r="M39" s="14"/>
      <c r="N39" s="14">
        <v>0</v>
      </c>
      <c r="O39" s="14">
        <v>400338</v>
      </c>
      <c r="P39" s="14">
        <v>-400338</v>
      </c>
    </row>
    <row r="40" spans="12:16" x14ac:dyDescent="0.3">
      <c r="L40" s="42" t="s">
        <v>104</v>
      </c>
      <c r="M40" s="14"/>
      <c r="N40" s="14">
        <v>0</v>
      </c>
      <c r="O40" s="14">
        <v>400338</v>
      </c>
      <c r="P40" s="14">
        <v>-400338</v>
      </c>
    </row>
    <row r="41" spans="12:16" x14ac:dyDescent="0.3">
      <c r="L41" s="26">
        <v>45992</v>
      </c>
      <c r="M41" s="14">
        <v>433</v>
      </c>
      <c r="N41" s="14">
        <v>350730</v>
      </c>
      <c r="O41" s="14">
        <v>300204</v>
      </c>
      <c r="P41" s="14">
        <v>50526</v>
      </c>
    </row>
    <row r="42" spans="12:16" x14ac:dyDescent="0.3">
      <c r="L42" s="42" t="s">
        <v>224</v>
      </c>
      <c r="M42" s="14">
        <v>433</v>
      </c>
      <c r="N42" s="14">
        <v>350730</v>
      </c>
      <c r="O42" s="14">
        <v>300204</v>
      </c>
      <c r="P42" s="14">
        <v>50526</v>
      </c>
    </row>
    <row r="43" spans="12:16" x14ac:dyDescent="0.3">
      <c r="L43" s="26" t="s">
        <v>28</v>
      </c>
      <c r="M43" s="14">
        <v>3741</v>
      </c>
      <c r="N43" s="14">
        <v>2962240</v>
      </c>
      <c r="O43" s="14">
        <v>2685297</v>
      </c>
      <c r="P43" s="14">
        <v>3601396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56"/>
  <sheetViews>
    <sheetView topLeftCell="A233" zoomScale="104" workbookViewId="0">
      <selection activeCell="B249" sqref="B24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-653115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11534311</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11559347</v>
      </c>
      <c r="M5" s="45" t="s">
        <v>109</v>
      </c>
      <c r="N5" s="46">
        <f>(SUMIFS(Table14[Credit],Table14[Mode],"Bank")-SUMIFS(Table14[Debit],Table14[Mode],"Bank")-SUMIFS(Table14[Withdrawal],Table14[Mode],"Transfer"))</f>
        <v>630952</v>
      </c>
      <c r="O5">
        <v>360000</v>
      </c>
    </row>
    <row r="6" spans="1:16" x14ac:dyDescent="0.3">
      <c r="A6" s="38">
        <v>45980</v>
      </c>
      <c r="B6" t="s">
        <v>206</v>
      </c>
      <c r="C6" s="97">
        <v>2000</v>
      </c>
      <c r="D6" s="97"/>
      <c r="E6" t="s">
        <v>207</v>
      </c>
      <c r="F6" s="124" t="s">
        <v>110</v>
      </c>
      <c r="J6" s="52" t="s">
        <v>43</v>
      </c>
      <c r="K6" s="53">
        <f>(K5-K4)</f>
        <v>25036</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25036</v>
      </c>
      <c r="O7" s="90">
        <f>SUM(O5,O6)</f>
        <v>410000</v>
      </c>
      <c r="P7" s="14">
        <f>Table18[[#Totals],[amount]]-Table18[[#Totals],[Actual]]</f>
        <v>-384964</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276</v>
      </c>
      <c r="C116" s="11"/>
      <c r="D116" s="11">
        <v>100000</v>
      </c>
      <c r="E116" t="s">
        <v>228</v>
      </c>
      <c r="F116" s="124" t="s">
        <v>109</v>
      </c>
    </row>
    <row r="117" spans="1:6" x14ac:dyDescent="0.3">
      <c r="A117" s="125">
        <v>45987</v>
      </c>
      <c r="B117" t="s">
        <v>95</v>
      </c>
      <c r="C117" s="11">
        <v>302123</v>
      </c>
      <c r="D117" s="11"/>
      <c r="E117" t="s">
        <v>277</v>
      </c>
      <c r="F117" s="124" t="s">
        <v>109</v>
      </c>
    </row>
    <row r="118" spans="1:6" x14ac:dyDescent="0.3">
      <c r="A118" s="125">
        <v>45987</v>
      </c>
      <c r="B118" t="s">
        <v>183</v>
      </c>
      <c r="C118" s="11"/>
      <c r="D118" s="11">
        <v>2000</v>
      </c>
      <c r="E118" t="s">
        <v>278</v>
      </c>
      <c r="F118" s="124" t="s">
        <v>109</v>
      </c>
    </row>
    <row r="119" spans="1:6" x14ac:dyDescent="0.3">
      <c r="A119" s="125">
        <v>45987</v>
      </c>
      <c r="B119" t="s">
        <v>54</v>
      </c>
      <c r="C119" s="11">
        <v>2000</v>
      </c>
      <c r="D119" s="11"/>
      <c r="E119" t="s">
        <v>278</v>
      </c>
      <c r="F119" s="124" t="s">
        <v>109</v>
      </c>
    </row>
    <row r="120" spans="1:6" x14ac:dyDescent="0.3">
      <c r="A120" s="125">
        <v>45987</v>
      </c>
      <c r="B120" t="s">
        <v>54</v>
      </c>
      <c r="C120" s="11">
        <v>1500</v>
      </c>
      <c r="D120" s="11"/>
      <c r="E120" t="s">
        <v>279</v>
      </c>
      <c r="F120" s="124" t="s">
        <v>109</v>
      </c>
    </row>
    <row r="121" spans="1:6" x14ac:dyDescent="0.3">
      <c r="A121" s="125">
        <v>45987</v>
      </c>
      <c r="B121" t="s">
        <v>21</v>
      </c>
      <c r="C121" s="11"/>
      <c r="D121" s="11">
        <v>1500</v>
      </c>
      <c r="E121" t="s">
        <v>279</v>
      </c>
      <c r="F121" s="124" t="s">
        <v>109</v>
      </c>
    </row>
    <row r="122" spans="1:6" x14ac:dyDescent="0.3">
      <c r="A122" s="125">
        <v>45987</v>
      </c>
      <c r="B122" t="s">
        <v>212</v>
      </c>
      <c r="C122" s="11"/>
      <c r="D122" s="11"/>
      <c r="E122" t="s">
        <v>280</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281</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282</v>
      </c>
      <c r="F127" s="124" t="s">
        <v>109</v>
      </c>
    </row>
    <row r="128" spans="1:6" x14ac:dyDescent="0.3">
      <c r="A128" s="125">
        <v>45987</v>
      </c>
      <c r="B128" t="s">
        <v>55</v>
      </c>
      <c r="C128" s="11">
        <v>1950</v>
      </c>
      <c r="D128" s="11"/>
      <c r="E128" t="s">
        <v>283</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284</v>
      </c>
      <c r="F132" s="124" t="s">
        <v>109</v>
      </c>
    </row>
    <row r="133" spans="1:6" x14ac:dyDescent="0.3">
      <c r="A133" s="125">
        <v>45987</v>
      </c>
      <c r="B133" t="s">
        <v>95</v>
      </c>
      <c r="C133" s="11">
        <v>45700</v>
      </c>
      <c r="D133" s="11"/>
      <c r="E133" t="s">
        <v>285</v>
      </c>
      <c r="F133" s="124" t="s">
        <v>109</v>
      </c>
    </row>
    <row r="134" spans="1:6" x14ac:dyDescent="0.3">
      <c r="A134" s="125">
        <v>45987</v>
      </c>
      <c r="B134" t="s">
        <v>183</v>
      </c>
      <c r="C134" s="11">
        <v>620</v>
      </c>
      <c r="D134" s="11"/>
      <c r="F134" s="124" t="s">
        <v>109</v>
      </c>
    </row>
    <row r="135" spans="1:6" x14ac:dyDescent="0.3">
      <c r="A135" s="125">
        <v>45988</v>
      </c>
      <c r="B135" t="s">
        <v>287</v>
      </c>
      <c r="C135" s="11">
        <v>15000</v>
      </c>
      <c r="D135" s="11"/>
      <c r="E135" t="s">
        <v>288</v>
      </c>
      <c r="F135" s="124" t="s">
        <v>109</v>
      </c>
    </row>
    <row r="136" spans="1:6" x14ac:dyDescent="0.3">
      <c r="A136" s="125">
        <v>45988</v>
      </c>
      <c r="B136" t="s">
        <v>287</v>
      </c>
      <c r="C136" s="11">
        <v>10000</v>
      </c>
      <c r="D136" s="11"/>
      <c r="E136" t="s">
        <v>289</v>
      </c>
      <c r="F136" s="124" t="s">
        <v>109</v>
      </c>
    </row>
    <row r="137" spans="1:6" x14ac:dyDescent="0.3">
      <c r="A137" s="125">
        <v>45988</v>
      </c>
      <c r="B137" t="s">
        <v>247</v>
      </c>
      <c r="C137" s="11">
        <v>3600</v>
      </c>
      <c r="D137" s="11"/>
      <c r="E137" t="s">
        <v>290</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291</v>
      </c>
      <c r="F140" s="124" t="s">
        <v>109</v>
      </c>
    </row>
    <row r="141" spans="1:6" x14ac:dyDescent="0.3">
      <c r="A141" s="125">
        <v>45988</v>
      </c>
      <c r="B141" t="s">
        <v>212</v>
      </c>
      <c r="C141" s="11"/>
      <c r="D141" s="11"/>
      <c r="E141" t="s">
        <v>292</v>
      </c>
      <c r="F141" s="124" t="s">
        <v>109</v>
      </c>
    </row>
    <row r="142" spans="1:6" x14ac:dyDescent="0.3">
      <c r="A142" s="125">
        <v>45988</v>
      </c>
      <c r="B142" t="s">
        <v>95</v>
      </c>
      <c r="C142" s="97">
        <v>106000</v>
      </c>
      <c r="D142" s="97"/>
      <c r="E142" t="s">
        <v>293</v>
      </c>
      <c r="F142" s="124" t="s">
        <v>109</v>
      </c>
    </row>
    <row r="143" spans="1:6" x14ac:dyDescent="0.3">
      <c r="A143" s="125">
        <v>45988</v>
      </c>
      <c r="B143" t="s">
        <v>183</v>
      </c>
      <c r="C143" s="11"/>
      <c r="D143" s="11">
        <v>3600</v>
      </c>
      <c r="E143" t="s">
        <v>290</v>
      </c>
      <c r="F143" s="124" t="s">
        <v>109</v>
      </c>
    </row>
    <row r="144" spans="1:6" x14ac:dyDescent="0.3">
      <c r="A144" s="125">
        <v>45988</v>
      </c>
      <c r="B144" t="s">
        <v>183</v>
      </c>
      <c r="C144" s="11"/>
      <c r="D144" s="11">
        <v>1600</v>
      </c>
      <c r="E144" t="s">
        <v>294</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295</v>
      </c>
      <c r="F146" s="124" t="s">
        <v>109</v>
      </c>
    </row>
    <row r="147" spans="1:6" x14ac:dyDescent="0.3">
      <c r="A147" s="125">
        <v>45988</v>
      </c>
      <c r="B147" t="s">
        <v>296</v>
      </c>
      <c r="C147" s="11"/>
      <c r="D147" s="11">
        <v>90000</v>
      </c>
      <c r="E147" t="s">
        <v>297</v>
      </c>
      <c r="F147" s="124" t="s">
        <v>109</v>
      </c>
    </row>
    <row r="148" spans="1:6" x14ac:dyDescent="0.3">
      <c r="A148" s="125">
        <v>45988</v>
      </c>
      <c r="B148" t="s">
        <v>298</v>
      </c>
      <c r="C148" s="11"/>
      <c r="D148" s="11">
        <v>100000</v>
      </c>
      <c r="E148" t="s">
        <v>228</v>
      </c>
      <c r="F148" s="124" t="s">
        <v>109</v>
      </c>
    </row>
    <row r="149" spans="1:6" x14ac:dyDescent="0.3">
      <c r="A149" s="125">
        <v>45988</v>
      </c>
      <c r="B149" t="s">
        <v>21</v>
      </c>
      <c r="C149" s="11"/>
      <c r="D149" s="11">
        <v>4500</v>
      </c>
      <c r="E149" t="s">
        <v>299</v>
      </c>
      <c r="F149" s="124" t="s">
        <v>109</v>
      </c>
    </row>
    <row r="150" spans="1:6" x14ac:dyDescent="0.3">
      <c r="A150" s="125">
        <v>45988</v>
      </c>
      <c r="B150" t="s">
        <v>54</v>
      </c>
      <c r="C150" s="11">
        <v>4500</v>
      </c>
      <c r="D150" s="11"/>
      <c r="E150" t="s">
        <v>299</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303</v>
      </c>
      <c r="F153" s="124" t="s">
        <v>109</v>
      </c>
    </row>
    <row r="154" spans="1:6" x14ac:dyDescent="0.3">
      <c r="A154" s="38">
        <v>45988</v>
      </c>
      <c r="B154" t="s">
        <v>304</v>
      </c>
      <c r="C154" s="97">
        <v>85000</v>
      </c>
      <c r="D154" s="97"/>
      <c r="E154" t="s">
        <v>305</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306</v>
      </c>
      <c r="F157" s="124" t="s">
        <v>109</v>
      </c>
    </row>
    <row r="158" spans="1:6" x14ac:dyDescent="0.3">
      <c r="A158" s="125">
        <v>45989</v>
      </c>
      <c r="B158" t="s">
        <v>183</v>
      </c>
      <c r="C158" s="11"/>
      <c r="D158" s="11">
        <v>5000</v>
      </c>
      <c r="E158" t="s">
        <v>307</v>
      </c>
      <c r="F158" s="124" t="s">
        <v>109</v>
      </c>
    </row>
    <row r="159" spans="1:6" x14ac:dyDescent="0.3">
      <c r="A159" s="125">
        <v>45989</v>
      </c>
      <c r="B159" t="s">
        <v>21</v>
      </c>
      <c r="C159" s="11"/>
      <c r="D159" s="11">
        <v>50000</v>
      </c>
      <c r="E159" t="s">
        <v>308</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311</v>
      </c>
      <c r="F163" s="124" t="s">
        <v>109</v>
      </c>
      <c r="J163" s="3" t="s">
        <v>6</v>
      </c>
      <c r="K163" t="s">
        <v>119</v>
      </c>
      <c r="L163" t="s">
        <v>120</v>
      </c>
    </row>
    <row r="164" spans="1:12" x14ac:dyDescent="0.3">
      <c r="A164" s="125">
        <v>45989</v>
      </c>
      <c r="B164" t="s">
        <v>237</v>
      </c>
      <c r="C164" s="11"/>
      <c r="D164" s="11">
        <v>100000</v>
      </c>
      <c r="F164" s="124" t="s">
        <v>109</v>
      </c>
      <c r="J164" s="4" t="s">
        <v>220</v>
      </c>
      <c r="K164" s="14"/>
      <c r="L164" s="14">
        <v>60000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1277758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309</v>
      </c>
      <c r="F168" s="124" t="s">
        <v>109</v>
      </c>
      <c r="J168" s="4" t="s">
        <v>95</v>
      </c>
      <c r="K168" s="14"/>
      <c r="L168" s="14">
        <v>2638897</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310</v>
      </c>
      <c r="F170" s="124" t="s">
        <v>109</v>
      </c>
      <c r="J170" s="4" t="s">
        <v>55</v>
      </c>
      <c r="K170" s="14"/>
      <c r="L170" s="14">
        <v>171420</v>
      </c>
    </row>
    <row r="171" spans="1:12" x14ac:dyDescent="0.3">
      <c r="A171" s="125">
        <v>45990</v>
      </c>
      <c r="B171" t="s">
        <v>183</v>
      </c>
      <c r="C171" s="11"/>
      <c r="D171" s="11">
        <v>10310</v>
      </c>
      <c r="E171" t="s">
        <v>114</v>
      </c>
      <c r="F171" s="124" t="s">
        <v>109</v>
      </c>
      <c r="J171" s="4" t="s">
        <v>114</v>
      </c>
      <c r="K171" s="14"/>
      <c r="L171" s="14">
        <v>75990</v>
      </c>
    </row>
    <row r="172" spans="1:12" x14ac:dyDescent="0.3">
      <c r="A172" s="125">
        <v>45990</v>
      </c>
      <c r="B172" t="s">
        <v>114</v>
      </c>
      <c r="C172" s="11">
        <v>10310</v>
      </c>
      <c r="D172" s="11"/>
      <c r="E172" t="s">
        <v>312</v>
      </c>
      <c r="F172" s="124" t="s">
        <v>109</v>
      </c>
      <c r="J172" s="4" t="s">
        <v>212</v>
      </c>
      <c r="K172" s="14"/>
      <c r="L172" s="14">
        <v>26000</v>
      </c>
    </row>
    <row r="173" spans="1:12" x14ac:dyDescent="0.3">
      <c r="A173" s="125">
        <v>45990</v>
      </c>
      <c r="B173" t="s">
        <v>54</v>
      </c>
      <c r="C173" s="11">
        <v>16100</v>
      </c>
      <c r="D173" s="11"/>
      <c r="E173" t="s">
        <v>232</v>
      </c>
      <c r="F173" s="124" t="s">
        <v>109</v>
      </c>
      <c r="J173" s="4" t="s">
        <v>54</v>
      </c>
      <c r="K173" s="14"/>
      <c r="L173" s="14">
        <v>103750</v>
      </c>
    </row>
    <row r="174" spans="1:12" x14ac:dyDescent="0.3">
      <c r="A174" s="125">
        <v>45990</v>
      </c>
      <c r="B174" t="s">
        <v>54</v>
      </c>
      <c r="C174" s="11">
        <v>3000</v>
      </c>
      <c r="D174" s="11"/>
      <c r="E174" t="s">
        <v>232</v>
      </c>
      <c r="F174" s="124" t="s">
        <v>109</v>
      </c>
      <c r="J174" s="4" t="s">
        <v>186</v>
      </c>
      <c r="K174" s="14"/>
      <c r="L174" s="14">
        <v>79720</v>
      </c>
    </row>
    <row r="175" spans="1:12" x14ac:dyDescent="0.3">
      <c r="A175" s="125">
        <v>45990</v>
      </c>
      <c r="B175" t="s">
        <v>21</v>
      </c>
      <c r="C175" s="11"/>
      <c r="D175" s="11">
        <v>13500</v>
      </c>
      <c r="E175" t="s">
        <v>232</v>
      </c>
      <c r="F175" s="124" t="s">
        <v>109</v>
      </c>
      <c r="J175" s="4" t="s">
        <v>183</v>
      </c>
      <c r="K175" s="14">
        <v>127092</v>
      </c>
      <c r="L175" s="14">
        <v>10820</v>
      </c>
    </row>
    <row r="176" spans="1:12" x14ac:dyDescent="0.3">
      <c r="A176" s="125">
        <v>45990</v>
      </c>
      <c r="B176" t="s">
        <v>21</v>
      </c>
      <c r="C176" s="11"/>
      <c r="D176" s="11">
        <v>19000</v>
      </c>
      <c r="E176" t="s">
        <v>291</v>
      </c>
      <c r="F176" s="124" t="s">
        <v>109</v>
      </c>
      <c r="J176" s="4" t="s">
        <v>227</v>
      </c>
      <c r="K176" s="14">
        <v>200000</v>
      </c>
      <c r="L176" s="14"/>
    </row>
    <row r="177" spans="1:12" x14ac:dyDescent="0.3">
      <c r="A177" s="125">
        <v>45990</v>
      </c>
      <c r="B177" t="s">
        <v>220</v>
      </c>
      <c r="C177" s="97">
        <v>20000</v>
      </c>
      <c r="D177" s="97"/>
      <c r="E177" t="s">
        <v>291</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313</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314</v>
      </c>
      <c r="F181" s="124" t="s">
        <v>109</v>
      </c>
      <c r="J181" s="4" t="s">
        <v>35</v>
      </c>
      <c r="K181" s="14">
        <v>10040</v>
      </c>
      <c r="L181" s="14"/>
    </row>
    <row r="182" spans="1:12" x14ac:dyDescent="0.3">
      <c r="A182" s="125">
        <v>45990</v>
      </c>
      <c r="B182" t="s">
        <v>237</v>
      </c>
      <c r="C182" s="11">
        <v>50000</v>
      </c>
      <c r="D182" s="11"/>
      <c r="E182" t="s">
        <v>167</v>
      </c>
      <c r="F182" s="124" t="s">
        <v>109</v>
      </c>
      <c r="J182" s="4" t="s">
        <v>150</v>
      </c>
      <c r="K182" s="14"/>
      <c r="L182" s="14">
        <v>40000</v>
      </c>
    </row>
    <row r="183" spans="1:12" x14ac:dyDescent="0.3">
      <c r="A183" s="125">
        <v>45990</v>
      </c>
      <c r="B183" t="s">
        <v>167</v>
      </c>
      <c r="C183" s="11"/>
      <c r="D183" s="11">
        <v>50000</v>
      </c>
      <c r="F183" s="124" t="s">
        <v>109</v>
      </c>
      <c r="J183" s="4" t="s">
        <v>153</v>
      </c>
      <c r="K183" s="14">
        <v>955000</v>
      </c>
      <c r="L183" s="14"/>
    </row>
    <row r="184" spans="1:12" x14ac:dyDescent="0.3">
      <c r="A184" s="125">
        <v>45990</v>
      </c>
      <c r="B184" t="s">
        <v>298</v>
      </c>
      <c r="C184" s="11"/>
      <c r="D184" s="11">
        <v>200000</v>
      </c>
      <c r="F184" s="124" t="s">
        <v>109</v>
      </c>
      <c r="J184" s="4" t="s">
        <v>167</v>
      </c>
      <c r="K184" s="14">
        <v>925217</v>
      </c>
      <c r="L184" s="14"/>
    </row>
    <row r="185" spans="1:12" x14ac:dyDescent="0.3">
      <c r="A185" s="125">
        <v>45990</v>
      </c>
      <c r="B185" t="s">
        <v>95</v>
      </c>
      <c r="C185" s="11">
        <v>200338</v>
      </c>
      <c r="D185" s="11"/>
      <c r="E185" t="s">
        <v>315</v>
      </c>
      <c r="F185" s="124" t="s">
        <v>109</v>
      </c>
      <c r="J185" s="4" t="s">
        <v>206</v>
      </c>
      <c r="K185" s="14"/>
      <c r="L185" s="14">
        <v>177000</v>
      </c>
    </row>
    <row r="186" spans="1:12" x14ac:dyDescent="0.3">
      <c r="A186" s="125">
        <v>45990</v>
      </c>
      <c r="B186" t="s">
        <v>21</v>
      </c>
      <c r="C186" s="11"/>
      <c r="D186" s="11">
        <v>10000</v>
      </c>
      <c r="E186" t="s">
        <v>316</v>
      </c>
      <c r="F186" s="124" t="s">
        <v>109</v>
      </c>
      <c r="J186" s="4" t="s">
        <v>178</v>
      </c>
      <c r="K186" s="14"/>
      <c r="L186" s="14">
        <v>100000</v>
      </c>
    </row>
    <row r="187" spans="1:12" x14ac:dyDescent="0.3">
      <c r="A187" s="125">
        <v>45990</v>
      </c>
      <c r="B187" t="s">
        <v>220</v>
      </c>
      <c r="C187" s="11">
        <v>10000</v>
      </c>
      <c r="D187" s="11"/>
      <c r="E187" t="s">
        <v>221</v>
      </c>
      <c r="F187" s="124" t="s">
        <v>109</v>
      </c>
      <c r="J187" s="4" t="s">
        <v>237</v>
      </c>
      <c r="K187" s="14">
        <v>1212500</v>
      </c>
      <c r="L187" s="14">
        <v>4126426</v>
      </c>
    </row>
    <row r="188" spans="1:12" x14ac:dyDescent="0.3">
      <c r="A188" s="125">
        <v>45990</v>
      </c>
      <c r="B188" t="s">
        <v>212</v>
      </c>
      <c r="C188" s="11">
        <v>1000</v>
      </c>
      <c r="D188" s="11"/>
      <c r="E188" t="s">
        <v>317</v>
      </c>
      <c r="F188" s="124" t="s">
        <v>109</v>
      </c>
      <c r="J188" s="4" t="s">
        <v>184</v>
      </c>
      <c r="K188" s="14">
        <v>2000000</v>
      </c>
      <c r="L188" s="14"/>
    </row>
    <row r="189" spans="1:12" x14ac:dyDescent="0.3">
      <c r="A189" s="125">
        <v>45990</v>
      </c>
      <c r="B189" t="s">
        <v>183</v>
      </c>
      <c r="C189" s="11"/>
      <c r="D189" s="11">
        <v>1000</v>
      </c>
      <c r="E189" t="s">
        <v>318</v>
      </c>
      <c r="F189" s="124" t="s">
        <v>109</v>
      </c>
      <c r="J189" s="4" t="s">
        <v>185</v>
      </c>
      <c r="K189" s="14"/>
      <c r="L189" s="14">
        <v>811900</v>
      </c>
    </row>
    <row r="190" spans="1:12" x14ac:dyDescent="0.3">
      <c r="A190" s="125">
        <v>45990</v>
      </c>
      <c r="B190" t="s">
        <v>183</v>
      </c>
      <c r="C190" s="11"/>
      <c r="D190" s="11">
        <v>1000</v>
      </c>
      <c r="E190" t="s">
        <v>319</v>
      </c>
      <c r="F190" s="124" t="s">
        <v>109</v>
      </c>
      <c r="J190" s="4" t="s">
        <v>236</v>
      </c>
      <c r="K190" s="14">
        <v>1500000</v>
      </c>
      <c r="L190" s="14"/>
    </row>
    <row r="191" spans="1:12" x14ac:dyDescent="0.3">
      <c r="A191" s="125">
        <v>45990</v>
      </c>
      <c r="B191" t="s">
        <v>21</v>
      </c>
      <c r="C191" s="11"/>
      <c r="D191" s="11">
        <v>11150</v>
      </c>
      <c r="E191" t="s">
        <v>320</v>
      </c>
      <c r="F191" s="124" t="s">
        <v>109</v>
      </c>
      <c r="J191" s="4" t="s">
        <v>179</v>
      </c>
      <c r="K191" s="14">
        <v>120205</v>
      </c>
      <c r="L191" s="14"/>
    </row>
    <row r="192" spans="1:12" x14ac:dyDescent="0.3">
      <c r="A192" s="125">
        <v>45990</v>
      </c>
      <c r="B192" t="s">
        <v>55</v>
      </c>
      <c r="C192" s="11">
        <v>11150</v>
      </c>
      <c r="D192" s="11"/>
      <c r="E192" t="s">
        <v>320</v>
      </c>
      <c r="F192" s="124" t="s">
        <v>109</v>
      </c>
      <c r="J192" s="4" t="s">
        <v>193</v>
      </c>
      <c r="K192" s="14"/>
      <c r="L192" s="14">
        <v>4000</v>
      </c>
    </row>
    <row r="193" spans="1:12" x14ac:dyDescent="0.3">
      <c r="A193" s="125">
        <v>45990</v>
      </c>
      <c r="B193" t="s">
        <v>21</v>
      </c>
      <c r="C193" s="11"/>
      <c r="D193" s="11">
        <v>52000</v>
      </c>
      <c r="E193" t="s">
        <v>321</v>
      </c>
      <c r="F193" s="124" t="s">
        <v>109</v>
      </c>
      <c r="J193" s="4" t="s">
        <v>195</v>
      </c>
      <c r="K193" s="14"/>
      <c r="L193" s="14">
        <v>60000</v>
      </c>
    </row>
    <row r="194" spans="1:12" x14ac:dyDescent="0.3">
      <c r="A194" s="38">
        <v>45990</v>
      </c>
      <c r="C194" s="97"/>
      <c r="D194" s="97"/>
      <c r="F194" s="124"/>
      <c r="J194" s="4" t="s">
        <v>203</v>
      </c>
      <c r="K194" s="14">
        <v>-1237831</v>
      </c>
      <c r="L194" s="14"/>
    </row>
    <row r="195" spans="1:12" x14ac:dyDescent="0.3">
      <c r="A195" s="125">
        <v>45991</v>
      </c>
      <c r="B195" t="s">
        <v>21</v>
      </c>
      <c r="C195" s="97"/>
      <c r="D195" s="97">
        <v>10000</v>
      </c>
      <c r="E195" t="s">
        <v>189</v>
      </c>
      <c r="F195" s="124" t="s">
        <v>109</v>
      </c>
      <c r="J195" s="4" t="s">
        <v>51</v>
      </c>
      <c r="K195" s="14"/>
      <c r="L195" s="14">
        <v>1803475</v>
      </c>
    </row>
    <row r="196" spans="1:12" x14ac:dyDescent="0.3">
      <c r="A196" s="125">
        <v>45991</v>
      </c>
      <c r="B196" t="s">
        <v>212</v>
      </c>
      <c r="C196" s="97"/>
      <c r="D196" s="97"/>
      <c r="E196" t="s">
        <v>189</v>
      </c>
      <c r="F196" s="124" t="s">
        <v>109</v>
      </c>
      <c r="J196" s="4" t="s">
        <v>149</v>
      </c>
      <c r="K196" s="14">
        <v>130000</v>
      </c>
      <c r="L196" s="14"/>
    </row>
    <row r="197" spans="1:12" x14ac:dyDescent="0.3">
      <c r="A197" s="38">
        <v>45991</v>
      </c>
      <c r="B197" t="s">
        <v>186</v>
      </c>
      <c r="C197" s="11">
        <v>3000</v>
      </c>
      <c r="D197" s="11"/>
      <c r="E197" t="s">
        <v>322</v>
      </c>
      <c r="F197" s="124" t="s">
        <v>109</v>
      </c>
      <c r="J197" s="4" t="s">
        <v>275</v>
      </c>
      <c r="K197" s="14"/>
      <c r="L197" s="14">
        <v>400000</v>
      </c>
    </row>
    <row r="198" spans="1:12" x14ac:dyDescent="0.3">
      <c r="A198" s="38">
        <v>45991</v>
      </c>
      <c r="B198" t="s">
        <v>186</v>
      </c>
      <c r="C198" s="11">
        <v>5000</v>
      </c>
      <c r="D198" s="11"/>
      <c r="E198" t="s">
        <v>323</v>
      </c>
      <c r="F198" s="124" t="s">
        <v>109</v>
      </c>
      <c r="J198" s="4" t="s">
        <v>276</v>
      </c>
      <c r="K198" s="14">
        <v>100000</v>
      </c>
      <c r="L198" s="14"/>
    </row>
    <row r="199" spans="1:12" x14ac:dyDescent="0.3">
      <c r="A199" s="38">
        <v>45991</v>
      </c>
      <c r="B199" t="s">
        <v>186</v>
      </c>
      <c r="C199" s="11">
        <v>3520</v>
      </c>
      <c r="D199" s="11"/>
      <c r="E199" t="s">
        <v>324</v>
      </c>
      <c r="F199" s="124" t="s">
        <v>109</v>
      </c>
      <c r="J199" s="4" t="s">
        <v>287</v>
      </c>
      <c r="K199" s="14"/>
      <c r="L199" s="14">
        <v>25000</v>
      </c>
    </row>
    <row r="200" spans="1:12" x14ac:dyDescent="0.3">
      <c r="A200" s="38">
        <v>45991</v>
      </c>
      <c r="B200" t="s">
        <v>186</v>
      </c>
      <c r="C200" s="11">
        <v>1000</v>
      </c>
      <c r="D200" s="11"/>
      <c r="E200" t="s">
        <v>325</v>
      </c>
      <c r="F200" s="124" t="s">
        <v>109</v>
      </c>
      <c r="J200" s="4" t="s">
        <v>298</v>
      </c>
      <c r="K200" s="14">
        <v>337000</v>
      </c>
      <c r="L200" s="14"/>
    </row>
    <row r="201" spans="1:12" x14ac:dyDescent="0.3">
      <c r="A201" s="38">
        <v>45992</v>
      </c>
      <c r="B201" t="s">
        <v>186</v>
      </c>
      <c r="C201" s="11">
        <v>3000</v>
      </c>
      <c r="D201" s="11"/>
      <c r="E201" t="s">
        <v>209</v>
      </c>
      <c r="F201" s="124" t="s">
        <v>109</v>
      </c>
      <c r="J201" s="4" t="s">
        <v>304</v>
      </c>
      <c r="K201" s="14"/>
      <c r="L201" s="14">
        <v>85000</v>
      </c>
    </row>
    <row r="202" spans="1:12" x14ac:dyDescent="0.3">
      <c r="A202" s="38">
        <v>45992</v>
      </c>
      <c r="B202" t="s">
        <v>186</v>
      </c>
      <c r="C202" s="11">
        <v>500</v>
      </c>
      <c r="D202" s="11"/>
      <c r="E202" t="s">
        <v>326</v>
      </c>
      <c r="F202" s="124" t="s">
        <v>109</v>
      </c>
      <c r="J202" s="4" t="s">
        <v>333</v>
      </c>
      <c r="K202" s="14">
        <v>398325</v>
      </c>
      <c r="L202" s="14"/>
    </row>
    <row r="203" spans="1:12" x14ac:dyDescent="0.3">
      <c r="A203" s="38">
        <v>45992</v>
      </c>
      <c r="B203" t="s">
        <v>114</v>
      </c>
      <c r="C203" s="97">
        <v>20000</v>
      </c>
      <c r="D203" s="97"/>
      <c r="E203" t="s">
        <v>249</v>
      </c>
      <c r="F203" s="124" t="s">
        <v>109</v>
      </c>
      <c r="J203" s="4" t="s">
        <v>28</v>
      </c>
      <c r="K203" s="14">
        <v>11214347</v>
      </c>
      <c r="L203" s="14">
        <v>11072843</v>
      </c>
    </row>
    <row r="204" spans="1:12" x14ac:dyDescent="0.3">
      <c r="A204" s="38">
        <v>45992</v>
      </c>
      <c r="B204" t="s">
        <v>298</v>
      </c>
      <c r="C204" s="11"/>
      <c r="D204" s="11">
        <v>30000</v>
      </c>
      <c r="F204" s="124" t="s">
        <v>109</v>
      </c>
    </row>
    <row r="205" spans="1:12" x14ac:dyDescent="0.3">
      <c r="A205" s="38">
        <v>45992</v>
      </c>
      <c r="B205" t="s">
        <v>21</v>
      </c>
      <c r="C205" s="11"/>
      <c r="D205" s="11">
        <v>7750</v>
      </c>
      <c r="E205" t="s">
        <v>240</v>
      </c>
      <c r="F205" s="124" t="s">
        <v>109</v>
      </c>
    </row>
    <row r="206" spans="1:12" x14ac:dyDescent="0.3">
      <c r="A206" s="38">
        <v>45992</v>
      </c>
      <c r="B206" t="s">
        <v>185</v>
      </c>
      <c r="C206" s="11">
        <v>52000</v>
      </c>
      <c r="D206" s="11"/>
      <c r="E206" t="s">
        <v>327</v>
      </c>
      <c r="F206" s="124" t="s">
        <v>109</v>
      </c>
    </row>
    <row r="207" spans="1:12" x14ac:dyDescent="0.3">
      <c r="A207" s="38">
        <v>45992</v>
      </c>
      <c r="B207" t="s">
        <v>21</v>
      </c>
      <c r="C207" s="11"/>
      <c r="D207" s="11">
        <v>52000</v>
      </c>
      <c r="E207" t="s">
        <v>223</v>
      </c>
      <c r="F207" s="124" t="s">
        <v>109</v>
      </c>
    </row>
    <row r="208" spans="1:12" x14ac:dyDescent="0.3">
      <c r="A208" s="38">
        <v>45992</v>
      </c>
      <c r="B208" t="s">
        <v>55</v>
      </c>
      <c r="C208" s="11">
        <v>7750</v>
      </c>
      <c r="D208" s="11"/>
      <c r="E208" t="s">
        <v>240</v>
      </c>
      <c r="F208" s="124" t="s">
        <v>109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328</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298</v>
      </c>
      <c r="C216" s="11"/>
      <c r="D216" s="11">
        <v>7000</v>
      </c>
      <c r="E216" t="s">
        <v>312</v>
      </c>
      <c r="F216" s="124" t="s">
        <v>109</v>
      </c>
    </row>
    <row r="217" spans="1:6" x14ac:dyDescent="0.3">
      <c r="A217" s="38">
        <v>45986</v>
      </c>
      <c r="B217" t="s">
        <v>236</v>
      </c>
      <c r="C217" s="97"/>
      <c r="D217" s="97">
        <v>1000000</v>
      </c>
      <c r="E217" t="s">
        <v>330</v>
      </c>
      <c r="F217" s="124" t="s">
        <v>109</v>
      </c>
    </row>
    <row r="218" spans="1:6" x14ac:dyDescent="0.3">
      <c r="A218" s="125">
        <v>45986</v>
      </c>
      <c r="B218" t="s">
        <v>237</v>
      </c>
      <c r="C218" s="11">
        <v>1000000</v>
      </c>
      <c r="D218" s="11"/>
      <c r="E218" t="s">
        <v>331</v>
      </c>
      <c r="F218" s="124" t="s">
        <v>109</v>
      </c>
    </row>
    <row r="219" spans="1:6" x14ac:dyDescent="0.3">
      <c r="A219" s="125">
        <v>45986</v>
      </c>
      <c r="B219" t="s">
        <v>35</v>
      </c>
      <c r="C219" s="11"/>
      <c r="D219" s="11">
        <v>10040</v>
      </c>
      <c r="E219" t="s">
        <v>312</v>
      </c>
      <c r="F219" s="124" t="s">
        <v>109</v>
      </c>
    </row>
    <row r="220" spans="1:6" x14ac:dyDescent="0.3">
      <c r="A220" s="125">
        <v>45986</v>
      </c>
      <c r="B220" t="s">
        <v>237</v>
      </c>
      <c r="C220" s="11">
        <v>10040</v>
      </c>
      <c r="D220" s="11"/>
      <c r="E220" t="s">
        <v>332</v>
      </c>
      <c r="F220" s="124" t="s">
        <v>109</v>
      </c>
    </row>
    <row r="221" spans="1:6" x14ac:dyDescent="0.3">
      <c r="A221" s="125">
        <v>45990</v>
      </c>
      <c r="B221" t="s">
        <v>153</v>
      </c>
      <c r="C221" s="11"/>
      <c r="D221" s="11">
        <v>300000</v>
      </c>
      <c r="E221" t="s">
        <v>263</v>
      </c>
      <c r="F221" s="124" t="s">
        <v>109</v>
      </c>
    </row>
    <row r="222" spans="1:6" x14ac:dyDescent="0.3">
      <c r="A222" s="125">
        <v>45990</v>
      </c>
      <c r="B222" t="s">
        <v>296</v>
      </c>
      <c r="C222" s="11"/>
      <c r="D222" s="11">
        <v>90000</v>
      </c>
      <c r="E222" t="s">
        <v>330</v>
      </c>
      <c r="F222" s="124" t="s">
        <v>109</v>
      </c>
    </row>
    <row r="223" spans="1:6" x14ac:dyDescent="0.3">
      <c r="A223" s="125">
        <v>45990</v>
      </c>
      <c r="B223" t="s">
        <v>237</v>
      </c>
      <c r="C223" s="11">
        <v>390000</v>
      </c>
      <c r="D223" s="11"/>
      <c r="E223" t="s">
        <v>153</v>
      </c>
      <c r="F223" s="124" t="s">
        <v>109</v>
      </c>
    </row>
    <row r="224" spans="1:6" x14ac:dyDescent="0.3">
      <c r="A224" s="125">
        <v>45984</v>
      </c>
      <c r="B224" t="s">
        <v>333</v>
      </c>
      <c r="C224" s="11"/>
      <c r="D224" s="11">
        <v>200000</v>
      </c>
      <c r="F224" s="124" t="s">
        <v>109</v>
      </c>
    </row>
    <row r="225" spans="1:6" x14ac:dyDescent="0.3">
      <c r="A225" s="125">
        <v>45986</v>
      </c>
      <c r="B225" t="s">
        <v>333</v>
      </c>
      <c r="C225" s="11"/>
      <c r="D225" s="11">
        <v>100000</v>
      </c>
      <c r="F225" s="124" t="s">
        <v>109</v>
      </c>
    </row>
    <row r="226" spans="1:6" x14ac:dyDescent="0.3">
      <c r="A226" s="125">
        <v>45985</v>
      </c>
      <c r="B226" t="s">
        <v>333</v>
      </c>
      <c r="C226" s="11"/>
      <c r="D226" s="11">
        <v>50000</v>
      </c>
      <c r="F226" s="124" t="s">
        <v>109</v>
      </c>
    </row>
    <row r="227" spans="1:6" x14ac:dyDescent="0.3">
      <c r="A227" s="125">
        <v>45986</v>
      </c>
      <c r="B227" t="s">
        <v>333</v>
      </c>
      <c r="C227" s="11"/>
      <c r="D227" s="11">
        <v>48325</v>
      </c>
      <c r="E227" t="s">
        <v>312</v>
      </c>
      <c r="F227" s="124" t="s">
        <v>109</v>
      </c>
    </row>
    <row r="228" spans="1:6" x14ac:dyDescent="0.3">
      <c r="A228" s="125">
        <v>45986</v>
      </c>
      <c r="B228" t="s">
        <v>237</v>
      </c>
      <c r="C228" s="11">
        <v>398325</v>
      </c>
      <c r="D228" s="11"/>
      <c r="E228" t="s">
        <v>333</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279</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334</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335</v>
      </c>
      <c r="F234" s="124" t="s">
        <v>109</v>
      </c>
    </row>
    <row r="235" spans="1:6" x14ac:dyDescent="0.3">
      <c r="A235" s="125">
        <v>45993</v>
      </c>
      <c r="B235" t="s">
        <v>212</v>
      </c>
      <c r="C235" s="11"/>
      <c r="D235" s="11"/>
      <c r="E235" t="s">
        <v>336</v>
      </c>
      <c r="F235" s="124" t="s">
        <v>109</v>
      </c>
    </row>
    <row r="236" spans="1:6" x14ac:dyDescent="0.3">
      <c r="A236" s="38">
        <v>45993</v>
      </c>
      <c r="B236" t="s">
        <v>212</v>
      </c>
      <c r="C236" s="11">
        <v>6000</v>
      </c>
      <c r="D236" s="11"/>
      <c r="E236" t="s">
        <v>306</v>
      </c>
      <c r="F236" s="124" t="s">
        <v>109</v>
      </c>
    </row>
    <row r="237" spans="1:6" x14ac:dyDescent="0.3">
      <c r="A237" s="125">
        <v>45993</v>
      </c>
      <c r="B237" t="s">
        <v>212</v>
      </c>
      <c r="C237" s="11">
        <v>45000</v>
      </c>
      <c r="D237" s="11"/>
      <c r="E237" t="s">
        <v>339</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340</v>
      </c>
      <c r="F241" s="124" t="s">
        <v>109</v>
      </c>
    </row>
    <row r="242" spans="1:6" x14ac:dyDescent="0.3">
      <c r="A242" s="38">
        <v>45994</v>
      </c>
      <c r="B242" t="s">
        <v>220</v>
      </c>
      <c r="C242" s="11">
        <v>45000</v>
      </c>
      <c r="D242" s="11"/>
      <c r="E242" t="s">
        <v>339</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341</v>
      </c>
      <c r="F244" s="124" t="s">
        <v>109</v>
      </c>
    </row>
    <row r="245" spans="1:6" x14ac:dyDescent="0.3">
      <c r="A245" s="125">
        <v>45994</v>
      </c>
      <c r="B245" t="s">
        <v>55</v>
      </c>
      <c r="C245" s="11">
        <v>5000</v>
      </c>
      <c r="D245" s="11"/>
      <c r="E245" t="s">
        <v>231</v>
      </c>
      <c r="F245" s="124" t="s">
        <v>109</v>
      </c>
    </row>
    <row r="246" spans="1:6" x14ac:dyDescent="0.3">
      <c r="A246" s="38">
        <v>45994</v>
      </c>
      <c r="B246" t="s">
        <v>342</v>
      </c>
      <c r="C246" s="11">
        <v>50000</v>
      </c>
      <c r="D246" s="11"/>
      <c r="E246" t="s">
        <v>343</v>
      </c>
      <c r="F246" s="124" t="s">
        <v>109</v>
      </c>
    </row>
    <row r="247" spans="1:6" x14ac:dyDescent="0.3">
      <c r="A247" s="125">
        <v>45994</v>
      </c>
      <c r="B247" t="s">
        <v>186</v>
      </c>
      <c r="C247" s="11">
        <v>1900</v>
      </c>
      <c r="D247" s="11"/>
      <c r="E247" t="s">
        <v>344</v>
      </c>
      <c r="F247" s="124" t="s">
        <v>109</v>
      </c>
    </row>
    <row r="248" spans="1:6" x14ac:dyDescent="0.3">
      <c r="A248" s="38">
        <v>45994</v>
      </c>
      <c r="B248" t="s">
        <v>192</v>
      </c>
      <c r="C248" s="11"/>
      <c r="D248" s="11">
        <v>45000</v>
      </c>
      <c r="E248" t="s">
        <v>346</v>
      </c>
      <c r="F248" s="124" t="s">
        <v>109</v>
      </c>
    </row>
    <row r="249" spans="1:6" x14ac:dyDescent="0.3">
      <c r="A249" s="125">
        <v>45994</v>
      </c>
      <c r="C249" s="11"/>
      <c r="D249" s="11"/>
      <c r="F249" s="124"/>
    </row>
    <row r="250" spans="1:6" x14ac:dyDescent="0.3">
      <c r="A250" s="38">
        <v>45994</v>
      </c>
      <c r="C250" s="11"/>
      <c r="D250" s="11"/>
      <c r="F250" s="124"/>
    </row>
    <row r="251" spans="1:6" x14ac:dyDescent="0.3">
      <c r="A251" s="125">
        <v>45994</v>
      </c>
      <c r="C251" s="11"/>
      <c r="D251" s="11"/>
      <c r="F251" s="124"/>
    </row>
    <row r="252" spans="1:6" x14ac:dyDescent="0.3">
      <c r="A252" s="38">
        <v>45994</v>
      </c>
      <c r="C252" s="11"/>
      <c r="D252" s="11"/>
      <c r="F252" s="124"/>
    </row>
    <row r="253" spans="1:6" x14ac:dyDescent="0.3">
      <c r="A253" s="125">
        <v>45994</v>
      </c>
      <c r="C253" s="11"/>
      <c r="D253" s="11"/>
      <c r="F253" s="124"/>
    </row>
    <row r="254" spans="1:6" x14ac:dyDescent="0.3">
      <c r="A254" s="38">
        <v>45994</v>
      </c>
      <c r="C254" s="11"/>
      <c r="D254" s="11"/>
      <c r="F254" s="124"/>
    </row>
    <row r="255" spans="1:6" x14ac:dyDescent="0.3">
      <c r="A255" s="125">
        <v>45994</v>
      </c>
      <c r="C255" s="11"/>
      <c r="D255" s="11"/>
      <c r="F255" s="124"/>
    </row>
    <row r="256" spans="1:6" x14ac:dyDescent="0.3">
      <c r="A256" s="38"/>
      <c r="C256" s="14">
        <f>SUBTOTAL(109,Table14[Debit])</f>
        <v>11534311</v>
      </c>
      <c r="D256" s="14">
        <f>SUBTOTAL(109,Table14[Credit])</f>
        <v>11559347</v>
      </c>
      <c r="F256" s="54">
        <f>(Table14[[#Totals],[Credit]]-Table14[[#Totals],[Debit]])</f>
        <v>25036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3" sqref="A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286</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301</v>
      </c>
      <c r="E10">
        <v>85000</v>
      </c>
      <c r="F10" t="s">
        <v>302</v>
      </c>
      <c r="G10">
        <f>SUMIFS(Table14[Debit], Table14[Date], Table8[[#This Row],[Date]], Table14[Party], Table8[[#This Row],[Party]])</f>
        <v>85000</v>
      </c>
      <c r="H10">
        <f>Table8[[#This Row],[Price]]-Table8[[#This Row],[Paid]]</f>
        <v>0</v>
      </c>
      <c r="K10" s="26">
        <v>45947</v>
      </c>
      <c r="M10">
        <v>240125</v>
      </c>
    </row>
    <row r="11" spans="1:14" x14ac:dyDescent="0.3">
      <c r="A11" s="1">
        <v>45990</v>
      </c>
      <c r="B11" t="s">
        <v>313</v>
      </c>
      <c r="E11">
        <v>46000</v>
      </c>
      <c r="F11" t="s">
        <v>185</v>
      </c>
      <c r="G11">
        <f>SUMIFS(Table14[Debit], Table14[Date], Table8[[#This Row],[Date]], Table14[Party], Table8[[#This Row],[Party]])</f>
        <v>46000</v>
      </c>
      <c r="H11">
        <f>Table8[[#This Row],[Price]]-Table8[[#This Row],[Paid]]</f>
        <v>0</v>
      </c>
      <c r="K11" s="26">
        <v>45979</v>
      </c>
      <c r="M11">
        <v>0</v>
      </c>
    </row>
    <row r="12" spans="1:14" x14ac:dyDescent="0.3">
      <c r="A12" s="1">
        <v>45993</v>
      </c>
      <c r="B12" t="s">
        <v>337</v>
      </c>
      <c r="E12">
        <v>242450</v>
      </c>
      <c r="F12" t="s">
        <v>185</v>
      </c>
      <c r="G12">
        <f>SUMIFS(Table14[Debit], Table14[Date], Table8[[#This Row],[Date]], Table14[Party], Table8[[#This Row],[Party]])</f>
        <v>242450</v>
      </c>
      <c r="H12">
        <f>Table8[[#This Row],[Price]]-Table8[[#This Row],[Paid]]</f>
        <v>0</v>
      </c>
      <c r="K12" s="26">
        <v>45981</v>
      </c>
      <c r="L12">
        <v>141950</v>
      </c>
      <c r="M12">
        <v>0</v>
      </c>
    </row>
    <row r="13" spans="1:14" x14ac:dyDescent="0.3">
      <c r="G13">
        <f>SUMIFS(Table14[Debit], Table14[Date], Table8[[#This Row],[Date]], Table14[Party], Table8[[#This Row],[Party]])</f>
        <v>0</v>
      </c>
      <c r="H13">
        <f>Table8[[#This Row],[Price]]-Table8[[#This Row],[Paid]]</f>
        <v>0</v>
      </c>
      <c r="K13" s="26">
        <v>45983</v>
      </c>
      <c r="L13">
        <v>158000</v>
      </c>
      <c r="M13">
        <v>0</v>
      </c>
    </row>
    <row r="14" spans="1:14" x14ac:dyDescent="0.3">
      <c r="E14">
        <f>SUBTOTAL(109,Table8[Price])</f>
        <v>904900</v>
      </c>
      <c r="H14">
        <f>SUBTOTAL(109,Table8[Balance])</f>
        <v>0</v>
      </c>
      <c r="K14" s="26">
        <v>45986</v>
      </c>
      <c r="L14">
        <v>231500</v>
      </c>
      <c r="M14">
        <v>0</v>
      </c>
    </row>
    <row r="15" spans="1:14" x14ac:dyDescent="0.3">
      <c r="K15" s="26">
        <v>45987</v>
      </c>
      <c r="M15">
        <v>-240125</v>
      </c>
    </row>
    <row r="16" spans="1:14" x14ac:dyDescent="0.3">
      <c r="K16" s="4" t="s">
        <v>104</v>
      </c>
      <c r="M16">
        <v>0</v>
      </c>
    </row>
    <row r="17" spans="1:13" x14ac:dyDescent="0.3">
      <c r="K17" s="26">
        <v>45988</v>
      </c>
      <c r="L17">
        <v>85000</v>
      </c>
      <c r="M17">
        <v>0</v>
      </c>
    </row>
    <row r="18" spans="1:13" x14ac:dyDescent="0.3">
      <c r="K18" s="26">
        <v>45990</v>
      </c>
      <c r="L18">
        <v>46000</v>
      </c>
      <c r="M18">
        <v>0</v>
      </c>
    </row>
    <row r="19" spans="1:13" x14ac:dyDescent="0.3">
      <c r="A19" t="s">
        <v>57</v>
      </c>
      <c r="B19" t="s">
        <v>157</v>
      </c>
      <c r="C19" t="s">
        <v>158</v>
      </c>
      <c r="D19" t="s">
        <v>4</v>
      </c>
      <c r="E19" t="s">
        <v>159</v>
      </c>
      <c r="K19" s="26">
        <v>45993</v>
      </c>
      <c r="L19">
        <v>242450</v>
      </c>
      <c r="M19">
        <v>0</v>
      </c>
    </row>
    <row r="20" spans="1:13" x14ac:dyDescent="0.3">
      <c r="A20" t="s">
        <v>132</v>
      </c>
      <c r="B20">
        <v>1</v>
      </c>
      <c r="C20">
        <v>25</v>
      </c>
      <c r="D20">
        <v>1400</v>
      </c>
      <c r="E20">
        <f>Table2325[[#This Row],[boxes]]*Table2325[[#This Row],[kgs]]*Table2325[[#This Row],[Rate]]</f>
        <v>35000</v>
      </c>
      <c r="K20" s="4" t="s">
        <v>28</v>
      </c>
      <c r="L20">
        <v>904900</v>
      </c>
      <c r="M20">
        <v>0</v>
      </c>
    </row>
    <row r="21" spans="1:13" x14ac:dyDescent="0.3">
      <c r="A21" t="s">
        <v>130</v>
      </c>
      <c r="B21">
        <v>1</v>
      </c>
      <c r="C21">
        <v>3</v>
      </c>
      <c r="D21">
        <v>1340</v>
      </c>
      <c r="E21">
        <f>Table2325[[#This Row],[boxes]]*Table2325[[#This Row],[kgs]]*Table2325[[#This Row],[Rate]]</f>
        <v>4020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664062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117</v>
      </c>
      <c r="K5">
        <v>69000</v>
      </c>
      <c r="L5">
        <v>0</v>
      </c>
      <c r="M5">
        <v>68000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118</v>
      </c>
      <c r="K6">
        <v>24000</v>
      </c>
      <c r="L6">
        <v>24000</v>
      </c>
      <c r="M6">
        <v>0</v>
      </c>
    </row>
    <row r="7" spans="1:13" x14ac:dyDescent="0.3">
      <c r="A7" s="85">
        <v>45979</v>
      </c>
      <c r="B7" s="85" t="s">
        <v>166</v>
      </c>
      <c r="C7" s="82" t="s">
        <v>180</v>
      </c>
      <c r="F7">
        <v>0</v>
      </c>
      <c r="G7">
        <v>0</v>
      </c>
      <c r="H7" s="81">
        <v>0</v>
      </c>
      <c r="J7" s="4" t="s">
        <v>166</v>
      </c>
      <c r="K7">
        <v>0</v>
      </c>
      <c r="L7">
        <v>0</v>
      </c>
      <c r="M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274</v>
      </c>
      <c r="K8">
        <v>0</v>
      </c>
      <c r="L8">
        <v>400000</v>
      </c>
      <c r="M8">
        <v>224000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329</v>
      </c>
      <c r="K9">
        <v>52000</v>
      </c>
      <c r="L9">
        <v>52000</v>
      </c>
      <c r="M9">
        <v>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28</v>
      </c>
      <c r="K10">
        <v>145000</v>
      </c>
      <c r="L10">
        <v>476000</v>
      </c>
      <c r="M10">
        <v>292000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329</v>
      </c>
      <c r="C13" t="s">
        <v>327</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s="135">
        <f>Table2[[#This Row],[Quantity]]*200*Table2[[#This Row],[Boxes]]</f>
        <v>200000</v>
      </c>
      <c r="G14" s="135">
        <f>SUMIFS(Table14[Debit], Table14[Date], Table2[[#This Row],[Date]], Table14[Party], Table2[[#This Row],[Party Name]],Table14[Description],Table2[[#This Row],[Item]])</f>
        <v>0</v>
      </c>
      <c r="H14" s="135">
        <f>Table2[[#This Row],[Price]]-Table2[[#This Row],[Paid]]</f>
        <v>200000</v>
      </c>
    </row>
    <row r="15" spans="1:13" x14ac:dyDescent="0.3">
      <c r="A15" s="1"/>
      <c r="B15" s="1"/>
      <c r="F15" s="135">
        <f>Table2[[#This Row],[Quantity]]*200*Table2[[#This Row],[Boxes]]</f>
        <v>0</v>
      </c>
      <c r="G15" s="135">
        <f>SUMIFS(Table14[Debit], Table14[Date], Table2[[#This Row],[Date]], Table14[Party], Table2[[#This Row],[Party Name]],Table14[Description],Table2[[#This Row],[Item]])</f>
        <v>0</v>
      </c>
      <c r="H15" s="135">
        <f>Table2[[#This Row],[Price]]-Table2[[#This Row],[Paid]]</f>
        <v>0</v>
      </c>
    </row>
    <row r="16" spans="1:13" x14ac:dyDescent="0.3">
      <c r="A16" s="1"/>
      <c r="B16" s="1"/>
      <c r="F16" s="135">
        <f>Table2[[#This Row],[Quantity]]*200*Table2[[#This Row],[Boxes]]</f>
        <v>0</v>
      </c>
      <c r="G16" s="135">
        <f>SUMIFS(Table14[Debit], Table14[Date], Table2[[#This Row],[Date]], Table14[Party], Table2[[#This Row],[Party Name]],Table14[Description],Table2[[#This Row],[Item]])</f>
        <v>0</v>
      </c>
      <c r="H16" s="135">
        <f>Table2[[#This Row],[Price]]-Table2[[#This Row],[Paid]]</f>
        <v>0</v>
      </c>
    </row>
    <row r="17" spans="1:10" x14ac:dyDescent="0.3">
      <c r="A17" s="1"/>
      <c r="B17" s="1"/>
      <c r="F17" s="135">
        <f>Table2[[#This Row],[Quantity]]*200*Table2[[#This Row],[Boxes]]</f>
        <v>0</v>
      </c>
      <c r="G17" s="135">
        <f>SUMIFS(Table14[Debit], Table14[Date], Table2[[#This Row],[Date]], Table14[Party], Table2[[#This Row],[Party Name]],Table14[Description],Table2[[#This Row],[Item]])</f>
        <v>0</v>
      </c>
      <c r="H17" s="135">
        <f>Table2[[#This Row],[Price]]-Table2[[#This Row],[Paid]]</f>
        <v>0</v>
      </c>
    </row>
    <row r="18" spans="1:10" x14ac:dyDescent="0.3">
      <c r="A18" s="1"/>
      <c r="B18" s="1"/>
      <c r="F18" s="135">
        <f>Table2[[#This Row],[Quantity]]*200*Table2[[#This Row],[Boxes]]</f>
        <v>0</v>
      </c>
      <c r="G18" s="135">
        <f>SUMIFS(Table14[Debit], Table14[Date], Table2[[#This Row],[Date]], Table14[Party], Table2[[#This Row],[Party Name]],Table14[Description],Table2[[#This Row],[Item]])</f>
        <v>0</v>
      </c>
      <c r="H18" s="135">
        <f>Table2[[#This Row],[Price]]-Table2[[#This Row],[Paid]]</f>
        <v>0</v>
      </c>
    </row>
    <row r="19" spans="1:10" x14ac:dyDescent="0.3">
      <c r="A19" s="1"/>
      <c r="B19" s="1"/>
      <c r="F19" s="135">
        <f>Table2[[#This Row],[Quantity]]*200*Table2[[#This Row],[Boxes]]</f>
        <v>0</v>
      </c>
      <c r="G19" s="135">
        <f>SUMIFS(Table14[Debit], Table14[Date], Table2[[#This Row],[Date]], Table14[Party], Table2[[#This Row],[Party Name]],Table14[Description],Table2[[#This Row],[Item]])</f>
        <v>0</v>
      </c>
      <c r="H19" s="135">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abSelected="1" topLeftCell="A7" zoomScale="118" workbookViewId="0">
      <selection activeCell="H21" sqref="H2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291</v>
      </c>
    </row>
    <row r="15" spans="2:15" x14ac:dyDescent="0.3">
      <c r="B15" s="1">
        <v>45990</v>
      </c>
      <c r="C15" s="20">
        <f>SUMIFS(Table14[Debit], Table14[Date], Table11[[#This Row],[Date]], Table14[Party],"Salary", Table14[Description],Table11[[#This Row],[Column1]])</f>
        <v>1000</v>
      </c>
      <c r="D15" t="s">
        <v>317</v>
      </c>
      <c r="H15" s="1">
        <v>45990</v>
      </c>
      <c r="I15">
        <f>SUMIFS(Table14[Debit], Table14[Date], Table16[[#This Row],[Date]], Table14[Party], "Advance Salary", Table14[Description], Table16[[#This Row],[Person]] )</f>
        <v>20000</v>
      </c>
      <c r="J15" t="s">
        <v>291</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338</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339</v>
      </c>
      <c r="H19" s="1">
        <v>45994</v>
      </c>
      <c r="I19">
        <f>SUMIFS(Table14[Debit], Table14[Date], Table16[[#This Row],[Date]], Table14[Party], "Advance Salary", Table14[Description], Table16[[#This Row],[Person]] )</f>
        <v>45000</v>
      </c>
      <c r="J19" t="s">
        <v>339</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340</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10"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10"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10"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10"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10"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10"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145000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52000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1231824</v>
      </c>
      <c r="C2" s="32">
        <f>GETPIVOTDATA("Sum of Tiyaar/gaz",$A$3)</f>
        <v>1084932</v>
      </c>
      <c r="D2" s="31">
        <f>((B2*48)+((C2/1.0936)*10))/C2</f>
        <v>63.642966420185175</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6417</v>
      </c>
      <c r="D17" s="28">
        <f t="shared" si="1"/>
        <v>84.012741393420626</v>
      </c>
      <c r="E17" s="11">
        <f t="shared" si="2"/>
        <v>10945.8424</v>
      </c>
      <c r="F17" s="11">
        <f t="shared" si="0"/>
        <v>6417</v>
      </c>
      <c r="G17" s="78">
        <f t="shared" si="4"/>
        <v>41.375000977540111</v>
      </c>
      <c r="H17" s="28">
        <f t="shared" si="3"/>
        <v>5867.7761521580105</v>
      </c>
      <c r="I17" s="28">
        <f>((B17*48)+(H17*10))/C17</f>
        <v>84.012741393420626</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20813</v>
      </c>
      <c r="D32" s="28">
        <f t="shared" si="1"/>
        <v>98.49057734335544</v>
      </c>
      <c r="E32" s="11">
        <f t="shared" si="2"/>
        <v>42367.157599999999</v>
      </c>
      <c r="F32" s="11">
        <f t="shared" si="0"/>
        <v>20813</v>
      </c>
      <c r="G32" s="78">
        <f t="shared" si="6"/>
        <v>50.874684120890848</v>
      </c>
      <c r="H32" s="28">
        <f t="shared" si="3"/>
        <v>19031.638624725678</v>
      </c>
      <c r="I32" s="28">
        <f t="shared" si="5"/>
        <v>98.49057734335544</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6375</v>
      </c>
      <c r="D54" s="28">
        <f t="shared" si="19"/>
        <v>56.782699427686218</v>
      </c>
      <c r="E54" s="11">
        <f t="shared" si="20"/>
        <v>6919.2071999999998</v>
      </c>
      <c r="F54" s="11">
        <f t="shared" si="21"/>
        <v>6375</v>
      </c>
      <c r="G54" s="78">
        <f t="shared" si="22"/>
        <v>7.865166980402023</v>
      </c>
      <c r="H54" s="28">
        <f t="shared" si="23"/>
        <v>5829.3708851499641</v>
      </c>
      <c r="I54" s="28">
        <f t="shared" si="24"/>
        <v>56.782699427686218</v>
      </c>
    </row>
    <row r="55" spans="1:9" x14ac:dyDescent="0.3">
      <c r="A55" s="16">
        <v>1958</v>
      </c>
      <c r="B55" s="14">
        <v>54197</v>
      </c>
      <c r="C55" s="14">
        <v>8501</v>
      </c>
      <c r="D55" s="28">
        <f t="shared" si="19"/>
        <v>315.16175617533531</v>
      </c>
      <c r="E55" s="11">
        <f t="shared" si="20"/>
        <v>59269.839199999995</v>
      </c>
      <c r="F55" s="11">
        <f t="shared" si="21"/>
        <v>8501</v>
      </c>
      <c r="G55" s="78">
        <f t="shared" si="22"/>
        <v>85.657123227018985</v>
      </c>
      <c r="H55" s="28">
        <f t="shared" si="23"/>
        <v>7773.4089246525245</v>
      </c>
      <c r="I55" s="28">
        <f t="shared" si="24"/>
        <v>315.16175617533531</v>
      </c>
    </row>
    <row r="56" spans="1:9" x14ac:dyDescent="0.3">
      <c r="A56" s="16">
        <v>1910</v>
      </c>
      <c r="B56" s="14">
        <v>28367</v>
      </c>
      <c r="C56" s="14">
        <v>3396</v>
      </c>
      <c r="D56" s="28">
        <f t="shared" si="19"/>
        <v>410.09110765882315</v>
      </c>
      <c r="E56" s="11">
        <f t="shared" si="20"/>
        <v>31022.151199999997</v>
      </c>
      <c r="F56" s="11">
        <f t="shared" si="21"/>
        <v>3396</v>
      </c>
      <c r="G56" s="78">
        <f t="shared" si="22"/>
        <v>89.052983533907863</v>
      </c>
      <c r="H56" s="28">
        <f t="shared" si="23"/>
        <v>3105.3401609363573</v>
      </c>
      <c r="I56" s="28">
        <f t="shared" si="24"/>
        <v>410.09110765882315</v>
      </c>
    </row>
    <row r="57" spans="1:9" x14ac:dyDescent="0.3">
      <c r="A57" s="16" t="s">
        <v>28</v>
      </c>
      <c r="B57" s="30">
        <v>79388</v>
      </c>
      <c r="C57" s="30">
        <v>1084932</v>
      </c>
      <c r="D57" s="28">
        <f t="shared" si="19"/>
        <v>12.656427171642413</v>
      </c>
      <c r="E57" s="11">
        <f t="shared" si="20"/>
        <v>86818.716799999995</v>
      </c>
      <c r="F57" s="11">
        <f t="shared" si="21"/>
        <v>1084932</v>
      </c>
      <c r="G57" s="78">
        <f t="shared" si="22"/>
        <v>-1149.6521948133654</v>
      </c>
      <c r="H57" s="28">
        <f t="shared" si="23"/>
        <v>992073.88441843458</v>
      </c>
      <c r="I57" s="28">
        <f t="shared" si="24"/>
        <v>12.656427171642413</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0</v>
      </c>
    </row>
    <row r="21" spans="2:10" x14ac:dyDescent="0.3">
      <c r="B21" s="1">
        <v>45996</v>
      </c>
      <c r="C21" t="s">
        <v>114</v>
      </c>
      <c r="D21">
        <f>SUMIFS(Table14[Debit], Table14[Date], Table5[[#This Row],[Date]], Table14[Party], "Rashan")</f>
        <v>0</v>
      </c>
      <c r="H21" s="1">
        <v>45996</v>
      </c>
      <c r="J21">
        <f>SUMIFS(Table14[Debit], Table14[Date], Table15[[#This Row],[Date]], Table14[Party], "Parts")</f>
        <v>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75990</v>
      </c>
      <c r="H37" s="1"/>
      <c r="J37">
        <f>SUM(Table15[Amount])</f>
        <v>176420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19734434</v>
      </c>
      <c r="C2" s="105">
        <f>Billing!AB5</f>
        <v>2398298.2604242936</v>
      </c>
    </row>
    <row r="3" spans="1:3" ht="21" x14ac:dyDescent="0.4">
      <c r="A3" s="104" t="str">
        <f>Billing!Q6</f>
        <v>Ejaz Sahab</v>
      </c>
      <c r="B3" s="107">
        <f>Billing!AA6</f>
        <v>3663904</v>
      </c>
      <c r="C3" s="105">
        <f>Billing!AB6</f>
        <v>-138566.58229700057</v>
      </c>
    </row>
    <row r="4" spans="1:3" ht="21" x14ac:dyDescent="0.4">
      <c r="A4" s="104" t="str">
        <f>Billing!Q7</f>
        <v>Arshad</v>
      </c>
      <c r="B4" s="107">
        <f>Billing!AA7</f>
        <v>5702935</v>
      </c>
      <c r="C4" s="106">
        <f>Billing!AB7</f>
        <v>-216419.82077541947</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2572620</v>
      </c>
      <c r="C9" s="105">
        <f>Billing!AB12</f>
        <v>18983.877103146166</v>
      </c>
    </row>
    <row r="10" spans="1:3" ht="21" x14ac:dyDescent="0.4">
      <c r="A10" s="104" t="str">
        <f>Billing!Q13</f>
        <v>Ubaidullah</v>
      </c>
      <c r="B10" s="107">
        <f>Billing!AA13</f>
        <v>640190</v>
      </c>
      <c r="C10" s="105">
        <f>Billing!AB13</f>
        <v>1084.6891002196353</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4925761</v>
      </c>
      <c r="C13" s="105">
        <f>Billing!AB16</f>
        <v>51642.986832480878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2300000</v>
      </c>
      <c r="C20" s="105">
        <f>Billing!AB23</f>
        <v>-70152.706656912342</v>
      </c>
    </row>
    <row r="21" spans="1:3" ht="21" x14ac:dyDescent="0.4">
      <c r="A21" s="104" t="str">
        <f>Billing!Q24</f>
        <v>Salman Zaffar</v>
      </c>
      <c r="B21" s="14">
        <f>Billing!AA24</f>
        <v>0</v>
      </c>
      <c r="C21" s="105">
        <f>Billing!AB24</f>
        <v>408318.39795171918</v>
      </c>
    </row>
    <row r="22" spans="1:3" ht="21" x14ac:dyDescent="0.4">
      <c r="A22" s="104" t="str">
        <f>Billing!Q25</f>
        <v>Shahid Qasayi</v>
      </c>
      <c r="B22" s="128">
        <f>Billing!AA25</f>
        <v>398325</v>
      </c>
      <c r="C22" s="105">
        <f>Billing!AB25</f>
        <v>31055.029261155811</v>
      </c>
    </row>
    <row r="23" spans="1:3" ht="21" x14ac:dyDescent="0.4">
      <c r="A23" s="104" t="str">
        <f>Billing!Q26</f>
        <v>Hameed corporation</v>
      </c>
      <c r="B23" s="128">
        <f>Billing!AA26</f>
        <v>0</v>
      </c>
      <c r="C23" s="105">
        <f>Billing!AB26</f>
        <v>424323.335771763</v>
      </c>
    </row>
    <row r="24" spans="1:3" ht="21" x14ac:dyDescent="0.4">
      <c r="A24" s="104" t="str">
        <f>Billing!Q27</f>
        <v>ibraheem behraam</v>
      </c>
      <c r="B24" s="128">
        <f>Billing!AA27</f>
        <v>337000</v>
      </c>
      <c r="C24" s="105">
        <f>Billing!AB27</f>
        <v>2383.6869056327851</v>
      </c>
    </row>
    <row r="25" spans="1:3" ht="21" x14ac:dyDescent="0.4">
      <c r="A25" s="104">
        <f>Billing!Q28</f>
        <v>0</v>
      </c>
      <c r="B25" s="128">
        <f>Billing!AA28</f>
        <v>0</v>
      </c>
      <c r="C25" s="105">
        <f>Billing!AB28</f>
        <v>0</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15" priority="1" operator="lessThan">
      <formula>10</formula>
    </cfRule>
  </conditionalFormatting>
  <conditionalFormatting sqref="C2:C29">
    <cfRule type="cellIs" dxfId="1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2025-12-03T21:41:43Z</dcterms:modified>
  <cp:category/>
  <cp:contentStatus/>
</cp:coreProperties>
</file>